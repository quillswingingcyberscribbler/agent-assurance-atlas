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8_{208CB56F-D7EA-4E56-ADC6-FC63DE814BD9}" xr6:coauthVersionLast="47" xr6:coauthVersionMax="47" xr10:uidLastSave="{00000000-0000-0000-0000-000000000000}"/>
  <bookViews>
    <workbookView xWindow="-108" yWindow="-108" windowWidth="23256" windowHeight="12456" tabRatio="500" xr2:uid="{00000000-000D-0000-FFFF-FFFF00000000}"/>
  </bookViews>
  <sheets>
    <sheet name="README &amp; Logic" sheetId="1" r:id="rId1"/>
    <sheet name="Scoping" sheetId="2" r:id="rId2"/>
    <sheet name="Assessment Matrix" sheetId="3" r:id="rId3"/>
    <sheet name="Dashboard" sheetId="4" r:id="rId4"/>
    <sheet name="Lookups" sheetId="5" r:id="rId5"/>
    <sheet name="AI Defense Matrix" sheetId="6" r:id="rId6"/>
    <sheet name="Model Comparator" sheetId="7" r:id="rId7"/>
    <sheet name="MCP Server Checklist" sheetId="8" r:id="rId8"/>
    <sheet name="MCP Client Checklist" sheetId="9" r:id="rId9"/>
    <sheet name="Maturity Crosswalk" sheetId="10" r:id="rId10"/>
    <sheet name="Changelog" sheetId="11" r:id="rId11"/>
    <sheet name="Migration" sheetId="12" r:id="rId12"/>
    <sheet name="Old Scoping" sheetId="13" r:id="rId13"/>
    <sheet name="Old Assessment Matrix" sheetId="14" r:id="rId14"/>
    <sheet name="Old Dashboard" sheetId="15" r:id="rId15"/>
    <sheet name="Old Model Comparator" sheetId="16" r:id="rId16"/>
    <sheet name="Old MCP Server Checklist" sheetId="17" r:id="rId17"/>
    <sheet name="Old MCP Client Checklist" sheetId="18" r:id="rId18"/>
  </sheets>
  <definedNames>
    <definedName name="_xlnm._FilterDatabase" localSheetId="2" hidden="1">'Assessment Matrix'!$A$1:$Z$69</definedName>
    <definedName name="cmp_conditional">Lookups!$B$30</definedName>
    <definedName name="cmp_suitable">Lookups!$B$29</definedName>
    <definedName name="_xlnm.Print_Area" localSheetId="5">'AI Defense Matrix'!$A$1:$K$86</definedName>
    <definedName name="_xlnm.Print_Area" localSheetId="2">'Assessment Matrix'!$A$1:$Z$69</definedName>
    <definedName name="_xlnm.Print_Area" localSheetId="10">Changelog!$A$1:$C$84</definedName>
    <definedName name="_xlnm.Print_Area" localSheetId="3">Dashboard!$A$1:$G$43</definedName>
    <definedName name="_xlnm.Print_Area" localSheetId="4">Lookups!$A$1:$E$46</definedName>
    <definedName name="_xlnm.Print_Area" localSheetId="9">'Maturity Crosswalk'!$A$1:$F$27</definedName>
    <definedName name="_xlnm.Print_Area" localSheetId="8">'MCP Client Checklist'!$A$1:$I$40</definedName>
    <definedName name="_xlnm.Print_Area" localSheetId="7">'MCP Server Checklist'!$A$1:$I$35</definedName>
    <definedName name="_xlnm.Print_Area" localSheetId="11">Migration!$A$1:$Z$297</definedName>
    <definedName name="_xlnm.Print_Area" localSheetId="6">'Model Comparator'!$A$1:$S$77</definedName>
    <definedName name="_xlnm.Print_Area" localSheetId="0">'README &amp; Logic'!$A$1:$B$34</definedName>
    <definedName name="_xlnm.Print_Area" localSheetId="1">Scoping!$A$1:$E$38</definedName>
    <definedName name="_xlnm.Print_Titles" localSheetId="2">'Assessment Matrix'!$1:$1</definedName>
    <definedName name="_xlnm.Print_Titles" localSheetId="10">Changelog!$3:$3</definedName>
    <definedName name="_xlnm.Print_Titles" localSheetId="9">'Maturity Crosswalk'!$4:$4</definedName>
    <definedName name="_xlnm.Print_Titles" localSheetId="8">'MCP Client Checklist'!$5:$5</definedName>
    <definedName name="_xlnm.Print_Titles" localSheetId="7">'MCP Server Checklist'!$5:$5</definedName>
    <definedName name="_xlnm.Print_Titles" localSheetId="6">'Model Comparator'!$9:$9</definedName>
    <definedName name="_xlnm.Print_Titles" localSheetId="1">Scoping!$8:$8</definedName>
    <definedName name="mcp_min_compliance">Lookups!$B$31</definedName>
    <definedName name="p_autonomy">Scoping!$C$20</definedName>
    <definedName name="p_background">Scoping!$C$21</definedName>
    <definedName name="p_confidential">Scoping!$C$12</definedName>
    <definedName name="p_decisions">Scoping!$C$16</definedName>
    <definedName name="p_downstream">Scoping!$C$15</definedName>
    <definedName name="p_eu">Scoping!$C$13</definedName>
    <definedName name="p_finetune">Scoping!$C$18</definedName>
    <definedName name="p_local">Scoping!$C$22</definedName>
    <definedName name="p_locus">Scoping!$C$25</definedName>
    <definedName name="p_mcp">Scoping!$C$27</definedName>
    <definedName name="p_memory">Scoping!$C$23</definedName>
    <definedName name="p_multiagent">Scoping!$C$24</definedName>
    <definedName name="p_open">Scoping!$C$28</definedName>
    <definedName name="p_personal">Scoping!$C$11</definedName>
    <definedName name="p_provider">Scoping!$C$9</definedName>
    <definedName name="p_rag">Scoping!$C$17</definedName>
    <definedName name="p_role">Scoping!$C$26</definedName>
    <definedName name="p_stage">Scoping!$C$10</definedName>
    <definedName name="p_tools">Scoping!$C$19</definedName>
    <definedName name="p_users">Scoping!$C$14</definedName>
    <definedName name="t_readiness">Lookups!$B$25</definedName>
    <definedName name="t_residual">Lookups!$B$26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95" i="12" l="1"/>
  <c r="D293" i="12"/>
  <c r="F292" i="12"/>
  <c r="E292" i="12"/>
  <c r="D292" i="12"/>
  <c r="B288" i="12"/>
  <c r="A288" i="12"/>
  <c r="AB287" i="12"/>
  <c r="AD287" i="12" s="1"/>
  <c r="B287" i="12"/>
  <c r="A287" i="12"/>
  <c r="AB286" i="12"/>
  <c r="B286" i="12"/>
  <c r="A286" i="12"/>
  <c r="B285" i="12"/>
  <c r="A285" i="12"/>
  <c r="AB284" i="12"/>
  <c r="B284" i="12"/>
  <c r="A284" i="12"/>
  <c r="AB283" i="12"/>
  <c r="B283" i="12"/>
  <c r="A283" i="12"/>
  <c r="B282" i="12"/>
  <c r="A282" i="12"/>
  <c r="AB281" i="12"/>
  <c r="B281" i="12"/>
  <c r="A281" i="12"/>
  <c r="AB280" i="12"/>
  <c r="B280" i="12"/>
  <c r="A280" i="12"/>
  <c r="B279" i="12"/>
  <c r="A279" i="12"/>
  <c r="AB278" i="12"/>
  <c r="B278" i="12"/>
  <c r="A278" i="12"/>
  <c r="AB277" i="12"/>
  <c r="B277" i="12"/>
  <c r="A277" i="12"/>
  <c r="B276" i="12"/>
  <c r="A276" i="12"/>
  <c r="AB275" i="12"/>
  <c r="B275" i="12"/>
  <c r="A275" i="12"/>
  <c r="AB274" i="12"/>
  <c r="B274" i="12"/>
  <c r="A274" i="12"/>
  <c r="B273" i="12"/>
  <c r="A273" i="12"/>
  <c r="AB272" i="12"/>
  <c r="B272" i="12"/>
  <c r="A272" i="12"/>
  <c r="AB271" i="12"/>
  <c r="B271" i="12"/>
  <c r="A271" i="12"/>
  <c r="B270" i="12"/>
  <c r="A270" i="12"/>
  <c r="AB269" i="12"/>
  <c r="B269" i="12"/>
  <c r="A269" i="12"/>
  <c r="G267" i="12"/>
  <c r="E267" i="12"/>
  <c r="C267" i="12"/>
  <c r="I266" i="12"/>
  <c r="G266" i="12"/>
  <c r="E266" i="12"/>
  <c r="C266" i="12"/>
  <c r="I265" i="12"/>
  <c r="B259" i="12"/>
  <c r="D262" i="12" s="1"/>
  <c r="D254" i="12"/>
  <c r="D252" i="12"/>
  <c r="F251" i="12"/>
  <c r="E251" i="12"/>
  <c r="D251" i="12"/>
  <c r="AC247" i="12"/>
  <c r="E247" i="12"/>
  <c r="B247" i="12"/>
  <c r="A247" i="12"/>
  <c r="AB247" i="12" s="1"/>
  <c r="AD246" i="12"/>
  <c r="AC246" i="12"/>
  <c r="AB246" i="12"/>
  <c r="G246" i="12" s="1"/>
  <c r="E246" i="12"/>
  <c r="B246" i="12"/>
  <c r="A246" i="12"/>
  <c r="AB245" i="12"/>
  <c r="AD245" i="12" s="1"/>
  <c r="G245" i="12"/>
  <c r="F245" i="12"/>
  <c r="B245" i="12"/>
  <c r="A245" i="12"/>
  <c r="B244" i="12"/>
  <c r="A244" i="12"/>
  <c r="AB244" i="12" s="1"/>
  <c r="AB243" i="12"/>
  <c r="E243" i="12"/>
  <c r="B243" i="12"/>
  <c r="A243" i="12"/>
  <c r="AC242" i="12"/>
  <c r="AB242" i="12"/>
  <c r="AD242" i="12" s="1"/>
  <c r="G242" i="12"/>
  <c r="F242" i="12"/>
  <c r="E242" i="12"/>
  <c r="B242" i="12"/>
  <c r="A242" i="12"/>
  <c r="B241" i="12"/>
  <c r="A241" i="12"/>
  <c r="AC240" i="12"/>
  <c r="AB240" i="12"/>
  <c r="E240" i="12"/>
  <c r="B240" i="12"/>
  <c r="A240" i="12"/>
  <c r="AC239" i="12"/>
  <c r="AB239" i="12"/>
  <c r="AD239" i="12" s="1"/>
  <c r="F239" i="12"/>
  <c r="E239" i="12"/>
  <c r="B239" i="12"/>
  <c r="A239" i="12"/>
  <c r="AC238" i="12"/>
  <c r="B238" i="12"/>
  <c r="A238" i="12"/>
  <c r="AB238" i="12" s="1"/>
  <c r="AC237" i="12"/>
  <c r="AB237" i="12"/>
  <c r="B237" i="12"/>
  <c r="A237" i="12"/>
  <c r="AC236" i="12"/>
  <c r="AB236" i="12"/>
  <c r="AD236" i="12" s="1"/>
  <c r="G236" i="12"/>
  <c r="F236" i="12"/>
  <c r="E236" i="12"/>
  <c r="B236" i="12"/>
  <c r="A236" i="12"/>
  <c r="B235" i="12"/>
  <c r="A235" i="12"/>
  <c r="AD234" i="12"/>
  <c r="AC234" i="12"/>
  <c r="AB234" i="12"/>
  <c r="E234" i="12"/>
  <c r="B234" i="12"/>
  <c r="A234" i="12"/>
  <c r="AC233" i="12"/>
  <c r="AB233" i="12"/>
  <c r="AD233" i="12" s="1"/>
  <c r="G233" i="12"/>
  <c r="F233" i="12"/>
  <c r="B233" i="12"/>
  <c r="A233" i="12"/>
  <c r="AC232" i="12"/>
  <c r="B232" i="12"/>
  <c r="A232" i="12"/>
  <c r="AB232" i="12" s="1"/>
  <c r="G230" i="12"/>
  <c r="E230" i="12"/>
  <c r="C230" i="12"/>
  <c r="I229" i="12"/>
  <c r="G229" i="12"/>
  <c r="E229" i="12"/>
  <c r="C229" i="12"/>
  <c r="I228" i="12"/>
  <c r="D225" i="12"/>
  <c r="B222" i="12"/>
  <c r="D224" i="12" s="1"/>
  <c r="AB217" i="12"/>
  <c r="K217" i="12" s="1"/>
  <c r="A217" i="12"/>
  <c r="A216" i="12"/>
  <c r="A215" i="12"/>
  <c r="AB214" i="12"/>
  <c r="L214" i="12" s="1"/>
  <c r="A214" i="12"/>
  <c r="AB213" i="12"/>
  <c r="N213" i="12"/>
  <c r="M213" i="12"/>
  <c r="K213" i="12"/>
  <c r="A213" i="12"/>
  <c r="AB212" i="12"/>
  <c r="N212" i="12"/>
  <c r="M212" i="12"/>
  <c r="K212" i="12"/>
  <c r="J212" i="12"/>
  <c r="I212" i="12"/>
  <c r="A212" i="12"/>
  <c r="AB211" i="12"/>
  <c r="G211" i="12" s="1"/>
  <c r="N211" i="12"/>
  <c r="M211" i="12"/>
  <c r="L211" i="12"/>
  <c r="K211" i="12"/>
  <c r="J211" i="12"/>
  <c r="I211" i="12"/>
  <c r="H211" i="12"/>
  <c r="A211" i="12"/>
  <c r="AC210" i="12"/>
  <c r="AB210" i="12"/>
  <c r="N210" i="12"/>
  <c r="M210" i="12"/>
  <c r="L210" i="12"/>
  <c r="K210" i="12"/>
  <c r="J210" i="12"/>
  <c r="I210" i="12"/>
  <c r="H210" i="12"/>
  <c r="G210" i="12"/>
  <c r="A210" i="12"/>
  <c r="AB209" i="12"/>
  <c r="N209" i="12" s="1"/>
  <c r="A209" i="12"/>
  <c r="A208" i="12"/>
  <c r="AC207" i="12"/>
  <c r="M207" i="12"/>
  <c r="L207" i="12"/>
  <c r="K207" i="12"/>
  <c r="I207" i="12"/>
  <c r="H207" i="12"/>
  <c r="G207" i="12"/>
  <c r="A207" i="12"/>
  <c r="AB207" i="12" s="1"/>
  <c r="N207" i="12" s="1"/>
  <c r="AC206" i="12"/>
  <c r="A206" i="12"/>
  <c r="AB206" i="12" s="1"/>
  <c r="AC205" i="12"/>
  <c r="AB205" i="12"/>
  <c r="K205" i="12" s="1"/>
  <c r="A205" i="12"/>
  <c r="M204" i="12"/>
  <c r="J204" i="12"/>
  <c r="H204" i="12"/>
  <c r="A204" i="12"/>
  <c r="AB204" i="12" s="1"/>
  <c r="AC203" i="12"/>
  <c r="AB203" i="12"/>
  <c r="N203" i="12"/>
  <c r="M203" i="12"/>
  <c r="I203" i="12"/>
  <c r="H203" i="12"/>
  <c r="G203" i="12"/>
  <c r="A203" i="12"/>
  <c r="AC202" i="12"/>
  <c r="M202" i="12"/>
  <c r="K202" i="12"/>
  <c r="A202" i="12"/>
  <c r="AB202" i="12" s="1"/>
  <c r="AB201" i="12"/>
  <c r="A201" i="12"/>
  <c r="A200" i="12"/>
  <c r="AB200" i="12" s="1"/>
  <c r="AC199" i="12"/>
  <c r="AB199" i="12"/>
  <c r="G199" i="12" s="1"/>
  <c r="N199" i="12"/>
  <c r="M199" i="12"/>
  <c r="K199" i="12"/>
  <c r="J199" i="12"/>
  <c r="I199" i="12"/>
  <c r="A199" i="12"/>
  <c r="AB198" i="12"/>
  <c r="J198" i="12" s="1"/>
  <c r="N198" i="12"/>
  <c r="M198" i="12"/>
  <c r="L198" i="12"/>
  <c r="K198" i="12"/>
  <c r="I198" i="12"/>
  <c r="H198" i="12"/>
  <c r="G198" i="12"/>
  <c r="A198" i="12"/>
  <c r="AB197" i="12"/>
  <c r="A197" i="12"/>
  <c r="A196" i="12"/>
  <c r="A195" i="12"/>
  <c r="A194" i="12"/>
  <c r="A193" i="12"/>
  <c r="AC192" i="12"/>
  <c r="N192" i="12"/>
  <c r="A192" i="12"/>
  <c r="AB192" i="12" s="1"/>
  <c r="AB191" i="12"/>
  <c r="I191" i="12" s="1"/>
  <c r="N191" i="12"/>
  <c r="M191" i="12"/>
  <c r="A191" i="12"/>
  <c r="AB190" i="12"/>
  <c r="L190" i="12" s="1"/>
  <c r="A190" i="12"/>
  <c r="A189" i="12"/>
  <c r="A188" i="12"/>
  <c r="AB188" i="12" s="1"/>
  <c r="AB187" i="12"/>
  <c r="A187" i="12"/>
  <c r="AC186" i="12"/>
  <c r="AB186" i="12"/>
  <c r="N186" i="12" s="1"/>
  <c r="M186" i="12"/>
  <c r="L186" i="12"/>
  <c r="K186" i="12"/>
  <c r="I186" i="12"/>
  <c r="A186" i="12"/>
  <c r="AB185" i="12"/>
  <c r="L185" i="12" s="1"/>
  <c r="N185" i="12"/>
  <c r="M185" i="12"/>
  <c r="K185" i="12"/>
  <c r="J185" i="12"/>
  <c r="I185" i="12"/>
  <c r="G185" i="12"/>
  <c r="A185" i="12"/>
  <c r="A184" i="12"/>
  <c r="M183" i="12"/>
  <c r="J183" i="12"/>
  <c r="H183" i="12"/>
  <c r="A183" i="12"/>
  <c r="AB183" i="12" s="1"/>
  <c r="N183" i="12" s="1"/>
  <c r="AB182" i="12"/>
  <c r="G182" i="12" s="1"/>
  <c r="A182" i="12"/>
  <c r="AC181" i="12"/>
  <c r="AB181" i="12"/>
  <c r="N181" i="12"/>
  <c r="K181" i="12"/>
  <c r="J181" i="12"/>
  <c r="I181" i="12"/>
  <c r="G181" i="12"/>
  <c r="A181" i="12"/>
  <c r="A180" i="12"/>
  <c r="A179" i="12"/>
  <c r="AB178" i="12"/>
  <c r="A178" i="12"/>
  <c r="AC177" i="12"/>
  <c r="AB177" i="12"/>
  <c r="N177" i="12"/>
  <c r="M177" i="12"/>
  <c r="L177" i="12"/>
  <c r="K177" i="12"/>
  <c r="G177" i="12"/>
  <c r="A177" i="12"/>
  <c r="A176" i="12"/>
  <c r="AB175" i="12"/>
  <c r="L175" i="12" s="1"/>
  <c r="J175" i="12"/>
  <c r="H175" i="12"/>
  <c r="A175" i="12"/>
  <c r="AC174" i="12"/>
  <c r="AB174" i="12"/>
  <c r="M174" i="12"/>
  <c r="J174" i="12"/>
  <c r="H174" i="12"/>
  <c r="A174" i="12"/>
  <c r="A173" i="12"/>
  <c r="A172" i="12"/>
  <c r="AC171" i="12"/>
  <c r="M171" i="12"/>
  <c r="L171" i="12"/>
  <c r="K171" i="12"/>
  <c r="J171" i="12"/>
  <c r="I171" i="12"/>
  <c r="H171" i="12"/>
  <c r="G171" i="12"/>
  <c r="A171" i="12"/>
  <c r="AB171" i="12" s="1"/>
  <c r="N171" i="12" s="1"/>
  <c r="AC170" i="12"/>
  <c r="K170" i="12"/>
  <c r="I170" i="12"/>
  <c r="H170" i="12"/>
  <c r="A170" i="12"/>
  <c r="AB170" i="12" s="1"/>
  <c r="AB169" i="12"/>
  <c r="K169" i="12"/>
  <c r="H169" i="12"/>
  <c r="A169" i="12"/>
  <c r="AB168" i="12"/>
  <c r="N168" i="12"/>
  <c r="M168" i="12"/>
  <c r="J168" i="12"/>
  <c r="A168" i="12"/>
  <c r="AC167" i="12"/>
  <c r="AB167" i="12"/>
  <c r="N167" i="12"/>
  <c r="M167" i="12"/>
  <c r="L167" i="12"/>
  <c r="I167" i="12"/>
  <c r="H167" i="12"/>
  <c r="G167" i="12"/>
  <c r="A167" i="12"/>
  <c r="AC166" i="12"/>
  <c r="G166" i="12"/>
  <c r="A166" i="12"/>
  <c r="AB166" i="12" s="1"/>
  <c r="AC165" i="12"/>
  <c r="J165" i="12"/>
  <c r="A165" i="12"/>
  <c r="AB165" i="12" s="1"/>
  <c r="AB164" i="12"/>
  <c r="J164" i="12" s="1"/>
  <c r="A164" i="12"/>
  <c r="AC163" i="12"/>
  <c r="AB163" i="12"/>
  <c r="G163" i="12" s="1"/>
  <c r="N163" i="12"/>
  <c r="M163" i="12"/>
  <c r="L163" i="12"/>
  <c r="K163" i="12"/>
  <c r="J163" i="12"/>
  <c r="I163" i="12"/>
  <c r="A163" i="12"/>
  <c r="AB162" i="12"/>
  <c r="AC162" i="12" s="1"/>
  <c r="N162" i="12"/>
  <c r="M162" i="12"/>
  <c r="L162" i="12"/>
  <c r="K162" i="12"/>
  <c r="J162" i="12"/>
  <c r="I162" i="12"/>
  <c r="H162" i="12"/>
  <c r="G162" i="12"/>
  <c r="A162" i="12"/>
  <c r="A161" i="12"/>
  <c r="A160" i="12"/>
  <c r="M159" i="12"/>
  <c r="L159" i="12"/>
  <c r="K159" i="12"/>
  <c r="A159" i="12"/>
  <c r="AB159" i="12" s="1"/>
  <c r="AB158" i="12"/>
  <c r="L158" i="12" s="1"/>
  <c r="A158" i="12"/>
  <c r="A157" i="12"/>
  <c r="A156" i="12"/>
  <c r="AB156" i="12" s="1"/>
  <c r="AC155" i="12"/>
  <c r="M155" i="12"/>
  <c r="A155" i="12"/>
  <c r="AB155" i="12" s="1"/>
  <c r="AC154" i="12"/>
  <c r="L154" i="12"/>
  <c r="A154" i="12"/>
  <c r="AB154" i="12" s="1"/>
  <c r="A153" i="12"/>
  <c r="N152" i="12"/>
  <c r="K152" i="12"/>
  <c r="J152" i="12"/>
  <c r="A152" i="12"/>
  <c r="AB152" i="12" s="1"/>
  <c r="AC151" i="12"/>
  <c r="R151" i="12"/>
  <c r="Q151" i="12"/>
  <c r="P151" i="12"/>
  <c r="A151" i="12"/>
  <c r="AB151" i="12" s="1"/>
  <c r="R150" i="12"/>
  <c r="Q150" i="12"/>
  <c r="P150" i="12"/>
  <c r="A150" i="12"/>
  <c r="R149" i="12"/>
  <c r="Q149" i="12"/>
  <c r="P149" i="12"/>
  <c r="R148" i="12"/>
  <c r="Q148" i="12"/>
  <c r="P148" i="12"/>
  <c r="N148" i="12"/>
  <c r="M148" i="12"/>
  <c r="L148" i="12"/>
  <c r="K148" i="12"/>
  <c r="J144" i="12"/>
  <c r="I144" i="12"/>
  <c r="H144" i="12"/>
  <c r="G144" i="12"/>
  <c r="D141" i="12"/>
  <c r="B139" i="12"/>
  <c r="A134" i="12"/>
  <c r="AB133" i="12"/>
  <c r="B133" i="12" s="1"/>
  <c r="A133" i="12"/>
  <c r="A132" i="12"/>
  <c r="A131" i="12"/>
  <c r="D128" i="12"/>
  <c r="B126" i="12"/>
  <c r="AC121" i="12"/>
  <c r="AB121" i="12"/>
  <c r="E121" i="12" s="1"/>
  <c r="Q121" i="12"/>
  <c r="D121" i="12"/>
  <c r="A121" i="12"/>
  <c r="AC120" i="12"/>
  <c r="AB120" i="12"/>
  <c r="D120" i="12"/>
  <c r="A120" i="12"/>
  <c r="AC119" i="12"/>
  <c r="AB119" i="12"/>
  <c r="Y119" i="12"/>
  <c r="D119" i="12"/>
  <c r="A119" i="12"/>
  <c r="O118" i="12"/>
  <c r="D118" i="12"/>
  <c r="A118" i="12"/>
  <c r="AB118" i="12" s="1"/>
  <c r="D117" i="12"/>
  <c r="A117" i="12"/>
  <c r="AC116" i="12"/>
  <c r="D116" i="12"/>
  <c r="A116" i="12"/>
  <c r="AB116" i="12" s="1"/>
  <c r="AB115" i="12"/>
  <c r="T115" i="12"/>
  <c r="O115" i="12"/>
  <c r="D115" i="12"/>
  <c r="A115" i="12"/>
  <c r="AC114" i="12"/>
  <c r="D114" i="12"/>
  <c r="A114" i="12"/>
  <c r="AB114" i="12" s="1"/>
  <c r="D113" i="12"/>
  <c r="A113" i="12"/>
  <c r="AC112" i="12"/>
  <c r="D112" i="12"/>
  <c r="A112" i="12"/>
  <c r="AB112" i="12" s="1"/>
  <c r="D111" i="12"/>
  <c r="A111" i="12"/>
  <c r="AC110" i="12"/>
  <c r="AB110" i="12"/>
  <c r="D110" i="12"/>
  <c r="A110" i="12"/>
  <c r="AB109" i="12"/>
  <c r="Y109" i="12"/>
  <c r="P109" i="12"/>
  <c r="O109" i="12"/>
  <c r="D109" i="12"/>
  <c r="A109" i="12"/>
  <c r="AC108" i="12"/>
  <c r="AB108" i="12"/>
  <c r="D108" i="12"/>
  <c r="A108" i="12"/>
  <c r="D107" i="12"/>
  <c r="A107" i="12"/>
  <c r="AB106" i="12"/>
  <c r="T106" i="12" s="1"/>
  <c r="D106" i="12"/>
  <c r="A106" i="12"/>
  <c r="D105" i="12"/>
  <c r="A105" i="12"/>
  <c r="AC104" i="12"/>
  <c r="AB104" i="12"/>
  <c r="P104" i="12"/>
  <c r="J104" i="12"/>
  <c r="D104" i="12"/>
  <c r="A104" i="12"/>
  <c r="D103" i="12"/>
  <c r="A103" i="12"/>
  <c r="AC102" i="12"/>
  <c r="D102" i="12"/>
  <c r="A102" i="12"/>
  <c r="AB102" i="12" s="1"/>
  <c r="AC101" i="12"/>
  <c r="O101" i="12"/>
  <c r="D101" i="12"/>
  <c r="A101" i="12"/>
  <c r="AB101" i="12" s="1"/>
  <c r="AC100" i="12"/>
  <c r="O100" i="12"/>
  <c r="D100" i="12"/>
  <c r="A100" i="12"/>
  <c r="AB100" i="12" s="1"/>
  <c r="AC99" i="12"/>
  <c r="X99" i="12"/>
  <c r="T99" i="12"/>
  <c r="D99" i="12"/>
  <c r="A99" i="12"/>
  <c r="AB99" i="12" s="1"/>
  <c r="D98" i="12"/>
  <c r="A98" i="12"/>
  <c r="D97" i="12"/>
  <c r="A97" i="12"/>
  <c r="AC96" i="12"/>
  <c r="D96" i="12"/>
  <c r="A96" i="12"/>
  <c r="AB96" i="12" s="1"/>
  <c r="AC95" i="12"/>
  <c r="T95" i="12"/>
  <c r="O95" i="12"/>
  <c r="D95" i="12"/>
  <c r="A95" i="12"/>
  <c r="AB95" i="12" s="1"/>
  <c r="AC94" i="12"/>
  <c r="E94" i="12"/>
  <c r="D94" i="12"/>
  <c r="A94" i="12"/>
  <c r="AB94" i="12" s="1"/>
  <c r="T94" i="12" s="1"/>
  <c r="AC93" i="12"/>
  <c r="O93" i="12"/>
  <c r="D93" i="12"/>
  <c r="A93" i="12"/>
  <c r="AB93" i="12" s="1"/>
  <c r="X92" i="12"/>
  <c r="T92" i="12"/>
  <c r="O92" i="12"/>
  <c r="D92" i="12"/>
  <c r="A92" i="12"/>
  <c r="AB92" i="12" s="1"/>
  <c r="AC91" i="12"/>
  <c r="D91" i="12"/>
  <c r="A91" i="12"/>
  <c r="AB91" i="12" s="1"/>
  <c r="D90" i="12"/>
  <c r="A90" i="12"/>
  <c r="D89" i="12"/>
  <c r="A89" i="12"/>
  <c r="AC88" i="12"/>
  <c r="O88" i="12"/>
  <c r="D88" i="12"/>
  <c r="A88" i="12"/>
  <c r="AB88" i="12" s="1"/>
  <c r="D87" i="12"/>
  <c r="A87" i="12"/>
  <c r="AC86" i="12"/>
  <c r="D86" i="12"/>
  <c r="A86" i="12"/>
  <c r="AB86" i="12" s="1"/>
  <c r="S85" i="12"/>
  <c r="P85" i="12"/>
  <c r="O85" i="12"/>
  <c r="D85" i="12"/>
  <c r="A85" i="12"/>
  <c r="AB85" i="12" s="1"/>
  <c r="D84" i="12"/>
  <c r="A84" i="12"/>
  <c r="AC83" i="12"/>
  <c r="D83" i="12"/>
  <c r="A83" i="12"/>
  <c r="AB83" i="12" s="1"/>
  <c r="D82" i="12"/>
  <c r="A82" i="12"/>
  <c r="D81" i="12"/>
  <c r="A81" i="12"/>
  <c r="D80" i="12"/>
  <c r="A80" i="12"/>
  <c r="D79" i="12"/>
  <c r="A79" i="12"/>
  <c r="T78" i="12"/>
  <c r="S78" i="12"/>
  <c r="D78" i="12"/>
  <c r="A78" i="12"/>
  <c r="AB78" i="12" s="1"/>
  <c r="D77" i="12"/>
  <c r="A77" i="12"/>
  <c r="D76" i="12"/>
  <c r="A76" i="12"/>
  <c r="D75" i="12"/>
  <c r="A75" i="12"/>
  <c r="D74" i="12"/>
  <c r="A74" i="12"/>
  <c r="D73" i="12"/>
  <c r="A73" i="12"/>
  <c r="D72" i="12"/>
  <c r="A72" i="12"/>
  <c r="H71" i="12"/>
  <c r="D71" i="12"/>
  <c r="A71" i="12"/>
  <c r="AB71" i="12" s="1"/>
  <c r="T70" i="12"/>
  <c r="J70" i="12"/>
  <c r="D70" i="12"/>
  <c r="A70" i="12"/>
  <c r="AB70" i="12" s="1"/>
  <c r="Y70" i="12" s="1"/>
  <c r="D69" i="12"/>
  <c r="A69" i="12"/>
  <c r="Y68" i="12"/>
  <c r="R68" i="12"/>
  <c r="Q68" i="12"/>
  <c r="D68" i="12"/>
  <c r="A68" i="12"/>
  <c r="AB68" i="12" s="1"/>
  <c r="T67" i="12"/>
  <c r="S67" i="12"/>
  <c r="D67" i="12"/>
  <c r="A67" i="12"/>
  <c r="AB67" i="12" s="1"/>
  <c r="X66" i="12"/>
  <c r="T66" i="12"/>
  <c r="E66" i="12"/>
  <c r="D66" i="12"/>
  <c r="A66" i="12"/>
  <c r="AB66" i="12" s="1"/>
  <c r="D65" i="12"/>
  <c r="A65" i="12"/>
  <c r="AC64" i="12"/>
  <c r="D64" i="12"/>
  <c r="A64" i="12"/>
  <c r="AB64" i="12" s="1"/>
  <c r="H63" i="12"/>
  <c r="G63" i="12"/>
  <c r="D63" i="12"/>
  <c r="A63" i="12"/>
  <c r="AB63" i="12" s="1"/>
  <c r="T62" i="12"/>
  <c r="D62" i="12"/>
  <c r="A62" i="12"/>
  <c r="AB62" i="12" s="1"/>
  <c r="Y62" i="12" s="1"/>
  <c r="D61" i="12"/>
  <c r="A61" i="12"/>
  <c r="Y60" i="12"/>
  <c r="R60" i="12"/>
  <c r="Q60" i="12"/>
  <c r="D60" i="12"/>
  <c r="A60" i="12"/>
  <c r="AB60" i="12" s="1"/>
  <c r="D59" i="12"/>
  <c r="A59" i="12"/>
  <c r="AB59" i="12" s="1"/>
  <c r="T58" i="12"/>
  <c r="E58" i="12"/>
  <c r="D58" i="12"/>
  <c r="A58" i="12"/>
  <c r="AB58" i="12" s="1"/>
  <c r="AB57" i="12"/>
  <c r="Z57" i="12"/>
  <c r="D57" i="12"/>
  <c r="A57" i="12"/>
  <c r="D56" i="12"/>
  <c r="A56" i="12"/>
  <c r="AB56" i="12" s="1"/>
  <c r="D55" i="12"/>
  <c r="A55" i="12"/>
  <c r="AB55" i="12" s="1"/>
  <c r="T54" i="12"/>
  <c r="S54" i="12"/>
  <c r="D54" i="12"/>
  <c r="A54" i="12"/>
  <c r="AB54" i="12" s="1"/>
  <c r="Y54" i="12" s="1"/>
  <c r="S53" i="12"/>
  <c r="J53" i="12"/>
  <c r="H53" i="12"/>
  <c r="T52" i="12"/>
  <c r="T91" i="12" s="1"/>
  <c r="S52" i="12"/>
  <c r="S119" i="12" s="1"/>
  <c r="P52" i="12"/>
  <c r="P108" i="12" s="1"/>
  <c r="O52" i="12"/>
  <c r="O70" i="12" s="1"/>
  <c r="H52" i="12"/>
  <c r="G52" i="12"/>
  <c r="Z51" i="12"/>
  <c r="Z52" i="12" s="1"/>
  <c r="Y51" i="12"/>
  <c r="Y52" i="12" s="1"/>
  <c r="Y116" i="12" s="1"/>
  <c r="X51" i="12"/>
  <c r="X52" i="12" s="1"/>
  <c r="X58" i="12" s="1"/>
  <c r="T51" i="12"/>
  <c r="S51" i="12"/>
  <c r="R51" i="12"/>
  <c r="R52" i="12" s="1"/>
  <c r="R108" i="12" s="1"/>
  <c r="Q51" i="12"/>
  <c r="Q52" i="12" s="1"/>
  <c r="Q119" i="12" s="1"/>
  <c r="P51" i="12"/>
  <c r="O51" i="12"/>
  <c r="K51" i="12"/>
  <c r="K52" i="12" s="1"/>
  <c r="K54" i="12" s="1"/>
  <c r="J51" i="12"/>
  <c r="J52" i="12" s="1"/>
  <c r="J54" i="12" s="1"/>
  <c r="H51" i="12"/>
  <c r="G51" i="12"/>
  <c r="E51" i="12"/>
  <c r="E52" i="12" s="1"/>
  <c r="E112" i="12" s="1"/>
  <c r="D49" i="12"/>
  <c r="B46" i="12"/>
  <c r="D48" i="12" s="1"/>
  <c r="AB41" i="12"/>
  <c r="AC41" i="12" s="1"/>
  <c r="C41" i="12"/>
  <c r="B41" i="12"/>
  <c r="A41" i="12"/>
  <c r="AB40" i="12"/>
  <c r="AC40" i="12" s="1"/>
  <c r="C40" i="12"/>
  <c r="B40" i="12"/>
  <c r="A40" i="12"/>
  <c r="AB39" i="12"/>
  <c r="C39" i="12" s="1"/>
  <c r="B39" i="12"/>
  <c r="A39" i="12"/>
  <c r="AB38" i="12"/>
  <c r="C38" i="12" s="1"/>
  <c r="B38" i="12"/>
  <c r="A38" i="12"/>
  <c r="B37" i="12"/>
  <c r="A37" i="12"/>
  <c r="AB36" i="12"/>
  <c r="AC36" i="12" s="1"/>
  <c r="B36" i="12"/>
  <c r="A36" i="12"/>
  <c r="AB35" i="12"/>
  <c r="AC35" i="12" s="1"/>
  <c r="B35" i="12"/>
  <c r="A35" i="12"/>
  <c r="AB34" i="12"/>
  <c r="C34" i="12" s="1"/>
  <c r="B34" i="12"/>
  <c r="A34" i="12"/>
  <c r="B33" i="12"/>
  <c r="A33" i="12"/>
  <c r="AB33" i="12" s="1"/>
  <c r="C33" i="12" s="1"/>
  <c r="B32" i="12"/>
  <c r="A32" i="12"/>
  <c r="AB31" i="12"/>
  <c r="C31" i="12" s="1"/>
  <c r="B31" i="12"/>
  <c r="A31" i="12"/>
  <c r="B30" i="12"/>
  <c r="A30" i="12"/>
  <c r="B29" i="12"/>
  <c r="A29" i="12"/>
  <c r="AB28" i="12"/>
  <c r="AC28" i="12" s="1"/>
  <c r="C28" i="12"/>
  <c r="B28" i="12"/>
  <c r="A28" i="12"/>
  <c r="B27" i="12"/>
  <c r="A27" i="12"/>
  <c r="B26" i="12"/>
  <c r="A26" i="12"/>
  <c r="AC25" i="12"/>
  <c r="B25" i="12"/>
  <c r="A25" i="12"/>
  <c r="AB25" i="12" s="1"/>
  <c r="C25" i="12" s="1"/>
  <c r="AB24" i="12"/>
  <c r="AC24" i="12" s="1"/>
  <c r="C24" i="12"/>
  <c r="B24" i="12"/>
  <c r="A24" i="12"/>
  <c r="AB23" i="12"/>
  <c r="AC23" i="12" s="1"/>
  <c r="C23" i="12"/>
  <c r="B23" i="12"/>
  <c r="A23" i="12"/>
  <c r="B20" i="12"/>
  <c r="AB20" i="12" s="1"/>
  <c r="AB19" i="12"/>
  <c r="C19" i="12" s="1"/>
  <c r="B19" i="12"/>
  <c r="AB18" i="12"/>
  <c r="C18" i="12" s="1"/>
  <c r="B18" i="12"/>
  <c r="AC17" i="12"/>
  <c r="AB17" i="12"/>
  <c r="C17" i="12"/>
  <c r="B17" i="12"/>
  <c r="D14" i="12"/>
  <c r="B12" i="12"/>
  <c r="D38" i="9"/>
  <c r="W25" i="9"/>
  <c r="V25" i="9"/>
  <c r="S25" i="9"/>
  <c r="R25" i="9"/>
  <c r="Q25" i="9"/>
  <c r="P25" i="9"/>
  <c r="O25" i="9"/>
  <c r="L25" i="9"/>
  <c r="K25" i="9"/>
  <c r="J25" i="9"/>
  <c r="H25" i="9"/>
  <c r="U25" i="9" s="1"/>
  <c r="V24" i="9"/>
  <c r="U24" i="9"/>
  <c r="T24" i="9"/>
  <c r="S24" i="9"/>
  <c r="R24" i="9"/>
  <c r="Q24" i="9"/>
  <c r="K24" i="9" s="1"/>
  <c r="P24" i="9"/>
  <c r="O24" i="9"/>
  <c r="W24" i="9" s="1"/>
  <c r="N24" i="9"/>
  <c r="M24" i="9"/>
  <c r="L24" i="9"/>
  <c r="J24" i="9"/>
  <c r="V23" i="9"/>
  <c r="U23" i="9"/>
  <c r="T23" i="9"/>
  <c r="S23" i="9"/>
  <c r="M23" i="9" s="1"/>
  <c r="R23" i="9"/>
  <c r="Q23" i="9"/>
  <c r="K23" i="9" s="1"/>
  <c r="P23" i="9"/>
  <c r="O23" i="9"/>
  <c r="W23" i="9" s="1"/>
  <c r="N23" i="9"/>
  <c r="L23" i="9"/>
  <c r="J23" i="9"/>
  <c r="W22" i="9"/>
  <c r="T22" i="9"/>
  <c r="S22" i="9"/>
  <c r="R22" i="9"/>
  <c r="L22" i="9" s="1"/>
  <c r="Q22" i="9"/>
  <c r="K22" i="9" s="1"/>
  <c r="P22" i="9"/>
  <c r="O22" i="9"/>
  <c r="N22" i="9"/>
  <c r="M22" i="9"/>
  <c r="H22" i="9"/>
  <c r="V22" i="9" s="1"/>
  <c r="J22" i="9" s="1"/>
  <c r="V21" i="9"/>
  <c r="U21" i="9"/>
  <c r="T21" i="9"/>
  <c r="S21" i="9"/>
  <c r="M21" i="9" s="1"/>
  <c r="R21" i="9"/>
  <c r="Q21" i="9"/>
  <c r="K21" i="9" s="1"/>
  <c r="P21" i="9"/>
  <c r="O21" i="9"/>
  <c r="W21" i="9" s="1"/>
  <c r="N21" i="9"/>
  <c r="L21" i="9"/>
  <c r="J21" i="9"/>
  <c r="W20" i="9"/>
  <c r="V20" i="9"/>
  <c r="U20" i="9"/>
  <c r="T20" i="9"/>
  <c r="S20" i="9"/>
  <c r="R20" i="9"/>
  <c r="Q20" i="9"/>
  <c r="P20" i="9"/>
  <c r="O20" i="9"/>
  <c r="L20" i="9"/>
  <c r="K20" i="9"/>
  <c r="J20" i="9"/>
  <c r="W19" i="9"/>
  <c r="V19" i="9"/>
  <c r="U19" i="9"/>
  <c r="T19" i="9"/>
  <c r="S19" i="9"/>
  <c r="R19" i="9"/>
  <c r="Q19" i="9"/>
  <c r="P19" i="9"/>
  <c r="O19" i="9"/>
  <c r="N19" i="9"/>
  <c r="M19" i="9"/>
  <c r="L19" i="9"/>
  <c r="K19" i="9"/>
  <c r="J19" i="9"/>
  <c r="V18" i="9"/>
  <c r="J18" i="9" s="1"/>
  <c r="U18" i="9"/>
  <c r="T18" i="9"/>
  <c r="S18" i="9"/>
  <c r="R18" i="9"/>
  <c r="L18" i="9" s="1"/>
  <c r="Q18" i="9"/>
  <c r="P18" i="9"/>
  <c r="O18" i="9"/>
  <c r="W18" i="9" s="1"/>
  <c r="N18" i="9"/>
  <c r="M18" i="9"/>
  <c r="K18" i="9"/>
  <c r="W17" i="9"/>
  <c r="V17" i="9"/>
  <c r="U17" i="9"/>
  <c r="T17" i="9"/>
  <c r="S17" i="9"/>
  <c r="N17" i="9" s="1"/>
  <c r="R17" i="9"/>
  <c r="L17" i="9" s="1"/>
  <c r="Q17" i="9"/>
  <c r="K17" i="9" s="1"/>
  <c r="P17" i="9"/>
  <c r="O17" i="9"/>
  <c r="M17" i="9"/>
  <c r="J17" i="9"/>
  <c r="T16" i="9"/>
  <c r="S16" i="9"/>
  <c r="M16" i="9" s="1"/>
  <c r="R16" i="9"/>
  <c r="L16" i="9" s="1"/>
  <c r="Q16" i="9"/>
  <c r="K16" i="9" s="1"/>
  <c r="O16" i="9"/>
  <c r="W16" i="9" s="1"/>
  <c r="N16" i="9"/>
  <c r="H16" i="9"/>
  <c r="V16" i="9" s="1"/>
  <c r="J16" i="9" s="1"/>
  <c r="W15" i="9"/>
  <c r="V15" i="9"/>
  <c r="J15" i="9" s="1"/>
  <c r="U15" i="9"/>
  <c r="T15" i="9"/>
  <c r="S15" i="9"/>
  <c r="N15" i="9" s="1"/>
  <c r="R15" i="9"/>
  <c r="L15" i="9" s="1"/>
  <c r="Q15" i="9"/>
  <c r="P15" i="9"/>
  <c r="O15" i="9"/>
  <c r="M15" i="9"/>
  <c r="K15" i="9"/>
  <c r="W14" i="9"/>
  <c r="V14" i="9"/>
  <c r="U14" i="9"/>
  <c r="T14" i="9"/>
  <c r="S14" i="9"/>
  <c r="N14" i="9" s="1"/>
  <c r="R14" i="9"/>
  <c r="Q14" i="9"/>
  <c r="P14" i="9"/>
  <c r="O14" i="9"/>
  <c r="M14" i="9"/>
  <c r="L14" i="9"/>
  <c r="K14" i="9"/>
  <c r="J14" i="9"/>
  <c r="V13" i="9"/>
  <c r="J13" i="9" s="1"/>
  <c r="U13" i="9"/>
  <c r="T13" i="9"/>
  <c r="S13" i="9"/>
  <c r="R13" i="9"/>
  <c r="Q13" i="9"/>
  <c r="K13" i="9" s="1"/>
  <c r="P13" i="9"/>
  <c r="O13" i="9"/>
  <c r="W13" i="9" s="1"/>
  <c r="N13" i="9"/>
  <c r="M13" i="9"/>
  <c r="L13" i="9"/>
  <c r="W12" i="9"/>
  <c r="V12" i="9"/>
  <c r="U12" i="9"/>
  <c r="T12" i="9"/>
  <c r="S12" i="9"/>
  <c r="M12" i="9" s="1"/>
  <c r="R12" i="9"/>
  <c r="Q12" i="9"/>
  <c r="P12" i="9"/>
  <c r="O12" i="9"/>
  <c r="N12" i="9"/>
  <c r="L12" i="9"/>
  <c r="K12" i="9"/>
  <c r="J12" i="9"/>
  <c r="W11" i="9"/>
  <c r="V11" i="9"/>
  <c r="U11" i="9"/>
  <c r="T11" i="9"/>
  <c r="S11" i="9"/>
  <c r="R11" i="9"/>
  <c r="L11" i="9" s="1"/>
  <c r="Q11" i="9"/>
  <c r="K11" i="9" s="1"/>
  <c r="P11" i="9"/>
  <c r="O11" i="9"/>
  <c r="N11" i="9"/>
  <c r="M11" i="9"/>
  <c r="J11" i="9"/>
  <c r="V10" i="9"/>
  <c r="U10" i="9"/>
  <c r="T10" i="9"/>
  <c r="S10" i="9"/>
  <c r="R10" i="9"/>
  <c r="L10" i="9" s="1"/>
  <c r="Q10" i="9"/>
  <c r="P10" i="9"/>
  <c r="O10" i="9"/>
  <c r="W10" i="9" s="1"/>
  <c r="K10" i="9"/>
  <c r="J10" i="9"/>
  <c r="W9" i="9"/>
  <c r="V9" i="9"/>
  <c r="J9" i="9" s="1"/>
  <c r="U9" i="9"/>
  <c r="T9" i="9"/>
  <c r="S9" i="9"/>
  <c r="N9" i="9" s="1"/>
  <c r="R9" i="9"/>
  <c r="L9" i="9" s="1"/>
  <c r="Q9" i="9"/>
  <c r="P9" i="9"/>
  <c r="O9" i="9"/>
  <c r="M9" i="9"/>
  <c r="K9" i="9"/>
  <c r="W8" i="9"/>
  <c r="V8" i="9"/>
  <c r="U8" i="9"/>
  <c r="T8" i="9"/>
  <c r="S8" i="9"/>
  <c r="N8" i="9" s="1"/>
  <c r="R8" i="9"/>
  <c r="Q8" i="9"/>
  <c r="P8" i="9"/>
  <c r="O8" i="9"/>
  <c r="M8" i="9"/>
  <c r="L8" i="9"/>
  <c r="K8" i="9"/>
  <c r="J8" i="9"/>
  <c r="W7" i="9"/>
  <c r="V7" i="9"/>
  <c r="J7" i="9" s="1"/>
  <c r="U7" i="9"/>
  <c r="T7" i="9"/>
  <c r="S7" i="9"/>
  <c r="R7" i="9"/>
  <c r="L7" i="9" s="1"/>
  <c r="Q7" i="9"/>
  <c r="P7" i="9"/>
  <c r="O7" i="9"/>
  <c r="X5" i="9" s="1"/>
  <c r="E38" i="9" s="1"/>
  <c r="N7" i="9"/>
  <c r="M7" i="9"/>
  <c r="K7" i="9"/>
  <c r="W6" i="9"/>
  <c r="V6" i="9"/>
  <c r="U6" i="9"/>
  <c r="T6" i="9"/>
  <c r="S6" i="9"/>
  <c r="R6" i="9"/>
  <c r="Q6" i="9"/>
  <c r="P6" i="9"/>
  <c r="O6" i="9"/>
  <c r="N6" i="9"/>
  <c r="M6" i="9"/>
  <c r="J6" i="9"/>
  <c r="X3" i="9"/>
  <c r="X2" i="9"/>
  <c r="D30" i="9" s="1"/>
  <c r="D25" i="8"/>
  <c r="V21" i="8"/>
  <c r="P21" i="8"/>
  <c r="O21" i="8"/>
  <c r="W21" i="8" s="1"/>
  <c r="J21" i="8"/>
  <c r="H21" i="8"/>
  <c r="U21" i="8" s="1"/>
  <c r="W20" i="8"/>
  <c r="V20" i="8"/>
  <c r="U20" i="8"/>
  <c r="T20" i="8"/>
  <c r="S20" i="8"/>
  <c r="M20" i="8" s="1"/>
  <c r="R20" i="8"/>
  <c r="L20" i="8" s="1"/>
  <c r="Q20" i="8"/>
  <c r="K20" i="8" s="1"/>
  <c r="P20" i="8"/>
  <c r="O20" i="8"/>
  <c r="N20" i="8"/>
  <c r="J20" i="8"/>
  <c r="P19" i="8"/>
  <c r="O19" i="8"/>
  <c r="W19" i="8" s="1"/>
  <c r="H19" i="8"/>
  <c r="W18" i="8"/>
  <c r="V18" i="8"/>
  <c r="J18" i="8" s="1"/>
  <c r="U18" i="8"/>
  <c r="T18" i="8"/>
  <c r="S18" i="8"/>
  <c r="R18" i="8"/>
  <c r="L18" i="8" s="1"/>
  <c r="Q18" i="8"/>
  <c r="P18" i="8"/>
  <c r="O18" i="8"/>
  <c r="K18" i="8"/>
  <c r="W17" i="8"/>
  <c r="V17" i="8"/>
  <c r="U17" i="8"/>
  <c r="T17" i="8"/>
  <c r="S17" i="8"/>
  <c r="R17" i="8"/>
  <c r="Q17" i="8"/>
  <c r="P17" i="8"/>
  <c r="O17" i="8"/>
  <c r="N17" i="8"/>
  <c r="M17" i="8"/>
  <c r="L17" i="8"/>
  <c r="K17" i="8"/>
  <c r="J17" i="8"/>
  <c r="W16" i="8"/>
  <c r="V16" i="8"/>
  <c r="U16" i="8"/>
  <c r="T16" i="8"/>
  <c r="S16" i="8"/>
  <c r="R16" i="8"/>
  <c r="L16" i="8" s="1"/>
  <c r="Q16" i="8"/>
  <c r="P16" i="8"/>
  <c r="O16" i="8"/>
  <c r="N16" i="8"/>
  <c r="M16" i="8"/>
  <c r="K16" i="8"/>
  <c r="J16" i="8"/>
  <c r="W15" i="8"/>
  <c r="V15" i="8"/>
  <c r="U15" i="8"/>
  <c r="T15" i="8"/>
  <c r="S15" i="8"/>
  <c r="N15" i="8" s="1"/>
  <c r="R15" i="8"/>
  <c r="Q15" i="8"/>
  <c r="K15" i="8" s="1"/>
  <c r="P15" i="8"/>
  <c r="O15" i="8"/>
  <c r="M15" i="8"/>
  <c r="L15" i="8"/>
  <c r="J15" i="8"/>
  <c r="V14" i="8"/>
  <c r="U14" i="8"/>
  <c r="T14" i="8"/>
  <c r="S14" i="8"/>
  <c r="M14" i="8" s="1"/>
  <c r="R14" i="8"/>
  <c r="L14" i="8" s="1"/>
  <c r="Q14" i="8"/>
  <c r="K14" i="8" s="1"/>
  <c r="P14" i="8"/>
  <c r="O14" i="8"/>
  <c r="W14" i="8" s="1"/>
  <c r="N14" i="8"/>
  <c r="J14" i="8"/>
  <c r="V13" i="8"/>
  <c r="J13" i="8" s="1"/>
  <c r="U13" i="8"/>
  <c r="T13" i="8"/>
  <c r="S13" i="8"/>
  <c r="M13" i="8" s="1"/>
  <c r="R13" i="8"/>
  <c r="Q13" i="8"/>
  <c r="K13" i="8" s="1"/>
  <c r="P13" i="8"/>
  <c r="O13" i="8"/>
  <c r="W13" i="8" s="1"/>
  <c r="N13" i="8"/>
  <c r="L13" i="8"/>
  <c r="W12" i="8"/>
  <c r="V12" i="8"/>
  <c r="J12" i="8" s="1"/>
  <c r="U12" i="8"/>
  <c r="T12" i="8"/>
  <c r="S12" i="8"/>
  <c r="R12" i="8"/>
  <c r="L12" i="8" s="1"/>
  <c r="Q12" i="8"/>
  <c r="P12" i="8"/>
  <c r="O12" i="8"/>
  <c r="K12" i="8"/>
  <c r="W11" i="8"/>
  <c r="V11" i="8"/>
  <c r="U11" i="8"/>
  <c r="T11" i="8"/>
  <c r="S11" i="8"/>
  <c r="R11" i="8"/>
  <c r="Q11" i="8"/>
  <c r="P11" i="8"/>
  <c r="O11" i="8"/>
  <c r="N11" i="8"/>
  <c r="M11" i="8"/>
  <c r="L11" i="8"/>
  <c r="K11" i="8"/>
  <c r="J11" i="8"/>
  <c r="W10" i="8"/>
  <c r="V10" i="8"/>
  <c r="U10" i="8"/>
  <c r="T10" i="8"/>
  <c r="S10" i="8"/>
  <c r="R10" i="8"/>
  <c r="L10" i="8" s="1"/>
  <c r="Q10" i="8"/>
  <c r="P10" i="8"/>
  <c r="O10" i="8"/>
  <c r="N10" i="8"/>
  <c r="M10" i="8"/>
  <c r="K10" i="8"/>
  <c r="J10" i="8"/>
  <c r="W9" i="8"/>
  <c r="V9" i="8"/>
  <c r="U9" i="8"/>
  <c r="T9" i="8"/>
  <c r="S9" i="8"/>
  <c r="N9" i="8" s="1"/>
  <c r="R9" i="8"/>
  <c r="Q9" i="8"/>
  <c r="K9" i="8" s="1"/>
  <c r="P9" i="8"/>
  <c r="D24" i="8" s="1"/>
  <c r="O9" i="8"/>
  <c r="M9" i="8"/>
  <c r="L9" i="8"/>
  <c r="J9" i="8"/>
  <c r="V8" i="8"/>
  <c r="U8" i="8"/>
  <c r="T8" i="8"/>
  <c r="S8" i="8"/>
  <c r="M8" i="8" s="1"/>
  <c r="R8" i="8"/>
  <c r="L8" i="8" s="1"/>
  <c r="Q8" i="8"/>
  <c r="K8" i="8" s="1"/>
  <c r="P8" i="8"/>
  <c r="O8" i="8"/>
  <c r="W8" i="8" s="1"/>
  <c r="N8" i="8"/>
  <c r="J8" i="8"/>
  <c r="W7" i="8"/>
  <c r="V7" i="8"/>
  <c r="U7" i="8"/>
  <c r="T7" i="8"/>
  <c r="S7" i="8"/>
  <c r="N7" i="8" s="1"/>
  <c r="R7" i="8"/>
  <c r="L7" i="8" s="1"/>
  <c r="Q7" i="8"/>
  <c r="P7" i="8"/>
  <c r="O7" i="8"/>
  <c r="M7" i="8"/>
  <c r="K7" i="8"/>
  <c r="W6" i="8"/>
  <c r="V6" i="8"/>
  <c r="U6" i="8"/>
  <c r="T6" i="8"/>
  <c r="S6" i="8"/>
  <c r="R6" i="8"/>
  <c r="Q6" i="8"/>
  <c r="P6" i="8"/>
  <c r="O6" i="8"/>
  <c r="N6" i="8"/>
  <c r="M6" i="8"/>
  <c r="L6" i="8"/>
  <c r="K6" i="8"/>
  <c r="J6" i="8"/>
  <c r="X3" i="8"/>
  <c r="X2" i="8"/>
  <c r="F77" i="7"/>
  <c r="C77" i="7"/>
  <c r="B77" i="7"/>
  <c r="F76" i="7"/>
  <c r="C76" i="7"/>
  <c r="B76" i="7"/>
  <c r="F75" i="7"/>
  <c r="C75" i="7"/>
  <c r="B75" i="7"/>
  <c r="F74" i="7"/>
  <c r="C74" i="7"/>
  <c r="B74" i="7"/>
  <c r="F73" i="7"/>
  <c r="C73" i="7"/>
  <c r="B73" i="7"/>
  <c r="F72" i="7"/>
  <c r="C72" i="7"/>
  <c r="B72" i="7"/>
  <c r="F71" i="7"/>
  <c r="C71" i="7"/>
  <c r="B71" i="7"/>
  <c r="F70" i="7"/>
  <c r="C70" i="7"/>
  <c r="B70" i="7"/>
  <c r="F69" i="7"/>
  <c r="C69" i="7"/>
  <c r="B69" i="7"/>
  <c r="F68" i="7"/>
  <c r="C68" i="7"/>
  <c r="B68" i="7"/>
  <c r="F67" i="7"/>
  <c r="C67" i="7"/>
  <c r="B67" i="7"/>
  <c r="F66" i="7"/>
  <c r="C66" i="7"/>
  <c r="B66" i="7"/>
  <c r="F65" i="7"/>
  <c r="C65" i="7"/>
  <c r="B65" i="7"/>
  <c r="F64" i="7"/>
  <c r="C64" i="7"/>
  <c r="B64" i="7"/>
  <c r="F63" i="7"/>
  <c r="C63" i="7"/>
  <c r="B63" i="7"/>
  <c r="F62" i="7"/>
  <c r="C62" i="7"/>
  <c r="B62" i="7"/>
  <c r="F61" i="7"/>
  <c r="C61" i="7"/>
  <c r="B61" i="7"/>
  <c r="F60" i="7"/>
  <c r="C60" i="7"/>
  <c r="B60" i="7"/>
  <c r="F59" i="7"/>
  <c r="C59" i="7"/>
  <c r="B59" i="7"/>
  <c r="F58" i="7"/>
  <c r="C58" i="7"/>
  <c r="B58" i="7"/>
  <c r="F57" i="7"/>
  <c r="C57" i="7"/>
  <c r="B57" i="7"/>
  <c r="F56" i="7"/>
  <c r="C56" i="7"/>
  <c r="B56" i="7"/>
  <c r="F55" i="7"/>
  <c r="C55" i="7"/>
  <c r="B55" i="7"/>
  <c r="F54" i="7"/>
  <c r="C54" i="7"/>
  <c r="B54" i="7"/>
  <c r="F53" i="7"/>
  <c r="C53" i="7"/>
  <c r="B53" i="7"/>
  <c r="F52" i="7"/>
  <c r="C52" i="7"/>
  <c r="B52" i="7"/>
  <c r="F51" i="7"/>
  <c r="C51" i="7"/>
  <c r="B51" i="7"/>
  <c r="F50" i="7"/>
  <c r="C50" i="7"/>
  <c r="B50" i="7"/>
  <c r="F49" i="7"/>
  <c r="C49" i="7"/>
  <c r="B49" i="7"/>
  <c r="F48" i="7"/>
  <c r="C48" i="7"/>
  <c r="B48" i="7"/>
  <c r="F47" i="7"/>
  <c r="C47" i="7"/>
  <c r="B47" i="7"/>
  <c r="F46" i="7"/>
  <c r="C46" i="7"/>
  <c r="B46" i="7"/>
  <c r="F45" i="7"/>
  <c r="C45" i="7"/>
  <c r="B45" i="7"/>
  <c r="F44" i="7"/>
  <c r="C44" i="7"/>
  <c r="B44" i="7"/>
  <c r="F43" i="7"/>
  <c r="C43" i="7"/>
  <c r="B43" i="7"/>
  <c r="F42" i="7"/>
  <c r="C42" i="7"/>
  <c r="B42" i="7"/>
  <c r="F41" i="7"/>
  <c r="C41" i="7"/>
  <c r="B41" i="7"/>
  <c r="F40" i="7"/>
  <c r="E40" i="7"/>
  <c r="C40" i="7"/>
  <c r="B40" i="7"/>
  <c r="F39" i="7"/>
  <c r="C39" i="7"/>
  <c r="B39" i="7"/>
  <c r="F38" i="7"/>
  <c r="C38" i="7"/>
  <c r="B38" i="7"/>
  <c r="F37" i="7"/>
  <c r="C37" i="7"/>
  <c r="B37" i="7"/>
  <c r="F36" i="7"/>
  <c r="C36" i="7"/>
  <c r="B36" i="7"/>
  <c r="F35" i="7"/>
  <c r="C35" i="7"/>
  <c r="B35" i="7"/>
  <c r="F34" i="7"/>
  <c r="C34" i="7"/>
  <c r="B34" i="7"/>
  <c r="F33" i="7"/>
  <c r="C33" i="7"/>
  <c r="B33" i="7"/>
  <c r="F32" i="7"/>
  <c r="C32" i="7"/>
  <c r="B32" i="7"/>
  <c r="F31" i="7"/>
  <c r="C31" i="7"/>
  <c r="B31" i="7"/>
  <c r="F30" i="7"/>
  <c r="C30" i="7"/>
  <c r="B30" i="7"/>
  <c r="F29" i="7"/>
  <c r="C29" i="7"/>
  <c r="B29" i="7"/>
  <c r="F28" i="7"/>
  <c r="C28" i="7"/>
  <c r="B28" i="7"/>
  <c r="F27" i="7"/>
  <c r="C27" i="7"/>
  <c r="B27" i="7"/>
  <c r="F26" i="7"/>
  <c r="C26" i="7"/>
  <c r="B26" i="7"/>
  <c r="F25" i="7"/>
  <c r="C25" i="7"/>
  <c r="B25" i="7"/>
  <c r="F24" i="7"/>
  <c r="C24" i="7"/>
  <c r="B24" i="7"/>
  <c r="F23" i="7"/>
  <c r="C23" i="7"/>
  <c r="B23" i="7"/>
  <c r="F22" i="7"/>
  <c r="C22" i="7"/>
  <c r="B22" i="7"/>
  <c r="F21" i="7"/>
  <c r="C21" i="7"/>
  <c r="B21" i="7"/>
  <c r="F20" i="7"/>
  <c r="C20" i="7"/>
  <c r="B20" i="7"/>
  <c r="F19" i="7"/>
  <c r="C19" i="7"/>
  <c r="B19" i="7"/>
  <c r="F18" i="7"/>
  <c r="C18" i="7"/>
  <c r="B18" i="7"/>
  <c r="F17" i="7"/>
  <c r="C17" i="7"/>
  <c r="B17" i="7"/>
  <c r="F16" i="7"/>
  <c r="C16" i="7"/>
  <c r="B16" i="7"/>
  <c r="F15" i="7"/>
  <c r="C15" i="7"/>
  <c r="B15" i="7"/>
  <c r="F14" i="7"/>
  <c r="C14" i="7"/>
  <c r="B14" i="7"/>
  <c r="F13" i="7"/>
  <c r="C13" i="7"/>
  <c r="B13" i="7"/>
  <c r="F12" i="7"/>
  <c r="C12" i="7"/>
  <c r="B12" i="7"/>
  <c r="F11" i="7"/>
  <c r="C11" i="7"/>
  <c r="B11" i="7"/>
  <c r="F10" i="7"/>
  <c r="C10" i="7"/>
  <c r="B10" i="7"/>
  <c r="J8" i="7"/>
  <c r="I8" i="7"/>
  <c r="H8" i="7"/>
  <c r="G8" i="7"/>
  <c r="J6" i="7"/>
  <c r="I6" i="7"/>
  <c r="H6" i="7"/>
  <c r="G6" i="7"/>
  <c r="J5" i="7"/>
  <c r="I5" i="7"/>
  <c r="H5" i="7"/>
  <c r="G5" i="7"/>
  <c r="H86" i="6"/>
  <c r="H85" i="6"/>
  <c r="H84" i="6"/>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K37" i="6"/>
  <c r="H37" i="6"/>
  <c r="H36" i="6"/>
  <c r="H35" i="6"/>
  <c r="H34" i="6"/>
  <c r="H33" i="6"/>
  <c r="H32" i="6"/>
  <c r="H31" i="6"/>
  <c r="H30" i="6"/>
  <c r="H29" i="6"/>
  <c r="H28" i="6"/>
  <c r="H27" i="6"/>
  <c r="H26" i="6"/>
  <c r="H25" i="6"/>
  <c r="H24" i="6"/>
  <c r="H23" i="6"/>
  <c r="H22" i="6"/>
  <c r="H21" i="6"/>
  <c r="H20" i="6"/>
  <c r="H19" i="6"/>
  <c r="H13" i="6"/>
  <c r="G13" i="6"/>
  <c r="F13" i="6"/>
  <c r="E13" i="6"/>
  <c r="D13" i="6"/>
  <c r="C13" i="6"/>
  <c r="B13" i="6"/>
  <c r="H12" i="6"/>
  <c r="G12" i="6"/>
  <c r="F12" i="6"/>
  <c r="C12" i="6"/>
  <c r="H11" i="6"/>
  <c r="G11" i="6"/>
  <c r="F11" i="6"/>
  <c r="E11" i="6"/>
  <c r="H10" i="6"/>
  <c r="G10" i="6"/>
  <c r="F10" i="6"/>
  <c r="E10" i="6"/>
  <c r="B10" i="6"/>
  <c r="H9" i="6"/>
  <c r="F9" i="6"/>
  <c r="E9" i="6"/>
  <c r="H8" i="6"/>
  <c r="G8" i="6"/>
  <c r="F8" i="6"/>
  <c r="C8" i="6"/>
  <c r="B8" i="6"/>
  <c r="H7" i="6"/>
  <c r="G7" i="6"/>
  <c r="F7" i="6"/>
  <c r="E7" i="6"/>
  <c r="C7" i="6"/>
  <c r="H6" i="6"/>
  <c r="G6" i="6"/>
  <c r="E6" i="6"/>
  <c r="H5" i="6"/>
  <c r="B5" i="6"/>
  <c r="E26" i="5"/>
  <c r="F26" i="5" s="1"/>
  <c r="F25" i="5"/>
  <c r="E25" i="5"/>
  <c r="B26" i="5" s="1"/>
  <c r="B38" i="4"/>
  <c r="B25" i="4"/>
  <c r="D24" i="4"/>
  <c r="B24" i="4"/>
  <c r="B19" i="4"/>
  <c r="B18" i="4"/>
  <c r="E17" i="4"/>
  <c r="B6" i="4"/>
  <c r="H4" i="4"/>
  <c r="H3" i="4"/>
  <c r="H2" i="4"/>
  <c r="F2" i="4"/>
  <c r="D2" i="4"/>
  <c r="B2" i="4"/>
  <c r="AU69" i="3"/>
  <c r="AP69" i="3"/>
  <c r="AO69" i="3"/>
  <c r="AN69" i="3"/>
  <c r="AA69" i="3" s="1"/>
  <c r="AM69" i="3"/>
  <c r="AW69" i="3" s="1"/>
  <c r="AL69" i="3"/>
  <c r="AK69" i="3"/>
  <c r="AJ69" i="3"/>
  <c r="AI69" i="3"/>
  <c r="AF69" i="3" s="1"/>
  <c r="AH69" i="3"/>
  <c r="AG69" i="3"/>
  <c r="AB69" i="3"/>
  <c r="N69" i="3"/>
  <c r="M69" i="3"/>
  <c r="L69" i="3"/>
  <c r="I69" i="3"/>
  <c r="AR69" i="3" s="1"/>
  <c r="F69" i="3"/>
  <c r="D77" i="7" s="1"/>
  <c r="AU68" i="3"/>
  <c r="AP68" i="3"/>
  <c r="AO68" i="3"/>
  <c r="AB68" i="3" s="1"/>
  <c r="AN68" i="3"/>
  <c r="AA68" i="3" s="1"/>
  <c r="AM68" i="3"/>
  <c r="AL68" i="3"/>
  <c r="AK68" i="3"/>
  <c r="AJ68" i="3"/>
  <c r="AI68" i="3"/>
  <c r="AG68" i="3"/>
  <c r="N68" i="3"/>
  <c r="L68" i="3"/>
  <c r="I68" i="3"/>
  <c r="AV68" i="3" s="1"/>
  <c r="F68" i="3"/>
  <c r="D76" i="7" s="1"/>
  <c r="AU67" i="3"/>
  <c r="AT67" i="3"/>
  <c r="AR67" i="3"/>
  <c r="AS67" i="3" s="1"/>
  <c r="AP67" i="3"/>
  <c r="AO67" i="3"/>
  <c r="AN67" i="3"/>
  <c r="AA67" i="3" s="1"/>
  <c r="AM67" i="3"/>
  <c r="AL67" i="3"/>
  <c r="AK67" i="3"/>
  <c r="AJ67" i="3"/>
  <c r="AW67" i="3" s="1"/>
  <c r="AI67" i="3"/>
  <c r="AG67" i="3"/>
  <c r="AB67" i="3"/>
  <c r="I67" i="3"/>
  <c r="F67" i="3"/>
  <c r="AU66" i="3"/>
  <c r="AO66" i="3"/>
  <c r="AB66" i="3" s="1"/>
  <c r="AM66" i="3"/>
  <c r="AL66" i="3"/>
  <c r="AK66" i="3"/>
  <c r="AJ66" i="3"/>
  <c r="AI66" i="3"/>
  <c r="AG66" i="3"/>
  <c r="N66" i="3"/>
  <c r="M66" i="3"/>
  <c r="L66" i="3"/>
  <c r="I66" i="3"/>
  <c r="AR66" i="3" s="1"/>
  <c r="AT66" i="3" s="1"/>
  <c r="F66" i="3"/>
  <c r="D74" i="7" s="1"/>
  <c r="AV65" i="3"/>
  <c r="AU65" i="3"/>
  <c r="AO65" i="3"/>
  <c r="AB65" i="3" s="1"/>
  <c r="AN65" i="3"/>
  <c r="AA65" i="3" s="1"/>
  <c r="AM65" i="3"/>
  <c r="AL65" i="3"/>
  <c r="AK65" i="3"/>
  <c r="AJ65" i="3"/>
  <c r="AI65" i="3"/>
  <c r="AG65" i="3"/>
  <c r="M65" i="3"/>
  <c r="I65" i="3"/>
  <c r="F65" i="3"/>
  <c r="D73" i="7" s="1"/>
  <c r="AU64" i="3"/>
  <c r="AR64" i="3"/>
  <c r="AO64" i="3"/>
  <c r="AB64" i="3" s="1"/>
  <c r="AN64" i="3"/>
  <c r="AM64" i="3"/>
  <c r="AQ64" i="3" s="1"/>
  <c r="AC64" i="3" s="1"/>
  <c r="AL64" i="3"/>
  <c r="AK64" i="3"/>
  <c r="AW64" i="3" s="1"/>
  <c r="AJ64" i="3"/>
  <c r="AI64" i="3"/>
  <c r="AG64" i="3"/>
  <c r="AF64" i="3"/>
  <c r="AH64" i="3" s="1"/>
  <c r="AA64" i="3"/>
  <c r="N64" i="3"/>
  <c r="L64" i="3"/>
  <c r="I64" i="3"/>
  <c r="AP64" i="3" s="1"/>
  <c r="F64" i="3"/>
  <c r="D72" i="7" s="1"/>
  <c r="AU63" i="3"/>
  <c r="AR63" i="3"/>
  <c r="AS63" i="3" s="1"/>
  <c r="AP63" i="3"/>
  <c r="AO63" i="3"/>
  <c r="AN63" i="3"/>
  <c r="AA63" i="3" s="1"/>
  <c r="AM63" i="3"/>
  <c r="AL63" i="3"/>
  <c r="AK63" i="3"/>
  <c r="AJ63" i="3"/>
  <c r="AI63" i="3"/>
  <c r="AF63" i="3" s="1"/>
  <c r="AG63" i="3"/>
  <c r="AB63" i="3"/>
  <c r="M63" i="3"/>
  <c r="I63" i="3"/>
  <c r="F63" i="3"/>
  <c r="D71" i="7" s="1"/>
  <c r="AU62" i="3"/>
  <c r="AT62" i="3"/>
  <c r="AS62" i="3"/>
  <c r="AR62" i="3"/>
  <c r="AO62" i="3"/>
  <c r="AB62" i="3" s="1"/>
  <c r="AM62" i="3"/>
  <c r="AL62" i="3"/>
  <c r="AK62" i="3"/>
  <c r="AJ62" i="3"/>
  <c r="AI62" i="3"/>
  <c r="AF62" i="3" s="1"/>
  <c r="AH62" i="3" s="1"/>
  <c r="AG62" i="3"/>
  <c r="N62" i="3"/>
  <c r="M62" i="3"/>
  <c r="L62" i="3"/>
  <c r="I62" i="3"/>
  <c r="F62" i="3"/>
  <c r="D70" i="7" s="1"/>
  <c r="AU61" i="3"/>
  <c r="AR61" i="3"/>
  <c r="AS61" i="3" s="1"/>
  <c r="AO61" i="3"/>
  <c r="AB61" i="3" s="1"/>
  <c r="AM61" i="3"/>
  <c r="AL61" i="3"/>
  <c r="AK61" i="3"/>
  <c r="AJ61" i="3"/>
  <c r="AI61" i="3"/>
  <c r="AG61" i="3"/>
  <c r="AF61" i="3"/>
  <c r="M61" i="3"/>
  <c r="I61" i="3"/>
  <c r="AV61" i="3" s="1"/>
  <c r="F61" i="3"/>
  <c r="D69" i="7" s="1"/>
  <c r="AU60" i="3"/>
  <c r="AR60" i="3"/>
  <c r="AP60" i="3"/>
  <c r="AO60" i="3"/>
  <c r="AB60" i="3" s="1"/>
  <c r="AN60" i="3"/>
  <c r="AM60" i="3"/>
  <c r="AL60" i="3"/>
  <c r="AK60" i="3"/>
  <c r="AW60" i="3" s="1"/>
  <c r="AJ60" i="3"/>
  <c r="AI60" i="3"/>
  <c r="AG60" i="3"/>
  <c r="AF60" i="3"/>
  <c r="AH60" i="3" s="1"/>
  <c r="AA60" i="3"/>
  <c r="N60" i="3"/>
  <c r="L60" i="3"/>
  <c r="I60" i="3"/>
  <c r="F60" i="3"/>
  <c r="AU59" i="3"/>
  <c r="AT59" i="3"/>
  <c r="AR59" i="3"/>
  <c r="AS59" i="3" s="1"/>
  <c r="AP59" i="3"/>
  <c r="AO59" i="3"/>
  <c r="AN59" i="3"/>
  <c r="AA59" i="3" s="1"/>
  <c r="AM59" i="3"/>
  <c r="AL59" i="3"/>
  <c r="AK59" i="3"/>
  <c r="AJ59" i="3"/>
  <c r="AI59" i="3"/>
  <c r="AF59" i="3" s="1"/>
  <c r="AG59" i="3"/>
  <c r="AB59" i="3"/>
  <c r="I59" i="3"/>
  <c r="E67" i="7" s="1"/>
  <c r="F59" i="3"/>
  <c r="D67" i="7" s="1"/>
  <c r="AU58" i="3"/>
  <c r="AS58" i="3"/>
  <c r="AR58" i="3"/>
  <c r="AT58" i="3" s="1"/>
  <c r="AO58" i="3"/>
  <c r="AB58" i="3" s="1"/>
  <c r="AM58" i="3"/>
  <c r="AL58" i="3"/>
  <c r="AK58" i="3"/>
  <c r="AJ58" i="3"/>
  <c r="AI58" i="3"/>
  <c r="AF58" i="3" s="1"/>
  <c r="AH58" i="3" s="1"/>
  <c r="AG58" i="3"/>
  <c r="N58" i="3"/>
  <c r="M58" i="3"/>
  <c r="L58" i="3"/>
  <c r="I58" i="3"/>
  <c r="K66" i="6" s="1"/>
  <c r="F58" i="3"/>
  <c r="D66" i="7" s="1"/>
  <c r="AU57" i="3"/>
  <c r="AR57" i="3"/>
  <c r="AO57" i="3"/>
  <c r="AB57" i="3" s="1"/>
  <c r="AM57" i="3"/>
  <c r="AL57" i="3"/>
  <c r="AK57" i="3"/>
  <c r="AJ57" i="3"/>
  <c r="AI57" i="3"/>
  <c r="AV57" i="3" s="1"/>
  <c r="AG57" i="3"/>
  <c r="M57" i="3"/>
  <c r="I57" i="3"/>
  <c r="F57" i="3"/>
  <c r="D65" i="7" s="1"/>
  <c r="AU56" i="3"/>
  <c r="AR56" i="3"/>
  <c r="AP56" i="3"/>
  <c r="AO56" i="3"/>
  <c r="AB56" i="3" s="1"/>
  <c r="AN56" i="3"/>
  <c r="AM56" i="3"/>
  <c r="AL56" i="3"/>
  <c r="AK56" i="3"/>
  <c r="AW56" i="3" s="1"/>
  <c r="AJ56" i="3"/>
  <c r="AI56" i="3"/>
  <c r="AG56" i="3"/>
  <c r="AF56" i="3"/>
  <c r="AH56" i="3" s="1"/>
  <c r="AA56" i="3"/>
  <c r="N56" i="3"/>
  <c r="L56" i="3"/>
  <c r="I56" i="3"/>
  <c r="F56" i="3"/>
  <c r="D64" i="7" s="1"/>
  <c r="AU55" i="3"/>
  <c r="AR55" i="3"/>
  <c r="AS55" i="3" s="1"/>
  <c r="AP55" i="3"/>
  <c r="AO55" i="3"/>
  <c r="AB55" i="3" s="1"/>
  <c r="AN55" i="3"/>
  <c r="AA55" i="3" s="1"/>
  <c r="AM55" i="3"/>
  <c r="AL55" i="3"/>
  <c r="AK55" i="3"/>
  <c r="AJ55" i="3"/>
  <c r="AI55" i="3"/>
  <c r="AF55" i="3" s="1"/>
  <c r="AG55" i="3"/>
  <c r="I55" i="3"/>
  <c r="F55" i="3"/>
  <c r="D63" i="7" s="1"/>
  <c r="AU54" i="3"/>
  <c r="AR54" i="3"/>
  <c r="AT54" i="3" s="1"/>
  <c r="AO54" i="3"/>
  <c r="AB54" i="3" s="1"/>
  <c r="AM54" i="3"/>
  <c r="AL54" i="3"/>
  <c r="AK54" i="3"/>
  <c r="AJ54" i="3"/>
  <c r="AI54" i="3"/>
  <c r="AF54" i="3" s="1"/>
  <c r="AG54" i="3"/>
  <c r="N54" i="3"/>
  <c r="M54" i="3"/>
  <c r="L54" i="3"/>
  <c r="I54" i="3"/>
  <c r="F54" i="3"/>
  <c r="D62" i="7" s="1"/>
  <c r="AV53" i="3"/>
  <c r="AU53" i="3"/>
  <c r="AT53" i="3"/>
  <c r="AR53" i="3"/>
  <c r="AS53" i="3" s="1"/>
  <c r="AO53" i="3"/>
  <c r="AB53" i="3" s="1"/>
  <c r="AM53" i="3"/>
  <c r="AL53" i="3"/>
  <c r="AK53" i="3"/>
  <c r="AJ53" i="3"/>
  <c r="AI53" i="3"/>
  <c r="AG53" i="3"/>
  <c r="I53" i="3"/>
  <c r="F53" i="3"/>
  <c r="D61" i="7" s="1"/>
  <c r="AW52" i="3"/>
  <c r="AU52" i="3"/>
  <c r="AR52" i="3"/>
  <c r="AP52" i="3"/>
  <c r="AO52" i="3"/>
  <c r="AB52" i="3" s="1"/>
  <c r="AN52" i="3"/>
  <c r="AM52" i="3"/>
  <c r="AL52" i="3"/>
  <c r="AK52" i="3"/>
  <c r="AJ52" i="3"/>
  <c r="AI52" i="3"/>
  <c r="AG52" i="3"/>
  <c r="AF52" i="3"/>
  <c r="AH52" i="3" s="1"/>
  <c r="AA52" i="3"/>
  <c r="N52" i="3"/>
  <c r="M52" i="3"/>
  <c r="L52" i="3"/>
  <c r="I52" i="3"/>
  <c r="B36" i="4" s="1"/>
  <c r="F52" i="3"/>
  <c r="D60" i="7" s="1"/>
  <c r="AU51" i="3"/>
  <c r="AR51" i="3"/>
  <c r="AS51" i="3" s="1"/>
  <c r="AP51" i="3"/>
  <c r="AO51" i="3"/>
  <c r="AB51" i="3" s="1"/>
  <c r="AN51" i="3"/>
  <c r="AM51" i="3"/>
  <c r="AL51" i="3"/>
  <c r="AK51" i="3"/>
  <c r="AJ51" i="3"/>
  <c r="AI51" i="3"/>
  <c r="AF51" i="3" s="1"/>
  <c r="AG51" i="3"/>
  <c r="AA51" i="3"/>
  <c r="M51" i="3"/>
  <c r="I51" i="3"/>
  <c r="F51" i="3"/>
  <c r="D59" i="7" s="1"/>
  <c r="AU50" i="3"/>
  <c r="AS50" i="3"/>
  <c r="AR50" i="3"/>
  <c r="AT50" i="3" s="1"/>
  <c r="AO50" i="3"/>
  <c r="AB50" i="3" s="1"/>
  <c r="AM50" i="3"/>
  <c r="AL50" i="3"/>
  <c r="AK50" i="3"/>
  <c r="AJ50" i="3"/>
  <c r="AI50" i="3"/>
  <c r="AG50" i="3"/>
  <c r="AF50" i="3"/>
  <c r="AH50" i="3" s="1"/>
  <c r="N50" i="3"/>
  <c r="L50" i="3"/>
  <c r="I50" i="3"/>
  <c r="F50" i="3"/>
  <c r="D58" i="7" s="1"/>
  <c r="AV49" i="3"/>
  <c r="AU49" i="3"/>
  <c r="AT49" i="3"/>
  <c r="AR49" i="3"/>
  <c r="AS49" i="3" s="1"/>
  <c r="AO49" i="3"/>
  <c r="AB49" i="3" s="1"/>
  <c r="AM49" i="3"/>
  <c r="AL49" i="3"/>
  <c r="AK49" i="3"/>
  <c r="AJ49" i="3"/>
  <c r="AI49" i="3"/>
  <c r="AF49" i="3" s="1"/>
  <c r="AG49" i="3"/>
  <c r="M49" i="3"/>
  <c r="I49" i="3"/>
  <c r="F49" i="3"/>
  <c r="D57" i="7" s="1"/>
  <c r="AU48" i="3"/>
  <c r="AR48" i="3"/>
  <c r="AP48" i="3"/>
  <c r="AO48" i="3"/>
  <c r="AB48" i="3" s="1"/>
  <c r="AN48" i="3"/>
  <c r="AM48" i="3"/>
  <c r="AL48" i="3"/>
  <c r="AK48" i="3"/>
  <c r="AW48" i="3" s="1"/>
  <c r="AJ48" i="3"/>
  <c r="AI48" i="3"/>
  <c r="AF48" i="3" s="1"/>
  <c r="AG48" i="3"/>
  <c r="AA48" i="3"/>
  <c r="N48" i="3"/>
  <c r="M48" i="3"/>
  <c r="L48" i="3"/>
  <c r="I48" i="3"/>
  <c r="F48" i="3"/>
  <c r="D56" i="7" s="1"/>
  <c r="AU47" i="3"/>
  <c r="AR47" i="3"/>
  <c r="AP47" i="3"/>
  <c r="AO47" i="3"/>
  <c r="AN47" i="3"/>
  <c r="AM47" i="3"/>
  <c r="AL47" i="3"/>
  <c r="AK47" i="3"/>
  <c r="AJ47" i="3"/>
  <c r="AI47" i="3"/>
  <c r="AF47" i="3" s="1"/>
  <c r="AG47" i="3"/>
  <c r="AB47" i="3"/>
  <c r="AA47" i="3"/>
  <c r="I47" i="3"/>
  <c r="F47" i="3"/>
  <c r="D55" i="7" s="1"/>
  <c r="AU46" i="3"/>
  <c r="AT46" i="3"/>
  <c r="AS46" i="3"/>
  <c r="AR46" i="3"/>
  <c r="AO46" i="3"/>
  <c r="AB46" i="3" s="1"/>
  <c r="AM46" i="3"/>
  <c r="AL46" i="3"/>
  <c r="AK46" i="3"/>
  <c r="AJ46" i="3"/>
  <c r="AI46" i="3"/>
  <c r="AF46" i="3" s="1"/>
  <c r="AG46" i="3"/>
  <c r="N46" i="3"/>
  <c r="M46" i="3"/>
  <c r="L46" i="3"/>
  <c r="I46" i="3"/>
  <c r="F46" i="3"/>
  <c r="D54" i="7" s="1"/>
  <c r="AV45" i="3"/>
  <c r="AU45" i="3"/>
  <c r="AO45" i="3"/>
  <c r="AB45" i="3" s="1"/>
  <c r="AM45" i="3"/>
  <c r="AL45" i="3"/>
  <c r="AK45" i="3"/>
  <c r="AJ45" i="3"/>
  <c r="AI45" i="3"/>
  <c r="AG45" i="3"/>
  <c r="M45" i="3"/>
  <c r="I45" i="3"/>
  <c r="AF45" i="3" s="1"/>
  <c r="F45" i="3"/>
  <c r="D53" i="7" s="1"/>
  <c r="AU44" i="3"/>
  <c r="AR44" i="3"/>
  <c r="AP44" i="3"/>
  <c r="AO44" i="3"/>
  <c r="AB44" i="3" s="1"/>
  <c r="AN44" i="3"/>
  <c r="AM44" i="3"/>
  <c r="AL44" i="3"/>
  <c r="AW44" i="3" s="1"/>
  <c r="AK44" i="3"/>
  <c r="AJ44" i="3"/>
  <c r="AI44" i="3"/>
  <c r="AF44" i="3" s="1"/>
  <c r="AG44" i="3"/>
  <c r="AA44" i="3"/>
  <c r="N44" i="3"/>
  <c r="M44" i="3"/>
  <c r="L44" i="3"/>
  <c r="I44" i="3"/>
  <c r="K53" i="6" s="1"/>
  <c r="G9" i="6" s="1"/>
  <c r="F44" i="3"/>
  <c r="D52" i="7" s="1"/>
  <c r="AU43" i="3"/>
  <c r="AT43" i="3"/>
  <c r="AR43" i="3"/>
  <c r="AS43" i="3" s="1"/>
  <c r="AP43" i="3"/>
  <c r="AO43" i="3"/>
  <c r="AB43" i="3" s="1"/>
  <c r="AN43" i="3"/>
  <c r="AA43" i="3" s="1"/>
  <c r="AM43" i="3"/>
  <c r="AL43" i="3"/>
  <c r="AK43" i="3"/>
  <c r="AJ43" i="3"/>
  <c r="AI43" i="3"/>
  <c r="AH43" i="3"/>
  <c r="AG43" i="3"/>
  <c r="AF43" i="3"/>
  <c r="AQ43" i="3" s="1"/>
  <c r="AC43" i="3" s="1"/>
  <c r="M43" i="3"/>
  <c r="I43" i="3"/>
  <c r="K52" i="6" s="1"/>
  <c r="E8" i="6" s="1"/>
  <c r="F43" i="3"/>
  <c r="D51" i="7" s="1"/>
  <c r="AU42" i="3"/>
  <c r="AT42" i="3"/>
  <c r="AS42" i="3"/>
  <c r="AR42" i="3"/>
  <c r="AO42" i="3"/>
  <c r="AB42" i="3" s="1"/>
  <c r="AM42" i="3"/>
  <c r="AL42" i="3"/>
  <c r="AK42" i="3"/>
  <c r="AJ42" i="3"/>
  <c r="AI42" i="3"/>
  <c r="AG42" i="3"/>
  <c r="AF42" i="3"/>
  <c r="N42" i="3"/>
  <c r="M42" i="3"/>
  <c r="L42" i="3"/>
  <c r="I42" i="3"/>
  <c r="F42" i="3"/>
  <c r="D50" i="7" s="1"/>
  <c r="AU41" i="3"/>
  <c r="AR41" i="3"/>
  <c r="AO41" i="3"/>
  <c r="AB41" i="3" s="1"/>
  <c r="AN41" i="3"/>
  <c r="AA41" i="3" s="1"/>
  <c r="AM41" i="3"/>
  <c r="AL41" i="3"/>
  <c r="AK41" i="3"/>
  <c r="AJ41" i="3"/>
  <c r="AW41" i="3" s="1"/>
  <c r="AI41" i="3"/>
  <c r="AG41" i="3"/>
  <c r="AF41" i="3"/>
  <c r="M41" i="3"/>
  <c r="L41" i="3"/>
  <c r="I41" i="3"/>
  <c r="AV41" i="3" s="1"/>
  <c r="F41" i="3"/>
  <c r="D49" i="7" s="1"/>
  <c r="AU40" i="3"/>
  <c r="AR40" i="3"/>
  <c r="AP40" i="3"/>
  <c r="AO40" i="3"/>
  <c r="AB40" i="3" s="1"/>
  <c r="AN40" i="3"/>
  <c r="AM40" i="3"/>
  <c r="AW40" i="3" s="1"/>
  <c r="AL40" i="3"/>
  <c r="AK40" i="3"/>
  <c r="AJ40" i="3"/>
  <c r="AI40" i="3"/>
  <c r="AG40" i="3"/>
  <c r="AF40" i="3"/>
  <c r="AH40" i="3" s="1"/>
  <c r="AA40" i="3"/>
  <c r="N40" i="3"/>
  <c r="L40" i="3"/>
  <c r="I40" i="3"/>
  <c r="E48" i="7" s="1"/>
  <c r="V48" i="7" s="1"/>
  <c r="F40" i="3"/>
  <c r="D48" i="7" s="1"/>
  <c r="AU39" i="3"/>
  <c r="AR39" i="3"/>
  <c r="AS39" i="3" s="1"/>
  <c r="AQ39" i="3"/>
  <c r="AC39" i="3" s="1"/>
  <c r="AP39" i="3"/>
  <c r="AO39" i="3"/>
  <c r="AB39" i="3" s="1"/>
  <c r="AN39" i="3"/>
  <c r="AM39" i="3"/>
  <c r="AL39" i="3"/>
  <c r="AK39" i="3"/>
  <c r="AJ39" i="3"/>
  <c r="AW39" i="3" s="1"/>
  <c r="AI39" i="3"/>
  <c r="AG39" i="3"/>
  <c r="AF39" i="3"/>
  <c r="AH39" i="3" s="1"/>
  <c r="AA39" i="3"/>
  <c r="M39" i="3"/>
  <c r="I39" i="3"/>
  <c r="F39" i="3"/>
  <c r="D47" i="7" s="1"/>
  <c r="AU38" i="3"/>
  <c r="AR38" i="3"/>
  <c r="AT38" i="3" s="1"/>
  <c r="AO38" i="3"/>
  <c r="AB38" i="3" s="1"/>
  <c r="AM38" i="3"/>
  <c r="AL38" i="3"/>
  <c r="AK38" i="3"/>
  <c r="AJ38" i="3"/>
  <c r="AI38" i="3"/>
  <c r="AF38" i="3" s="1"/>
  <c r="AG38" i="3"/>
  <c r="N38" i="3"/>
  <c r="L38" i="3"/>
  <c r="I38" i="3"/>
  <c r="E46" i="7" s="1"/>
  <c r="W46" i="7" s="1"/>
  <c r="F38" i="3"/>
  <c r="D46" i="7" s="1"/>
  <c r="AU37" i="3"/>
  <c r="AO37" i="3"/>
  <c r="AB37" i="3" s="1"/>
  <c r="AM37" i="3"/>
  <c r="AL37" i="3"/>
  <c r="AK37" i="3"/>
  <c r="AJ37" i="3"/>
  <c r="AI37" i="3"/>
  <c r="AG37" i="3"/>
  <c r="I37" i="3"/>
  <c r="F37" i="3"/>
  <c r="D45" i="7" s="1"/>
  <c r="AU36" i="3"/>
  <c r="AR36" i="3"/>
  <c r="AP36" i="3"/>
  <c r="AO36" i="3"/>
  <c r="AB36" i="3" s="1"/>
  <c r="AN36" i="3"/>
  <c r="AA36" i="3" s="1"/>
  <c r="AM36" i="3"/>
  <c r="AL36" i="3"/>
  <c r="AK36" i="3"/>
  <c r="AW36" i="3" s="1"/>
  <c r="AJ36" i="3"/>
  <c r="AI36" i="3"/>
  <c r="AF36" i="3" s="1"/>
  <c r="AG36" i="3"/>
  <c r="N36" i="3"/>
  <c r="L36" i="3"/>
  <c r="I36" i="3"/>
  <c r="F36" i="3"/>
  <c r="D44" i="7" s="1"/>
  <c r="AU35" i="3"/>
  <c r="AR35" i="3"/>
  <c r="AS35" i="3" s="1"/>
  <c r="AP35" i="3"/>
  <c r="AO35" i="3"/>
  <c r="AN35" i="3"/>
  <c r="AA35" i="3" s="1"/>
  <c r="AM35" i="3"/>
  <c r="AL35" i="3"/>
  <c r="AK35" i="3"/>
  <c r="AJ35" i="3"/>
  <c r="AI35" i="3"/>
  <c r="AF35" i="3" s="1"/>
  <c r="AG35" i="3"/>
  <c r="AB35" i="3"/>
  <c r="M35" i="3"/>
  <c r="I35" i="3"/>
  <c r="F35" i="3"/>
  <c r="D43" i="7" s="1"/>
  <c r="AU34" i="3"/>
  <c r="AO34" i="3"/>
  <c r="AB34" i="3" s="1"/>
  <c r="AM34" i="3"/>
  <c r="AL34" i="3"/>
  <c r="AK34" i="3"/>
  <c r="AJ34" i="3"/>
  <c r="AI34" i="3"/>
  <c r="AG34" i="3"/>
  <c r="N34" i="3"/>
  <c r="L34" i="3"/>
  <c r="I34" i="3"/>
  <c r="AV34" i="3" s="1"/>
  <c r="F34" i="3"/>
  <c r="D42" i="7" s="1"/>
  <c r="AU33" i="3"/>
  <c r="AO33" i="3"/>
  <c r="AN33" i="3"/>
  <c r="AA33" i="3" s="1"/>
  <c r="AM33" i="3"/>
  <c r="AL33" i="3"/>
  <c r="AK33" i="3"/>
  <c r="AJ33" i="3"/>
  <c r="AW33" i="3" s="1"/>
  <c r="AI33" i="3"/>
  <c r="AG33" i="3"/>
  <c r="AF33" i="3"/>
  <c r="AQ33" i="3" s="1"/>
  <c r="AC33" i="3" s="1"/>
  <c r="AB33" i="3"/>
  <c r="N33" i="3"/>
  <c r="L33" i="3"/>
  <c r="I33" i="3"/>
  <c r="AV33" i="3" s="1"/>
  <c r="F33" i="3"/>
  <c r="D41" i="7" s="1"/>
  <c r="AU32" i="3"/>
  <c r="AR32" i="3"/>
  <c r="AT32" i="3" s="1"/>
  <c r="AP32" i="3"/>
  <c r="AO32" i="3"/>
  <c r="AN32" i="3"/>
  <c r="AA32" i="3" s="1"/>
  <c r="AM32" i="3"/>
  <c r="AL32" i="3"/>
  <c r="AK32" i="3"/>
  <c r="AW32" i="3" s="1"/>
  <c r="AJ32" i="3"/>
  <c r="AI32" i="3"/>
  <c r="AG32" i="3"/>
  <c r="AF32" i="3"/>
  <c r="AH32" i="3" s="1"/>
  <c r="AB32" i="3"/>
  <c r="N32" i="3"/>
  <c r="L32" i="3"/>
  <c r="I32" i="3"/>
  <c r="K84" i="6" s="1"/>
  <c r="F32" i="3"/>
  <c r="D40" i="7" s="1"/>
  <c r="AU31" i="3"/>
  <c r="AO31" i="3"/>
  <c r="AB31" i="3" s="1"/>
  <c r="AM31" i="3"/>
  <c r="AL31" i="3"/>
  <c r="AK31" i="3"/>
  <c r="AJ31" i="3"/>
  <c r="AI31" i="3"/>
  <c r="AG31" i="3"/>
  <c r="M31" i="3"/>
  <c r="I31" i="3"/>
  <c r="AV31" i="3" s="1"/>
  <c r="F31" i="3"/>
  <c r="D39" i="7" s="1"/>
  <c r="AU30" i="3"/>
  <c r="AO30" i="3"/>
  <c r="AB30" i="3" s="1"/>
  <c r="AM30" i="3"/>
  <c r="AL30" i="3"/>
  <c r="AK30" i="3"/>
  <c r="AJ30" i="3"/>
  <c r="AI30" i="3"/>
  <c r="AG30" i="3"/>
  <c r="AF30" i="3"/>
  <c r="AH30" i="3" s="1"/>
  <c r="M30" i="3"/>
  <c r="I30" i="3"/>
  <c r="AV30" i="3" s="1"/>
  <c r="F30" i="3"/>
  <c r="D38" i="7" s="1"/>
  <c r="AU29" i="3"/>
  <c r="AR29" i="3"/>
  <c r="AS29" i="3" s="1"/>
  <c r="AO29" i="3"/>
  <c r="AM29" i="3"/>
  <c r="AL29" i="3"/>
  <c r="AK29" i="3"/>
  <c r="AJ29" i="3"/>
  <c r="AI29" i="3"/>
  <c r="AG29" i="3"/>
  <c r="AB29" i="3"/>
  <c r="I29" i="3"/>
  <c r="AV29" i="3" s="1"/>
  <c r="F29" i="3"/>
  <c r="D37" i="7" s="1"/>
  <c r="AU28" i="3"/>
  <c r="AR28" i="3"/>
  <c r="AT28" i="3" s="1"/>
  <c r="AP28" i="3"/>
  <c r="AO28" i="3"/>
  <c r="AN28" i="3"/>
  <c r="AM28" i="3"/>
  <c r="AL28" i="3"/>
  <c r="AK28" i="3"/>
  <c r="AW28" i="3" s="1"/>
  <c r="AJ28" i="3"/>
  <c r="AI28" i="3"/>
  <c r="AF28" i="3" s="1"/>
  <c r="AG28" i="3"/>
  <c r="AB28" i="3"/>
  <c r="AA28" i="3"/>
  <c r="N28" i="3"/>
  <c r="L28" i="3"/>
  <c r="I28" i="3"/>
  <c r="F28" i="3"/>
  <c r="D36" i="7" s="1"/>
  <c r="AU27" i="3"/>
  <c r="AR27" i="3"/>
  <c r="AS27" i="3" s="1"/>
  <c r="AO27" i="3"/>
  <c r="AM27" i="3"/>
  <c r="AL27" i="3"/>
  <c r="AK27" i="3"/>
  <c r="AJ27" i="3"/>
  <c r="AI27" i="3"/>
  <c r="AG27" i="3"/>
  <c r="AF27" i="3"/>
  <c r="AH27" i="3" s="1"/>
  <c r="AB27" i="3"/>
  <c r="I27" i="3"/>
  <c r="AV27" i="3" s="1"/>
  <c r="F27" i="3"/>
  <c r="D35" i="7" s="1"/>
  <c r="AU26" i="3"/>
  <c r="AT26" i="3"/>
  <c r="AS26" i="3"/>
  <c r="AR26" i="3"/>
  <c r="AO26" i="3"/>
  <c r="AB26" i="3" s="1"/>
  <c r="AM26" i="3"/>
  <c r="AL26" i="3"/>
  <c r="AK26" i="3"/>
  <c r="AJ26" i="3"/>
  <c r="AI26" i="3"/>
  <c r="AV26" i="3" s="1"/>
  <c r="AG26" i="3"/>
  <c r="N26" i="3"/>
  <c r="L26" i="3"/>
  <c r="I26" i="3"/>
  <c r="M26" i="3" s="1"/>
  <c r="F26" i="3"/>
  <c r="D34" i="7" s="1"/>
  <c r="AW25" i="3"/>
  <c r="AU25" i="3"/>
  <c r="AR25" i="3"/>
  <c r="AS25" i="3" s="1"/>
  <c r="AP25" i="3"/>
  <c r="AO25" i="3"/>
  <c r="AN25" i="3"/>
  <c r="AM25" i="3"/>
  <c r="AL25" i="3"/>
  <c r="AK25" i="3"/>
  <c r="AJ25" i="3"/>
  <c r="AI25" i="3"/>
  <c r="AV25" i="3" s="1"/>
  <c r="AG25" i="3"/>
  <c r="AB25" i="3"/>
  <c r="AA25" i="3"/>
  <c r="N25" i="3"/>
  <c r="L25" i="3"/>
  <c r="I25" i="3"/>
  <c r="M25" i="3" s="1"/>
  <c r="F25" i="3"/>
  <c r="D33" i="7" s="1"/>
  <c r="AW24" i="3"/>
  <c r="AU24" i="3"/>
  <c r="AR24" i="3"/>
  <c r="AT24" i="3" s="1"/>
  <c r="AP24" i="3"/>
  <c r="AO24" i="3"/>
  <c r="AN24" i="3"/>
  <c r="AM24" i="3"/>
  <c r="AL24" i="3"/>
  <c r="AK24" i="3"/>
  <c r="AJ24" i="3"/>
  <c r="AI24" i="3"/>
  <c r="AF24" i="3" s="1"/>
  <c r="AG24" i="3"/>
  <c r="AB24" i="3"/>
  <c r="AA24" i="3"/>
  <c r="N24" i="3"/>
  <c r="L24" i="3"/>
  <c r="I24" i="3"/>
  <c r="F24" i="3"/>
  <c r="D32" i="7" s="1"/>
  <c r="AV23" i="3"/>
  <c r="AU23" i="3"/>
  <c r="AR23" i="3"/>
  <c r="AP23" i="3"/>
  <c r="AO23" i="3"/>
  <c r="AB23" i="3" s="1"/>
  <c r="AM23" i="3"/>
  <c r="AL23" i="3"/>
  <c r="AK23" i="3"/>
  <c r="AJ23" i="3"/>
  <c r="AI23" i="3"/>
  <c r="AG23" i="3"/>
  <c r="I23" i="3"/>
  <c r="AN23" i="3" s="1"/>
  <c r="AA23" i="3" s="1"/>
  <c r="F23" i="3"/>
  <c r="D31" i="7" s="1"/>
  <c r="AU22" i="3"/>
  <c r="AR22" i="3"/>
  <c r="AT22" i="3" s="1"/>
  <c r="AO22" i="3"/>
  <c r="AB22" i="3" s="1"/>
  <c r="AM22" i="3"/>
  <c r="AL22" i="3"/>
  <c r="AK22" i="3"/>
  <c r="AJ22" i="3"/>
  <c r="AI22" i="3"/>
  <c r="AG22" i="3"/>
  <c r="I22" i="3"/>
  <c r="L22" i="3" s="1"/>
  <c r="F22" i="3"/>
  <c r="D30" i="7" s="1"/>
  <c r="AV21" i="3"/>
  <c r="AU21" i="3"/>
  <c r="AO21" i="3"/>
  <c r="AB21" i="3" s="1"/>
  <c r="AM21" i="3"/>
  <c r="AL21" i="3"/>
  <c r="AK21" i="3"/>
  <c r="AJ21" i="3"/>
  <c r="AI21" i="3"/>
  <c r="AG21" i="3"/>
  <c r="I21" i="3"/>
  <c r="F21" i="3"/>
  <c r="D29" i="7" s="1"/>
  <c r="AU20" i="3"/>
  <c r="AS20" i="3"/>
  <c r="AR20" i="3"/>
  <c r="AT20" i="3" s="1"/>
  <c r="AP20" i="3"/>
  <c r="AO20" i="3"/>
  <c r="AB20" i="3" s="1"/>
  <c r="AN20" i="3"/>
  <c r="AM20" i="3"/>
  <c r="AL20" i="3"/>
  <c r="AK20" i="3"/>
  <c r="AJ20" i="3"/>
  <c r="AI20" i="3"/>
  <c r="AF20" i="3" s="1"/>
  <c r="AG20" i="3"/>
  <c r="AW20" i="3" s="1"/>
  <c r="AA20" i="3"/>
  <c r="N20" i="3"/>
  <c r="M20" i="3"/>
  <c r="L20" i="3"/>
  <c r="I20" i="3"/>
  <c r="K36" i="6" s="1"/>
  <c r="F20" i="3"/>
  <c r="D28" i="7" s="1"/>
  <c r="AU19" i="3"/>
  <c r="AP19" i="3"/>
  <c r="AO19" i="3"/>
  <c r="AM19" i="3"/>
  <c r="AL19" i="3"/>
  <c r="AK19" i="3"/>
  <c r="AJ19" i="3"/>
  <c r="AI19" i="3"/>
  <c r="AV19" i="3" s="1"/>
  <c r="AG19" i="3"/>
  <c r="AB19" i="3"/>
  <c r="I19" i="3"/>
  <c r="M19" i="3" s="1"/>
  <c r="F19" i="3"/>
  <c r="D27" i="7" s="1"/>
  <c r="AV18" i="3"/>
  <c r="AU18" i="3"/>
  <c r="AR18" i="3"/>
  <c r="AT18" i="3" s="1"/>
  <c r="AO18" i="3"/>
  <c r="AB18" i="3" s="1"/>
  <c r="AM18" i="3"/>
  <c r="AL18" i="3"/>
  <c r="AK18" i="3"/>
  <c r="AJ18" i="3"/>
  <c r="AI18" i="3"/>
  <c r="AF18" i="3" s="1"/>
  <c r="AG18" i="3"/>
  <c r="N18" i="3"/>
  <c r="L18" i="3"/>
  <c r="I18" i="3"/>
  <c r="F18" i="3"/>
  <c r="D26" i="7" s="1"/>
  <c r="AV17" i="3"/>
  <c r="U17" i="3" s="1"/>
  <c r="AU17" i="3"/>
  <c r="AT17" i="3"/>
  <c r="AR17" i="3"/>
  <c r="AS17" i="3" s="1"/>
  <c r="AP17" i="3"/>
  <c r="AO17" i="3"/>
  <c r="AB17" i="3" s="1"/>
  <c r="AN17" i="3"/>
  <c r="AA17" i="3" s="1"/>
  <c r="AM17" i="3"/>
  <c r="AL17" i="3"/>
  <c r="AK17" i="3"/>
  <c r="AJ17" i="3"/>
  <c r="AW17" i="3" s="1"/>
  <c r="AI17" i="3"/>
  <c r="AG17" i="3"/>
  <c r="N17" i="3"/>
  <c r="L17" i="3"/>
  <c r="I17" i="3"/>
  <c r="F17" i="3"/>
  <c r="D25" i="7" s="1"/>
  <c r="AU16" i="3"/>
  <c r="AS16" i="3"/>
  <c r="AR16" i="3"/>
  <c r="AT16" i="3" s="1"/>
  <c r="AP16" i="3"/>
  <c r="AO16" i="3"/>
  <c r="AB16" i="3" s="1"/>
  <c r="AN16" i="3"/>
  <c r="AA16" i="3" s="1"/>
  <c r="AM16" i="3"/>
  <c r="AL16" i="3"/>
  <c r="AW16" i="3" s="1"/>
  <c r="AK16" i="3"/>
  <c r="AJ16" i="3"/>
  <c r="AI16" i="3"/>
  <c r="AG16" i="3"/>
  <c r="AF16" i="3"/>
  <c r="AH16" i="3" s="1"/>
  <c r="N16" i="3"/>
  <c r="L16" i="3"/>
  <c r="I16" i="3"/>
  <c r="F16" i="3"/>
  <c r="D24" i="7" s="1"/>
  <c r="AU15" i="3"/>
  <c r="AT15" i="3"/>
  <c r="AS15" i="3"/>
  <c r="AR15" i="3"/>
  <c r="AP15" i="3"/>
  <c r="AO15" i="3"/>
  <c r="AB15" i="3" s="1"/>
  <c r="AN15" i="3"/>
  <c r="AM15" i="3"/>
  <c r="AL15" i="3"/>
  <c r="AK15" i="3"/>
  <c r="AJ15" i="3"/>
  <c r="AI15" i="3"/>
  <c r="AV15" i="3" s="1"/>
  <c r="AG15" i="3"/>
  <c r="AA15" i="3"/>
  <c r="I15" i="3"/>
  <c r="F15" i="3"/>
  <c r="D23" i="7" s="1"/>
  <c r="AV14" i="3"/>
  <c r="AU14" i="3"/>
  <c r="AT14" i="3"/>
  <c r="AR14" i="3"/>
  <c r="AO14" i="3"/>
  <c r="AB14" i="3" s="1"/>
  <c r="AM14" i="3"/>
  <c r="AL14" i="3"/>
  <c r="AK14" i="3"/>
  <c r="AJ14" i="3"/>
  <c r="AI14" i="3"/>
  <c r="AG14" i="3"/>
  <c r="N14" i="3"/>
  <c r="L14" i="3"/>
  <c r="I14" i="3"/>
  <c r="F14" i="3"/>
  <c r="D22" i="7" s="1"/>
  <c r="AU13" i="3"/>
  <c r="AO13" i="3"/>
  <c r="AB13" i="3" s="1"/>
  <c r="AM13" i="3"/>
  <c r="AL13" i="3"/>
  <c r="AK13" i="3"/>
  <c r="AJ13" i="3"/>
  <c r="AI13" i="3"/>
  <c r="AV13" i="3" s="1"/>
  <c r="AG13" i="3"/>
  <c r="I13" i="3"/>
  <c r="M13" i="3" s="1"/>
  <c r="F13" i="3"/>
  <c r="D21" i="7" s="1"/>
  <c r="AU12" i="3"/>
  <c r="AR12" i="3"/>
  <c r="AT12" i="3" s="1"/>
  <c r="AP12" i="3"/>
  <c r="AO12" i="3"/>
  <c r="AN12" i="3"/>
  <c r="AM12" i="3"/>
  <c r="AL12" i="3"/>
  <c r="AK12" i="3"/>
  <c r="AJ12" i="3"/>
  <c r="AW12" i="3" s="1"/>
  <c r="AI12" i="3"/>
  <c r="AF12" i="3" s="1"/>
  <c r="AG12" i="3"/>
  <c r="AB12" i="3"/>
  <c r="AA12" i="3"/>
  <c r="N12" i="3"/>
  <c r="L12" i="3"/>
  <c r="I12" i="3"/>
  <c r="M12" i="3" s="1"/>
  <c r="F12" i="3"/>
  <c r="D20" i="7" s="1"/>
  <c r="AV11" i="3"/>
  <c r="AU11" i="3"/>
  <c r="AO11" i="3"/>
  <c r="AB11" i="3" s="1"/>
  <c r="AM11" i="3"/>
  <c r="AL11" i="3"/>
  <c r="AK11" i="3"/>
  <c r="AJ11" i="3"/>
  <c r="AI11" i="3"/>
  <c r="AG11" i="3"/>
  <c r="I11" i="3"/>
  <c r="AN11" i="3" s="1"/>
  <c r="AA11" i="3" s="1"/>
  <c r="F11" i="3"/>
  <c r="D19" i="7" s="1"/>
  <c r="AU10" i="3"/>
  <c r="AO10" i="3"/>
  <c r="AB10" i="3" s="1"/>
  <c r="AM10" i="3"/>
  <c r="AL10" i="3"/>
  <c r="AK10" i="3"/>
  <c r="AJ10" i="3"/>
  <c r="AI10" i="3"/>
  <c r="AG10" i="3"/>
  <c r="I10" i="3"/>
  <c r="F10" i="3"/>
  <c r="D18" i="7" s="1"/>
  <c r="AU9" i="3"/>
  <c r="AO9" i="3"/>
  <c r="AB9" i="3" s="1"/>
  <c r="AM9" i="3"/>
  <c r="AL9" i="3"/>
  <c r="AK9" i="3"/>
  <c r="AJ9" i="3"/>
  <c r="AI9" i="3"/>
  <c r="AG9" i="3"/>
  <c r="M9" i="3"/>
  <c r="L9" i="3"/>
  <c r="I9" i="3"/>
  <c r="AV9" i="3" s="1"/>
  <c r="F9" i="3"/>
  <c r="D17" i="7" s="1"/>
  <c r="AU8" i="3"/>
  <c r="AR8" i="3"/>
  <c r="AT8" i="3" s="1"/>
  <c r="AP8" i="3"/>
  <c r="AO8" i="3"/>
  <c r="AB8" i="3" s="1"/>
  <c r="AN8" i="3"/>
  <c r="AA8" i="3" s="1"/>
  <c r="AM8" i="3"/>
  <c r="AL8" i="3"/>
  <c r="AK8" i="3"/>
  <c r="AJ8" i="3"/>
  <c r="AI8" i="3"/>
  <c r="AV8" i="3" s="1"/>
  <c r="AG8" i="3"/>
  <c r="N8" i="3"/>
  <c r="M8" i="3"/>
  <c r="L8" i="3"/>
  <c r="I8" i="3"/>
  <c r="AF8" i="3" s="1"/>
  <c r="F8" i="3"/>
  <c r="D16" i="7" s="1"/>
  <c r="AU7" i="3"/>
  <c r="AO7" i="3"/>
  <c r="AB7" i="3" s="1"/>
  <c r="AN7" i="3"/>
  <c r="AA7" i="3" s="1"/>
  <c r="AM7" i="3"/>
  <c r="AL7" i="3"/>
  <c r="AK7" i="3"/>
  <c r="AJ7" i="3"/>
  <c r="AI7" i="3"/>
  <c r="AV7" i="3" s="1"/>
  <c r="AG7" i="3"/>
  <c r="N7" i="3"/>
  <c r="I7" i="3"/>
  <c r="AR7" i="3" s="1"/>
  <c r="F7" i="3"/>
  <c r="D15" i="7" s="1"/>
  <c r="AU6" i="3"/>
  <c r="AP6" i="3"/>
  <c r="AO6" i="3"/>
  <c r="AM6" i="3"/>
  <c r="AL6" i="3"/>
  <c r="AK6" i="3"/>
  <c r="AJ6" i="3"/>
  <c r="AI6" i="3"/>
  <c r="AG6" i="3"/>
  <c r="AB6" i="3"/>
  <c r="I6" i="3"/>
  <c r="F6" i="3"/>
  <c r="AU5" i="3"/>
  <c r="AO5" i="3"/>
  <c r="AM5" i="3"/>
  <c r="AL5" i="3"/>
  <c r="AK5" i="3"/>
  <c r="AJ5" i="3"/>
  <c r="AI5" i="3"/>
  <c r="AG5" i="3"/>
  <c r="AB5" i="3"/>
  <c r="I5" i="3"/>
  <c r="AP5" i="3" s="1"/>
  <c r="F5" i="3"/>
  <c r="D13" i="7" s="1"/>
  <c r="AU4" i="3"/>
  <c r="AR4" i="3"/>
  <c r="AT4" i="3" s="1"/>
  <c r="AP4" i="3"/>
  <c r="AO4" i="3"/>
  <c r="AN4" i="3"/>
  <c r="AM4" i="3"/>
  <c r="AL4" i="3"/>
  <c r="AK4" i="3"/>
  <c r="AJ4" i="3"/>
  <c r="AI4" i="3"/>
  <c r="AG4" i="3"/>
  <c r="AB4" i="3"/>
  <c r="AA4" i="3"/>
  <c r="N4" i="3"/>
  <c r="M4" i="3"/>
  <c r="L4" i="3"/>
  <c r="I4" i="3"/>
  <c r="AV4" i="3" s="1"/>
  <c r="F4" i="3"/>
  <c r="D12" i="7" s="1"/>
  <c r="AU3" i="3"/>
  <c r="AR3" i="3"/>
  <c r="AO3" i="3"/>
  <c r="AB3" i="3" s="1"/>
  <c r="AN3" i="3"/>
  <c r="AA3" i="3" s="1"/>
  <c r="AM3" i="3"/>
  <c r="AL3" i="3"/>
  <c r="AK3" i="3"/>
  <c r="AJ3" i="3"/>
  <c r="AI3" i="3"/>
  <c r="AG3" i="3"/>
  <c r="AF3" i="3"/>
  <c r="N3" i="3"/>
  <c r="I3" i="3"/>
  <c r="AV3" i="3" s="1"/>
  <c r="F3" i="3"/>
  <c r="D11" i="7" s="1"/>
  <c r="AU2" i="3"/>
  <c r="AT2" i="3"/>
  <c r="AS2" i="3"/>
  <c r="AR2" i="3"/>
  <c r="AP2" i="3"/>
  <c r="AO2" i="3"/>
  <c r="AM2" i="3"/>
  <c r="AL2" i="3"/>
  <c r="AK2" i="3"/>
  <c r="AJ2" i="3"/>
  <c r="AI2" i="3"/>
  <c r="AV2" i="3" s="1"/>
  <c r="AH2" i="3"/>
  <c r="AG2" i="3"/>
  <c r="AF2" i="3"/>
  <c r="N2" i="3"/>
  <c r="L2" i="3"/>
  <c r="I2" i="3"/>
  <c r="F2" i="3"/>
  <c r="D10" i="7" s="1"/>
  <c r="C35" i="2"/>
  <c r="C34" i="2"/>
  <c r="C33" i="2"/>
  <c r="C32" i="2"/>
  <c r="C31" i="2"/>
  <c r="C30" i="2"/>
  <c r="C29" i="2"/>
  <c r="E27" i="2"/>
  <c r="E26" i="2"/>
  <c r="E25" i="2"/>
  <c r="E24" i="2"/>
  <c r="E23" i="2"/>
  <c r="E22" i="2"/>
  <c r="E21" i="2"/>
  <c r="E20" i="2"/>
  <c r="E19" i="2"/>
  <c r="E18" i="2"/>
  <c r="E17" i="2"/>
  <c r="E16" i="2"/>
  <c r="E15" i="2"/>
  <c r="E14" i="2"/>
  <c r="E13" i="2"/>
  <c r="E12" i="2"/>
  <c r="E11" i="2"/>
  <c r="E10" i="2"/>
  <c r="E9" i="2"/>
  <c r="AH18" i="3" l="1"/>
  <c r="AQ55" i="3"/>
  <c r="AC55" i="3" s="1"/>
  <c r="AH55" i="3"/>
  <c r="AH28" i="3"/>
  <c r="AQ28" i="3"/>
  <c r="AC28" i="3" s="1"/>
  <c r="AW34" i="3"/>
  <c r="AQ51" i="3"/>
  <c r="AC51" i="3" s="1"/>
  <c r="AH51" i="3"/>
  <c r="AH54" i="3"/>
  <c r="AQ47" i="3"/>
  <c r="AC47" i="3" s="1"/>
  <c r="AH47" i="3"/>
  <c r="AQ63" i="3"/>
  <c r="AC63" i="3" s="1"/>
  <c r="AH63" i="3"/>
  <c r="AW8" i="3"/>
  <c r="G29" i="4"/>
  <c r="F29" i="4"/>
  <c r="AW11" i="3"/>
  <c r="AV12" i="3"/>
  <c r="AH36" i="3"/>
  <c r="AQ36" i="3"/>
  <c r="AC36" i="3" s="1"/>
  <c r="D14" i="7"/>
  <c r="AF6" i="3"/>
  <c r="AH35" i="3"/>
  <c r="AQ35" i="3"/>
  <c r="AC35" i="3" s="1"/>
  <c r="K27" i="6"/>
  <c r="E18" i="7"/>
  <c r="AN10" i="3"/>
  <c r="AA10" i="3" s="1"/>
  <c r="M10" i="3"/>
  <c r="L10" i="3"/>
  <c r="AV10" i="3"/>
  <c r="AF10" i="3"/>
  <c r="AR10" i="3"/>
  <c r="AP10" i="3"/>
  <c r="N10" i="3"/>
  <c r="AH38" i="3"/>
  <c r="AQ38" i="3"/>
  <c r="AC38" i="3" s="1"/>
  <c r="AV6" i="3"/>
  <c r="AH20" i="3"/>
  <c r="AQ20" i="3"/>
  <c r="AC20" i="3" s="1"/>
  <c r="AH45" i="3"/>
  <c r="E13" i="7"/>
  <c r="K22" i="6"/>
  <c r="AF5" i="3"/>
  <c r="AR5" i="3"/>
  <c r="AN5" i="3"/>
  <c r="AA5" i="3" s="1"/>
  <c r="N5" i="3"/>
  <c r="B13" i="4" s="1"/>
  <c r="M5" i="3"/>
  <c r="L5" i="3"/>
  <c r="AV5" i="3"/>
  <c r="AW4" i="3"/>
  <c r="AH12" i="3"/>
  <c r="AQ12" i="3"/>
  <c r="AC12" i="3" s="1"/>
  <c r="AT3" i="3"/>
  <c r="AS3" i="3"/>
  <c r="AW30" i="3"/>
  <c r="AH44" i="3"/>
  <c r="AQ44" i="3"/>
  <c r="AC44" i="3" s="1"/>
  <c r="AH48" i="3"/>
  <c r="AQ48" i="3"/>
  <c r="AC48" i="3" s="1"/>
  <c r="B23" i="4"/>
  <c r="D23" i="4" s="1"/>
  <c r="AB2" i="3"/>
  <c r="U12" i="3"/>
  <c r="AW46" i="3"/>
  <c r="AW62" i="3"/>
  <c r="AQ2" i="3"/>
  <c r="AH8" i="3"/>
  <c r="AQ8" i="3"/>
  <c r="AC8" i="3" s="1"/>
  <c r="AH49" i="3"/>
  <c r="AW14" i="3"/>
  <c r="C30" i="4"/>
  <c r="AT7" i="3"/>
  <c r="AS7" i="3"/>
  <c r="AW2" i="3"/>
  <c r="U8" i="3"/>
  <c r="AH3" i="3"/>
  <c r="AQ3" i="3"/>
  <c r="AC3" i="3" s="1"/>
  <c r="C36" i="2"/>
  <c r="C28" i="2"/>
  <c r="AH24" i="3"/>
  <c r="AQ24" i="3"/>
  <c r="AC24" i="3" s="1"/>
  <c r="AQ46" i="3"/>
  <c r="AC46" i="3" s="1"/>
  <c r="AH46" i="3"/>
  <c r="U4" i="3"/>
  <c r="U25" i="3"/>
  <c r="AQ59" i="3"/>
  <c r="AC59" i="3" s="1"/>
  <c r="AH59" i="3"/>
  <c r="E29" i="7"/>
  <c r="K79" i="6"/>
  <c r="AN27" i="3"/>
  <c r="AA27" i="3" s="1"/>
  <c r="M29" i="3"/>
  <c r="AH42" i="3"/>
  <c r="AW43" i="3"/>
  <c r="AA40" i="7"/>
  <c r="Z40" i="7"/>
  <c r="Y40" i="7"/>
  <c r="X40" i="7"/>
  <c r="W40" i="7"/>
  <c r="V40" i="7"/>
  <c r="U40" i="7"/>
  <c r="T40" i="7"/>
  <c r="B29" i="4"/>
  <c r="E10" i="7"/>
  <c r="B16" i="4"/>
  <c r="AN2" i="3"/>
  <c r="B8" i="4"/>
  <c r="B7" i="4"/>
  <c r="K19" i="6"/>
  <c r="AW3" i="3"/>
  <c r="AF7" i="3"/>
  <c r="AP9" i="3"/>
  <c r="L13" i="3"/>
  <c r="K30" i="6"/>
  <c r="C5" i="6" s="1"/>
  <c r="B31" i="4"/>
  <c r="E22" i="7"/>
  <c r="AP14" i="3"/>
  <c r="AN14" i="3"/>
  <c r="AA14" i="3" s="1"/>
  <c r="E23" i="7"/>
  <c r="N15" i="3"/>
  <c r="L15" i="3"/>
  <c r="K31" i="6"/>
  <c r="E25" i="7"/>
  <c r="K33" i="6"/>
  <c r="E26" i="7"/>
  <c r="K34" i="6"/>
  <c r="AP18" i="3"/>
  <c r="AN18" i="3"/>
  <c r="AQ18" i="3" s="1"/>
  <c r="AC18" i="3" s="1"/>
  <c r="L21" i="3"/>
  <c r="M24" i="3"/>
  <c r="N29" i="3"/>
  <c r="AN29" i="3"/>
  <c r="AA29" i="3" s="1"/>
  <c r="N30" i="3"/>
  <c r="AP31" i="3"/>
  <c r="AR34" i="3"/>
  <c r="AR45" i="3"/>
  <c r="C34" i="4" s="1"/>
  <c r="G36" i="4"/>
  <c r="AW59" i="3"/>
  <c r="E73" i="7"/>
  <c r="AR65" i="3"/>
  <c r="AF65" i="3"/>
  <c r="AP65" i="3"/>
  <c r="K73" i="6"/>
  <c r="N65" i="3"/>
  <c r="L65" i="3"/>
  <c r="AW23" i="3"/>
  <c r="U23" i="3" s="1"/>
  <c r="K28" i="6"/>
  <c r="E19" i="7"/>
  <c r="L11" i="3"/>
  <c r="N11" i="3"/>
  <c r="K35" i="6"/>
  <c r="E27" i="7"/>
  <c r="N19" i="3"/>
  <c r="L19" i="3"/>
  <c r="K83" i="6"/>
  <c r="E30" i="7"/>
  <c r="AP22" i="3"/>
  <c r="AN22" i="3"/>
  <c r="M23" i="3"/>
  <c r="M28" i="3"/>
  <c r="AQ41" i="3"/>
  <c r="AC41" i="3" s="1"/>
  <c r="M15" i="3"/>
  <c r="M22" i="3"/>
  <c r="AR30" i="3"/>
  <c r="AP33" i="3"/>
  <c r="U33" i="3" s="1"/>
  <c r="AQ40" i="3"/>
  <c r="AC40" i="3" s="1"/>
  <c r="AH41" i="3"/>
  <c r="AQ52" i="3"/>
  <c r="AC52" i="3" s="1"/>
  <c r="AH61" i="3"/>
  <c r="K78" i="6"/>
  <c r="E21" i="7"/>
  <c r="G33" i="4"/>
  <c r="AT36" i="3"/>
  <c r="AS36" i="3"/>
  <c r="K20" i="6"/>
  <c r="E11" i="7"/>
  <c r="L3" i="3"/>
  <c r="AR9" i="3"/>
  <c r="AN19" i="3"/>
  <c r="AA19" i="3" s="1"/>
  <c r="M21" i="3"/>
  <c r="AP27" i="3"/>
  <c r="M2" i="3"/>
  <c r="M3" i="3"/>
  <c r="E12" i="7"/>
  <c r="K21" i="6"/>
  <c r="AS8" i="3"/>
  <c r="AF9" i="3"/>
  <c r="AP11" i="3"/>
  <c r="U11" i="3" s="1"/>
  <c r="N13" i="3"/>
  <c r="AN13" i="3"/>
  <c r="AA13" i="3" s="1"/>
  <c r="M14" i="3"/>
  <c r="M16" i="3"/>
  <c r="M17" i="3"/>
  <c r="M18" i="3"/>
  <c r="N21" i="3"/>
  <c r="F31" i="4" s="1"/>
  <c r="AN21" i="3"/>
  <c r="N22" i="3"/>
  <c r="AP29" i="3"/>
  <c r="AF31" i="3"/>
  <c r="AR31" i="3"/>
  <c r="AQ32" i="3"/>
  <c r="AC32" i="3" s="1"/>
  <c r="AR33" i="3"/>
  <c r="AF34" i="3"/>
  <c r="AT35" i="3"/>
  <c r="M38" i="3"/>
  <c r="AT40" i="3"/>
  <c r="AS40" i="3"/>
  <c r="AW47" i="3"/>
  <c r="C36" i="4"/>
  <c r="AT52" i="3"/>
  <c r="AS52" i="3"/>
  <c r="AT55" i="3"/>
  <c r="K65" i="6"/>
  <c r="B12" i="6" s="1"/>
  <c r="B37" i="4"/>
  <c r="E65" i="7"/>
  <c r="AP57" i="3"/>
  <c r="U57" i="3" s="1"/>
  <c r="N57" i="3"/>
  <c r="L57" i="3"/>
  <c r="AN57" i="3"/>
  <c r="AA57" i="3" s="1"/>
  <c r="AQ60" i="3"/>
  <c r="AC60" i="3" s="1"/>
  <c r="AT63" i="3"/>
  <c r="K48" i="6"/>
  <c r="C10" i="6" s="1"/>
  <c r="E45" i="7"/>
  <c r="AP37" i="3"/>
  <c r="N37" i="3"/>
  <c r="AT60" i="3"/>
  <c r="AS60" i="3"/>
  <c r="AW61" i="3"/>
  <c r="AQ62" i="3"/>
  <c r="AC62" i="3" s="1"/>
  <c r="AF67" i="3"/>
  <c r="AP13" i="3"/>
  <c r="AP21" i="3"/>
  <c r="AS22" i="3"/>
  <c r="AF26" i="3"/>
  <c r="AT29" i="3"/>
  <c r="L37" i="3"/>
  <c r="AN37" i="3"/>
  <c r="AA37" i="3" s="1"/>
  <c r="AS57" i="3"/>
  <c r="G31" i="4"/>
  <c r="AR11" i="3"/>
  <c r="C32" i="4"/>
  <c r="AS32" i="3"/>
  <c r="AR13" i="3"/>
  <c r="AS18" i="3"/>
  <c r="AF19" i="3"/>
  <c r="AR19" i="3"/>
  <c r="AR21" i="3"/>
  <c r="AF22" i="3"/>
  <c r="AS23" i="3"/>
  <c r="AF25" i="3"/>
  <c r="AT25" i="3"/>
  <c r="AT27" i="3"/>
  <c r="AS28" i="3"/>
  <c r="AH33" i="3"/>
  <c r="AW35" i="3"/>
  <c r="M37" i="3"/>
  <c r="AS38" i="3"/>
  <c r="AT39" i="3"/>
  <c r="AT44" i="3"/>
  <c r="AS44" i="3"/>
  <c r="M47" i="3"/>
  <c r="E35" i="4" s="1"/>
  <c r="AS54" i="3"/>
  <c r="AT57" i="3"/>
  <c r="M59" i="3"/>
  <c r="E37" i="4" s="1"/>
  <c r="U2" i="3"/>
  <c r="E14" i="7"/>
  <c r="K23" i="6"/>
  <c r="B6" i="6" s="1"/>
  <c r="AN6" i="3"/>
  <c r="AW7" i="3"/>
  <c r="AF11" i="3"/>
  <c r="AF23" i="3"/>
  <c r="AF29" i="3"/>
  <c r="L6" i="3"/>
  <c r="K24" i="6"/>
  <c r="L7" i="3"/>
  <c r="E15" i="7"/>
  <c r="B30" i="4"/>
  <c r="AP3" i="3"/>
  <c r="U3" i="3" s="1"/>
  <c r="M6" i="3"/>
  <c r="M7" i="3"/>
  <c r="E30" i="4" s="1"/>
  <c r="K25" i="6"/>
  <c r="E16" i="7"/>
  <c r="AS12" i="3"/>
  <c r="AF13" i="3"/>
  <c r="AS14" i="3"/>
  <c r="AF15" i="3"/>
  <c r="AQ16" i="3"/>
  <c r="AC16" i="3" s="1"/>
  <c r="AF21" i="3"/>
  <c r="AT23" i="3"/>
  <c r="AS24" i="3"/>
  <c r="AW31" i="3"/>
  <c r="AR37" i="3"/>
  <c r="E49" i="7"/>
  <c r="K50" i="6"/>
  <c r="E5" i="6" s="1"/>
  <c r="AP41" i="3"/>
  <c r="U41" i="3" s="1"/>
  <c r="N41" i="3"/>
  <c r="B34" i="4"/>
  <c r="AT48" i="3"/>
  <c r="AS48" i="3"/>
  <c r="AT51" i="3"/>
  <c r="E61" i="7"/>
  <c r="AP53" i="3"/>
  <c r="N53" i="3"/>
  <c r="F36" i="4" s="1"/>
  <c r="K61" i="6"/>
  <c r="L53" i="3"/>
  <c r="AN53" i="3"/>
  <c r="AA53" i="3" s="1"/>
  <c r="AW55" i="3"/>
  <c r="AF57" i="3"/>
  <c r="AW63" i="3"/>
  <c r="AS66" i="3"/>
  <c r="N6" i="3"/>
  <c r="B12" i="4" s="1"/>
  <c r="G30" i="4"/>
  <c r="F30" i="4"/>
  <c r="K26" i="6"/>
  <c r="E17" i="7"/>
  <c r="AF14" i="3"/>
  <c r="AF17" i="3"/>
  <c r="AV22" i="3"/>
  <c r="M36" i="3"/>
  <c r="M50" i="3"/>
  <c r="M53" i="3"/>
  <c r="E36" i="4" s="1"/>
  <c r="M56" i="3"/>
  <c r="K69" i="6"/>
  <c r="E69" i="7"/>
  <c r="AP61" i="3"/>
  <c r="N61" i="3"/>
  <c r="L61" i="3"/>
  <c r="AN61" i="3"/>
  <c r="AA61" i="3" s="1"/>
  <c r="AW65" i="3"/>
  <c r="K81" i="6"/>
  <c r="N31" i="3"/>
  <c r="L31" i="3"/>
  <c r="E39" i="7"/>
  <c r="B33" i="4"/>
  <c r="K44" i="6"/>
  <c r="E41" i="7"/>
  <c r="K45" i="6"/>
  <c r="E42" i="7"/>
  <c r="AP34" i="3"/>
  <c r="AN34" i="3"/>
  <c r="AA34" i="3" s="1"/>
  <c r="AF37" i="3"/>
  <c r="E34" i="4"/>
  <c r="AT64" i="3"/>
  <c r="AS64" i="3"/>
  <c r="AT69" i="3"/>
  <c r="AS69" i="3"/>
  <c r="E37" i="7"/>
  <c r="K43" i="6"/>
  <c r="E38" i="7"/>
  <c r="K80" i="6"/>
  <c r="AP30" i="3"/>
  <c r="AN30" i="3"/>
  <c r="AA30" i="3" s="1"/>
  <c r="AS41" i="3"/>
  <c r="C35" i="4"/>
  <c r="AS47" i="3"/>
  <c r="E12" i="10"/>
  <c r="D12" i="10" s="1"/>
  <c r="AQ56" i="3"/>
  <c r="AC56" i="3" s="1"/>
  <c r="D75" i="7"/>
  <c r="M67" i="3"/>
  <c r="AW68" i="3"/>
  <c r="U68" i="3" s="1"/>
  <c r="AW19" i="3"/>
  <c r="U19" i="3" s="1"/>
  <c r="K41" i="6"/>
  <c r="E35" i="7"/>
  <c r="N27" i="3"/>
  <c r="L27" i="3"/>
  <c r="AV37" i="3"/>
  <c r="K54" i="6"/>
  <c r="F5" i="6" s="1"/>
  <c r="E53" i="7"/>
  <c r="AP45" i="3"/>
  <c r="N45" i="3"/>
  <c r="AF4" i="3"/>
  <c r="B27" i="4" s="1"/>
  <c r="D27" i="4" s="1"/>
  <c r="AS4" i="3"/>
  <c r="AR6" i="3"/>
  <c r="AP7" i="3"/>
  <c r="N9" i="3"/>
  <c r="AN9" i="3"/>
  <c r="AA9" i="3" s="1"/>
  <c r="M11" i="3"/>
  <c r="K29" i="6"/>
  <c r="E20" i="7"/>
  <c r="AW15" i="3"/>
  <c r="U15" i="3" s="1"/>
  <c r="E31" i="7"/>
  <c r="N23" i="3"/>
  <c r="L23" i="3"/>
  <c r="B32" i="4"/>
  <c r="E8" i="10" s="1"/>
  <c r="D8" i="10" s="1"/>
  <c r="E33" i="7"/>
  <c r="K39" i="6"/>
  <c r="D10" i="6" s="1"/>
  <c r="E34" i="7"/>
  <c r="K40" i="6"/>
  <c r="D8" i="6" s="1"/>
  <c r="AP26" i="3"/>
  <c r="AN26" i="3"/>
  <c r="AA26" i="3" s="1"/>
  <c r="M27" i="3"/>
  <c r="L29" i="3"/>
  <c r="L30" i="3"/>
  <c r="AN31" i="3"/>
  <c r="AA31" i="3" s="1"/>
  <c r="M32" i="3"/>
  <c r="M33" i="3"/>
  <c r="M34" i="3"/>
  <c r="M40" i="3"/>
  <c r="AT41" i="3"/>
  <c r="L45" i="3"/>
  <c r="AN45" i="3"/>
  <c r="AT47" i="3"/>
  <c r="E57" i="7"/>
  <c r="K57" i="6"/>
  <c r="AP49" i="3"/>
  <c r="N49" i="3"/>
  <c r="L49" i="3"/>
  <c r="AN49" i="3"/>
  <c r="AA49" i="3" s="1"/>
  <c r="AW51" i="3"/>
  <c r="AF53" i="3"/>
  <c r="M55" i="3"/>
  <c r="AT56" i="3"/>
  <c r="AS56" i="3"/>
  <c r="AW57" i="3"/>
  <c r="D68" i="7"/>
  <c r="M60" i="3"/>
  <c r="AT61" i="3"/>
  <c r="B17" i="4"/>
  <c r="M64" i="3"/>
  <c r="AF66" i="3"/>
  <c r="M68" i="3"/>
  <c r="AB72" i="12"/>
  <c r="AC72" i="12" s="1"/>
  <c r="K49" i="6"/>
  <c r="U48" i="7"/>
  <c r="AB87" i="12"/>
  <c r="AC87" i="12"/>
  <c r="E51" i="7"/>
  <c r="E66" i="7"/>
  <c r="E28" i="7"/>
  <c r="V46" i="7"/>
  <c r="U46" i="7"/>
  <c r="T46" i="7"/>
  <c r="AA46" i="7"/>
  <c r="Z46" i="7"/>
  <c r="Y46" i="7"/>
  <c r="AV38" i="3"/>
  <c r="E50" i="7"/>
  <c r="K51" i="6"/>
  <c r="AV42" i="3"/>
  <c r="E54" i="7"/>
  <c r="K86" i="6"/>
  <c r="G5" i="6" s="1"/>
  <c r="AV46" i="3"/>
  <c r="E58" i="7"/>
  <c r="K58" i="6"/>
  <c r="AV50" i="3"/>
  <c r="E62" i="7"/>
  <c r="K62" i="6"/>
  <c r="AV54" i="3"/>
  <c r="AV58" i="3"/>
  <c r="E70" i="7"/>
  <c r="K70" i="6"/>
  <c r="AV62" i="3"/>
  <c r="E74" i="7"/>
  <c r="K74" i="6"/>
  <c r="F6" i="6" s="1"/>
  <c r="AV66" i="3"/>
  <c r="X46" i="7"/>
  <c r="Y55" i="12"/>
  <c r="E55" i="12"/>
  <c r="R55" i="12"/>
  <c r="Q55" i="12"/>
  <c r="AC55" i="12"/>
  <c r="Z55" i="12"/>
  <c r="X55" i="12"/>
  <c r="T55" i="12"/>
  <c r="S55" i="12"/>
  <c r="P55" i="12"/>
  <c r="O55" i="12"/>
  <c r="K55" i="12"/>
  <c r="J55" i="12"/>
  <c r="H55" i="12"/>
  <c r="G55" i="12"/>
  <c r="D23" i="8"/>
  <c r="E23" i="8" s="1"/>
  <c r="J7" i="8"/>
  <c r="K46" i="6"/>
  <c r="E43" i="7"/>
  <c r="AV35" i="3"/>
  <c r="U35" i="3" s="1"/>
  <c r="E47" i="7"/>
  <c r="K82" i="6"/>
  <c r="AV39" i="3"/>
  <c r="U39" i="3" s="1"/>
  <c r="B35" i="4"/>
  <c r="E11" i="10" s="1"/>
  <c r="D11" i="10" s="1"/>
  <c r="E55" i="7"/>
  <c r="K59" i="6"/>
  <c r="B7" i="6" s="1"/>
  <c r="E59" i="7"/>
  <c r="AV51" i="3"/>
  <c r="U51" i="3" s="1"/>
  <c r="E63" i="7"/>
  <c r="K63" i="6"/>
  <c r="AV55" i="3"/>
  <c r="U55" i="3" s="1"/>
  <c r="Y67" i="7"/>
  <c r="X67" i="7"/>
  <c r="W67" i="7"/>
  <c r="U67" i="7"/>
  <c r="T67" i="7"/>
  <c r="AA67" i="7"/>
  <c r="Z67" i="7"/>
  <c r="AV59" i="3"/>
  <c r="U59" i="3" s="1"/>
  <c r="K71" i="6"/>
  <c r="E71" i="7"/>
  <c r="AV63" i="3"/>
  <c r="U63" i="3" s="1"/>
  <c r="E75" i="7"/>
  <c r="K75" i="6"/>
  <c r="C6" i="6" s="1"/>
  <c r="AV67" i="3"/>
  <c r="U67" i="3" s="1"/>
  <c r="AQ69" i="3"/>
  <c r="AC69" i="3" s="1"/>
  <c r="K85" i="6"/>
  <c r="E52" i="7"/>
  <c r="V67" i="7"/>
  <c r="AV43" i="3"/>
  <c r="U43" i="3" s="1"/>
  <c r="AV47" i="3"/>
  <c r="U47" i="3" s="1"/>
  <c r="L35" i="3"/>
  <c r="AN38" i="3"/>
  <c r="AA38" i="3" s="1"/>
  <c r="L39" i="3"/>
  <c r="AN42" i="3"/>
  <c r="AA42" i="3" s="1"/>
  <c r="L43" i="3"/>
  <c r="AN46" i="3"/>
  <c r="AA46" i="3" s="1"/>
  <c r="L47" i="3"/>
  <c r="AN50" i="3"/>
  <c r="AQ50" i="3" s="1"/>
  <c r="AC50" i="3" s="1"/>
  <c r="L51" i="3"/>
  <c r="AN54" i="3"/>
  <c r="AA54" i="3" s="1"/>
  <c r="L55" i="3"/>
  <c r="AN58" i="3"/>
  <c r="AA58" i="3" s="1"/>
  <c r="L59" i="3"/>
  <c r="AN62" i="3"/>
  <c r="AA62" i="3" s="1"/>
  <c r="L63" i="3"/>
  <c r="AN66" i="3"/>
  <c r="L67" i="3"/>
  <c r="K55" i="6"/>
  <c r="E24" i="7"/>
  <c r="K32" i="6"/>
  <c r="AV16" i="3"/>
  <c r="U16" i="3" s="1"/>
  <c r="AV20" i="3"/>
  <c r="U20" i="3" s="1"/>
  <c r="E32" i="7"/>
  <c r="K38" i="6"/>
  <c r="AV24" i="3"/>
  <c r="U24" i="3" s="1"/>
  <c r="K42" i="6"/>
  <c r="E36" i="7"/>
  <c r="AV28" i="3"/>
  <c r="U28" i="3" s="1"/>
  <c r="AV32" i="3"/>
  <c r="U32" i="3" s="1"/>
  <c r="N35" i="3"/>
  <c r="F33" i="4" s="1"/>
  <c r="K47" i="6"/>
  <c r="E44" i="7"/>
  <c r="AV36" i="3"/>
  <c r="U36" i="3" s="1"/>
  <c r="AP38" i="3"/>
  <c r="N39" i="3"/>
  <c r="T48" i="7"/>
  <c r="AA48" i="7"/>
  <c r="Z48" i="7"/>
  <c r="Y48" i="7"/>
  <c r="X48" i="7"/>
  <c r="W48" i="7"/>
  <c r="AV40" i="3"/>
  <c r="U40" i="3" s="1"/>
  <c r="AP42" i="3"/>
  <c r="N43" i="3"/>
  <c r="AV44" i="3"/>
  <c r="U44" i="3" s="1"/>
  <c r="AP46" i="3"/>
  <c r="N47" i="3"/>
  <c r="E56" i="7"/>
  <c r="K56" i="6"/>
  <c r="AV48" i="3"/>
  <c r="U48" i="3" s="1"/>
  <c r="AP50" i="3"/>
  <c r="N51" i="3"/>
  <c r="K60" i="6"/>
  <c r="E60" i="7"/>
  <c r="AV52" i="3"/>
  <c r="U52" i="3" s="1"/>
  <c r="AP54" i="3"/>
  <c r="N55" i="3"/>
  <c r="E64" i="7"/>
  <c r="K64" i="6"/>
  <c r="AV56" i="3"/>
  <c r="U56" i="3" s="1"/>
  <c r="AP58" i="3"/>
  <c r="N59" i="3"/>
  <c r="E68" i="7"/>
  <c r="K68" i="6"/>
  <c r="AV60" i="3"/>
  <c r="U60" i="3" s="1"/>
  <c r="AP62" i="3"/>
  <c r="N63" i="3"/>
  <c r="E72" i="7"/>
  <c r="K72" i="6"/>
  <c r="AV64" i="3"/>
  <c r="U64" i="3" s="1"/>
  <c r="AP66" i="3"/>
  <c r="N67" i="3"/>
  <c r="AR68" i="3"/>
  <c r="C37" i="4" s="1"/>
  <c r="AF68" i="3"/>
  <c r="K76" i="6"/>
  <c r="E76" i="7"/>
  <c r="K67" i="6"/>
  <c r="AB37" i="12"/>
  <c r="C37" i="12" s="1"/>
  <c r="AC37" i="12"/>
  <c r="AB76" i="12"/>
  <c r="AC76" i="12"/>
  <c r="AB80" i="12"/>
  <c r="AC80" i="12"/>
  <c r="AB103" i="12"/>
  <c r="H188" i="12"/>
  <c r="G188" i="12"/>
  <c r="M188" i="12"/>
  <c r="L188" i="12"/>
  <c r="J188" i="12"/>
  <c r="N188" i="12"/>
  <c r="K188" i="12"/>
  <c r="AC188" i="12"/>
  <c r="E77" i="7"/>
  <c r="P64" i="12"/>
  <c r="H64" i="12"/>
  <c r="Z64" i="12"/>
  <c r="G64" i="12"/>
  <c r="Y64" i="12"/>
  <c r="X64" i="12"/>
  <c r="T64" i="12"/>
  <c r="S64" i="12"/>
  <c r="R64" i="12"/>
  <c r="Q64" i="12"/>
  <c r="O64" i="12"/>
  <c r="K64" i="12"/>
  <c r="J64" i="12"/>
  <c r="E64" i="12"/>
  <c r="Y67" i="12"/>
  <c r="E67" i="12"/>
  <c r="R67" i="12"/>
  <c r="Q67" i="12"/>
  <c r="P67" i="12"/>
  <c r="O67" i="12"/>
  <c r="K67" i="12"/>
  <c r="J67" i="12"/>
  <c r="H67" i="12"/>
  <c r="G67" i="12"/>
  <c r="AC67" i="12"/>
  <c r="Z67" i="12"/>
  <c r="X67" i="12"/>
  <c r="AB84" i="12"/>
  <c r="AC84" i="12" s="1"/>
  <c r="J91" i="12"/>
  <c r="I188" i="12"/>
  <c r="AV69" i="3"/>
  <c r="U69" i="3" s="1"/>
  <c r="E16" i="4"/>
  <c r="B25" i="5"/>
  <c r="E15" i="4" s="1"/>
  <c r="V19" i="8"/>
  <c r="J19" i="8" s="1"/>
  <c r="R19" i="8"/>
  <c r="L19" i="8" s="1"/>
  <c r="Q19" i="8"/>
  <c r="K19" i="8" s="1"/>
  <c r="AC29" i="12"/>
  <c r="AB29" i="12"/>
  <c r="C29" i="12" s="1"/>
  <c r="K91" i="12"/>
  <c r="AB97" i="12"/>
  <c r="AC97" i="12"/>
  <c r="P56" i="12"/>
  <c r="H56" i="12"/>
  <c r="Z56" i="12"/>
  <c r="G56" i="12"/>
  <c r="Y56" i="12"/>
  <c r="X56" i="12"/>
  <c r="T56" i="12"/>
  <c r="S56" i="12"/>
  <c r="R56" i="12"/>
  <c r="Q56" i="12"/>
  <c r="O56" i="12"/>
  <c r="K56" i="12"/>
  <c r="J56" i="12"/>
  <c r="E56" i="12"/>
  <c r="Y59" i="12"/>
  <c r="E59" i="12"/>
  <c r="R59" i="12"/>
  <c r="Q59" i="12"/>
  <c r="P59" i="12"/>
  <c r="O59" i="12"/>
  <c r="K59" i="12"/>
  <c r="J59" i="12"/>
  <c r="H59" i="12"/>
  <c r="G59" i="12"/>
  <c r="AC59" i="12"/>
  <c r="Z59" i="12"/>
  <c r="X59" i="12"/>
  <c r="K88" i="12"/>
  <c r="AC30" i="12"/>
  <c r="S19" i="8"/>
  <c r="K6" i="9"/>
  <c r="D31" i="9"/>
  <c r="E31" i="9" s="1"/>
  <c r="AC34" i="12"/>
  <c r="X112" i="12"/>
  <c r="X110" i="12"/>
  <c r="X119" i="12"/>
  <c r="X86" i="12"/>
  <c r="X83" i="12"/>
  <c r="X116" i="12"/>
  <c r="X53" i="12"/>
  <c r="X94" i="12"/>
  <c r="X91" i="12"/>
  <c r="X115" i="12"/>
  <c r="X85" i="12"/>
  <c r="AC56" i="12"/>
  <c r="S59" i="12"/>
  <c r="X68" i="12"/>
  <c r="K70" i="12"/>
  <c r="AB73" i="12"/>
  <c r="X101" i="12"/>
  <c r="D27" i="8"/>
  <c r="E27" i="8" s="1"/>
  <c r="T19" i="8"/>
  <c r="D32" i="9"/>
  <c r="E32" i="9" s="1"/>
  <c r="L6" i="9"/>
  <c r="N25" i="9"/>
  <c r="M25" i="9"/>
  <c r="AC20" i="12"/>
  <c r="C20" i="12"/>
  <c r="AB26" i="12"/>
  <c r="C26" i="12" s="1"/>
  <c r="AC57" i="12"/>
  <c r="T59" i="12"/>
  <c r="J62" i="12"/>
  <c r="X78" i="12"/>
  <c r="U19" i="8"/>
  <c r="X6" i="9"/>
  <c r="X7" i="9" s="1"/>
  <c r="D39" i="9" s="1"/>
  <c r="X4" i="9"/>
  <c r="N20" i="9"/>
  <c r="M20" i="9"/>
  <c r="Z119" i="12"/>
  <c r="Z120" i="12"/>
  <c r="Z53" i="12"/>
  <c r="X60" i="12"/>
  <c r="K62" i="12"/>
  <c r="AB65" i="12"/>
  <c r="Y71" i="12"/>
  <c r="E71" i="12"/>
  <c r="R71" i="12"/>
  <c r="Q71" i="12"/>
  <c r="AC71" i="12"/>
  <c r="Z71" i="12"/>
  <c r="X71" i="12"/>
  <c r="T71" i="12"/>
  <c r="S71" i="12"/>
  <c r="P71" i="12"/>
  <c r="O71" i="12"/>
  <c r="K71" i="12"/>
  <c r="J71" i="12"/>
  <c r="K77" i="6"/>
  <c r="N10" i="9"/>
  <c r="D36" i="9" s="1"/>
  <c r="M10" i="9"/>
  <c r="G119" i="12"/>
  <c r="G120" i="12"/>
  <c r="G104" i="12"/>
  <c r="G53" i="12"/>
  <c r="G112" i="12"/>
  <c r="G116" i="12"/>
  <c r="G110" i="12"/>
  <c r="G108" i="12"/>
  <c r="X5" i="8"/>
  <c r="N12" i="8"/>
  <c r="M12" i="8"/>
  <c r="N18" i="8"/>
  <c r="M18" i="8"/>
  <c r="AC31" i="12"/>
  <c r="J119" i="12"/>
  <c r="J120" i="12"/>
  <c r="J112" i="12"/>
  <c r="J88" i="12"/>
  <c r="J95" i="12"/>
  <c r="J92" i="12"/>
  <c r="J99" i="12"/>
  <c r="J96" i="12"/>
  <c r="J66" i="12"/>
  <c r="J58" i="12"/>
  <c r="J83" i="12"/>
  <c r="H110" i="12"/>
  <c r="H104" i="12"/>
  <c r="H120" i="12"/>
  <c r="H119" i="12"/>
  <c r="H116" i="12"/>
  <c r="H112" i="12"/>
  <c r="Y57" i="12"/>
  <c r="E57" i="12"/>
  <c r="R57" i="12"/>
  <c r="Q57" i="12"/>
  <c r="X57" i="12"/>
  <c r="T57" i="12"/>
  <c r="S57" i="12"/>
  <c r="P57" i="12"/>
  <c r="O57" i="12"/>
  <c r="K57" i="12"/>
  <c r="J57" i="12"/>
  <c r="H57" i="12"/>
  <c r="G57" i="12"/>
  <c r="Y63" i="12"/>
  <c r="E63" i="12"/>
  <c r="R63" i="12"/>
  <c r="Q63" i="12"/>
  <c r="AC63" i="12"/>
  <c r="Z63" i="12"/>
  <c r="X63" i="12"/>
  <c r="T63" i="12"/>
  <c r="S63" i="12"/>
  <c r="P63" i="12"/>
  <c r="O63" i="12"/>
  <c r="K63" i="12"/>
  <c r="J63" i="12"/>
  <c r="G71" i="12"/>
  <c r="AB90" i="12"/>
  <c r="AC90" i="12" s="1"/>
  <c r="X95" i="12"/>
  <c r="D28" i="9"/>
  <c r="E28" i="9" s="1"/>
  <c r="K119" i="12"/>
  <c r="K109" i="12"/>
  <c r="K95" i="12"/>
  <c r="K92" i="12"/>
  <c r="K99" i="12"/>
  <c r="K96" i="12"/>
  <c r="K66" i="12"/>
  <c r="K58" i="12"/>
  <c r="K114" i="12"/>
  <c r="K83" i="12"/>
  <c r="K100" i="12"/>
  <c r="K53" i="12"/>
  <c r="P16" i="9"/>
  <c r="D29" i="9" s="1"/>
  <c r="T25" i="9"/>
  <c r="D27" i="9" s="1"/>
  <c r="AB32" i="12"/>
  <c r="C32" i="12" s="1"/>
  <c r="O54" i="12"/>
  <c r="Y58" i="12"/>
  <c r="S60" i="12"/>
  <c r="O62" i="12"/>
  <c r="Y66" i="12"/>
  <c r="S68" i="12"/>
  <c r="S88" i="12"/>
  <c r="P91" i="12"/>
  <c r="Y92" i="12"/>
  <c r="J94" i="12"/>
  <c r="R100" i="12"/>
  <c r="Q100" i="12"/>
  <c r="P100" i="12"/>
  <c r="H100" i="12"/>
  <c r="Z100" i="12"/>
  <c r="G100" i="12"/>
  <c r="S100" i="12"/>
  <c r="E100" i="12"/>
  <c r="P101" i="12"/>
  <c r="R104" i="12"/>
  <c r="E106" i="12"/>
  <c r="E108" i="12"/>
  <c r="J109" i="12"/>
  <c r="Z109" i="12"/>
  <c r="G109" i="12"/>
  <c r="S109" i="12"/>
  <c r="R109" i="12"/>
  <c r="Q109" i="12"/>
  <c r="H109" i="12"/>
  <c r="E109" i="12"/>
  <c r="X109" i="12"/>
  <c r="T109" i="12"/>
  <c r="S118" i="12"/>
  <c r="Q118" i="12"/>
  <c r="P118" i="12"/>
  <c r="H118" i="12"/>
  <c r="G118" i="12"/>
  <c r="E118" i="12"/>
  <c r="X118" i="12"/>
  <c r="T118" i="12"/>
  <c r="K118" i="12"/>
  <c r="Z118" i="12"/>
  <c r="AC18" i="12"/>
  <c r="Q53" i="12"/>
  <c r="Q54" i="12"/>
  <c r="P58" i="12"/>
  <c r="H58" i="12"/>
  <c r="Z58" i="12"/>
  <c r="G58" i="12"/>
  <c r="AC58" i="12"/>
  <c r="T60" i="12"/>
  <c r="Q62" i="12"/>
  <c r="P66" i="12"/>
  <c r="H66" i="12"/>
  <c r="Z66" i="12"/>
  <c r="G66" i="12"/>
  <c r="AC66" i="12"/>
  <c r="T68" i="12"/>
  <c r="Q70" i="12"/>
  <c r="AB74" i="12"/>
  <c r="AC74" i="12"/>
  <c r="AB75" i="12"/>
  <c r="AC75" i="12" s="1"/>
  <c r="AC78" i="12"/>
  <c r="AC85" i="12"/>
  <c r="Y88" i="12"/>
  <c r="S91" i="12"/>
  <c r="AC92" i="12"/>
  <c r="S94" i="12"/>
  <c r="X96" i="12"/>
  <c r="S101" i="12"/>
  <c r="T104" i="12"/>
  <c r="G106" i="12"/>
  <c r="S114" i="12"/>
  <c r="Q114" i="12"/>
  <c r="P114" i="12"/>
  <c r="X114" i="12"/>
  <c r="T114" i="12"/>
  <c r="R114" i="12"/>
  <c r="H114" i="12"/>
  <c r="G114" i="12"/>
  <c r="J114" i="12"/>
  <c r="Z114" i="12"/>
  <c r="J115" i="12"/>
  <c r="Z115" i="12"/>
  <c r="G115" i="12"/>
  <c r="Y115" i="12"/>
  <c r="E115" i="12"/>
  <c r="R115" i="12"/>
  <c r="Q115" i="12"/>
  <c r="P115" i="12"/>
  <c r="S115" i="12"/>
  <c r="K115" i="12"/>
  <c r="H115" i="12"/>
  <c r="AC150" i="12"/>
  <c r="AB150" i="12"/>
  <c r="I201" i="12"/>
  <c r="H201" i="12"/>
  <c r="N201" i="12"/>
  <c r="L201" i="12"/>
  <c r="K201" i="12"/>
  <c r="G201" i="12"/>
  <c r="J201" i="12"/>
  <c r="M201" i="12"/>
  <c r="AC27" i="12"/>
  <c r="C35" i="12"/>
  <c r="O120" i="12"/>
  <c r="O119" i="12"/>
  <c r="O99" i="12"/>
  <c r="O91" i="12"/>
  <c r="O83" i="12"/>
  <c r="O53" i="12"/>
  <c r="R53" i="12"/>
  <c r="R54" i="12"/>
  <c r="R62" i="12"/>
  <c r="R70" i="12"/>
  <c r="AB79" i="12"/>
  <c r="AC79" i="12"/>
  <c r="R86" i="12"/>
  <c r="Q86" i="12"/>
  <c r="P86" i="12"/>
  <c r="H86" i="12"/>
  <c r="Z86" i="12"/>
  <c r="G86" i="12"/>
  <c r="Y86" i="12"/>
  <c r="O86" i="12"/>
  <c r="K86" i="12"/>
  <c r="H93" i="12"/>
  <c r="Z93" i="12"/>
  <c r="G93" i="12"/>
  <c r="Y93" i="12"/>
  <c r="E93" i="12"/>
  <c r="R93" i="12"/>
  <c r="Q93" i="12"/>
  <c r="T93" i="12"/>
  <c r="K93" i="12"/>
  <c r="J93" i="12"/>
  <c r="J100" i="12"/>
  <c r="J118" i="12"/>
  <c r="AB157" i="12"/>
  <c r="P120" i="12"/>
  <c r="P53" i="12"/>
  <c r="S62" i="12"/>
  <c r="S70" i="12"/>
  <c r="AB89" i="12"/>
  <c r="AC89" i="12" s="1"/>
  <c r="E96" i="12"/>
  <c r="S106" i="12"/>
  <c r="Q106" i="12"/>
  <c r="O106" i="12"/>
  <c r="K106" i="12"/>
  <c r="J106" i="12"/>
  <c r="Z106" i="12"/>
  <c r="Y106" i="12"/>
  <c r="X106" i="12"/>
  <c r="R106" i="12"/>
  <c r="P106" i="12"/>
  <c r="H106" i="12"/>
  <c r="E114" i="12"/>
  <c r="E120" i="12"/>
  <c r="H164" i="12"/>
  <c r="G164" i="12"/>
  <c r="K164" i="12"/>
  <c r="I164" i="12"/>
  <c r="N164" i="12"/>
  <c r="M164" i="12"/>
  <c r="L164" i="12"/>
  <c r="AC164" i="12"/>
  <c r="AC19" i="12"/>
  <c r="AC38" i="12"/>
  <c r="R119" i="12"/>
  <c r="R112" i="12"/>
  <c r="R116" i="12"/>
  <c r="R121" i="12"/>
  <c r="P60" i="12"/>
  <c r="H60" i="12"/>
  <c r="Z60" i="12"/>
  <c r="G60" i="12"/>
  <c r="AC60" i="12"/>
  <c r="P68" i="12"/>
  <c r="H68" i="12"/>
  <c r="Z68" i="12"/>
  <c r="G68" i="12"/>
  <c r="AC68" i="12"/>
  <c r="R78" i="12"/>
  <c r="Q78" i="12"/>
  <c r="P78" i="12"/>
  <c r="H78" i="12"/>
  <c r="G78" i="12"/>
  <c r="Z78" i="12"/>
  <c r="Y78" i="12"/>
  <c r="AB82" i="12"/>
  <c r="AC82" i="12" s="1"/>
  <c r="E86" i="12"/>
  <c r="R102" i="12"/>
  <c r="Q102" i="12"/>
  <c r="P102" i="12"/>
  <c r="H102" i="12"/>
  <c r="Z102" i="12"/>
  <c r="G102" i="12"/>
  <c r="Y102" i="12"/>
  <c r="X102" i="12"/>
  <c r="O102" i="12"/>
  <c r="K102" i="12"/>
  <c r="AC106" i="12"/>
  <c r="J108" i="12"/>
  <c r="P110" i="12"/>
  <c r="E116" i="12"/>
  <c r="R118" i="12"/>
  <c r="Q120" i="12"/>
  <c r="AB132" i="12"/>
  <c r="B132" i="12" s="1"/>
  <c r="Q21" i="8"/>
  <c r="K21" i="8" s="1"/>
  <c r="U16" i="9"/>
  <c r="AB27" i="12"/>
  <c r="C27" i="12" s="1"/>
  <c r="AB30" i="12"/>
  <c r="C30" i="12" s="1"/>
  <c r="AC39" i="12"/>
  <c r="T120" i="12"/>
  <c r="T116" i="12"/>
  <c r="T53" i="12"/>
  <c r="T108" i="12"/>
  <c r="Y53" i="12"/>
  <c r="X54" i="12"/>
  <c r="AB61" i="12"/>
  <c r="X62" i="12"/>
  <c r="AB69" i="12"/>
  <c r="AC69" i="12" s="1"/>
  <c r="X70" i="12"/>
  <c r="P83" i="12"/>
  <c r="J86" i="12"/>
  <c r="R92" i="12"/>
  <c r="Q92" i="12"/>
  <c r="P92" i="12"/>
  <c r="H92" i="12"/>
  <c r="Z92" i="12"/>
  <c r="G92" i="12"/>
  <c r="S92" i="12"/>
  <c r="E92" i="12"/>
  <c r="P93" i="12"/>
  <c r="H95" i="12"/>
  <c r="Z95" i="12"/>
  <c r="G95" i="12"/>
  <c r="Y95" i="12"/>
  <c r="E95" i="12"/>
  <c r="R95" i="12"/>
  <c r="Q95" i="12"/>
  <c r="S95" i="12"/>
  <c r="P95" i="12"/>
  <c r="T100" i="12"/>
  <c r="AC107" i="12"/>
  <c r="AB107" i="12"/>
  <c r="R110" i="12"/>
  <c r="O114" i="12"/>
  <c r="Y118" i="12"/>
  <c r="Y120" i="12"/>
  <c r="R21" i="8"/>
  <c r="L21" i="8" s="1"/>
  <c r="U22" i="9"/>
  <c r="AC33" i="12"/>
  <c r="O58" i="12"/>
  <c r="E60" i="12"/>
  <c r="O66" i="12"/>
  <c r="E68" i="12"/>
  <c r="E78" i="12"/>
  <c r="S83" i="12"/>
  <c r="S86" i="12"/>
  <c r="X88" i="12"/>
  <c r="S93" i="12"/>
  <c r="O96" i="12"/>
  <c r="AB98" i="12"/>
  <c r="AC98" i="12" s="1"/>
  <c r="X100" i="12"/>
  <c r="E102" i="12"/>
  <c r="AC109" i="12"/>
  <c r="T110" i="12"/>
  <c r="Y114" i="12"/>
  <c r="J151" i="12"/>
  <c r="I151" i="12"/>
  <c r="M151" i="12"/>
  <c r="L151" i="12"/>
  <c r="N151" i="12"/>
  <c r="K151" i="12"/>
  <c r="H151" i="12"/>
  <c r="J154" i="12"/>
  <c r="I154" i="12"/>
  <c r="G154" i="12"/>
  <c r="N154" i="12"/>
  <c r="M154" i="12"/>
  <c r="H154" i="12"/>
  <c r="S21" i="8"/>
  <c r="C36" i="12"/>
  <c r="P54" i="12"/>
  <c r="H54" i="12"/>
  <c r="Z54" i="12"/>
  <c r="G54" i="12"/>
  <c r="AC54" i="12"/>
  <c r="Q58" i="12"/>
  <c r="J60" i="12"/>
  <c r="P62" i="12"/>
  <c r="H62" i="12"/>
  <c r="Z62" i="12"/>
  <c r="G62" i="12"/>
  <c r="AC62" i="12"/>
  <c r="Q66" i="12"/>
  <c r="J68" i="12"/>
  <c r="P70" i="12"/>
  <c r="H70" i="12"/>
  <c r="Z70" i="12"/>
  <c r="G70" i="12"/>
  <c r="AC70" i="12"/>
  <c r="J78" i="12"/>
  <c r="T83" i="12"/>
  <c r="H85" i="12"/>
  <c r="Z85" i="12"/>
  <c r="G85" i="12"/>
  <c r="Y85" i="12"/>
  <c r="E85" i="12"/>
  <c r="R85" i="12"/>
  <c r="Q85" i="12"/>
  <c r="T85" i="12"/>
  <c r="K85" i="12"/>
  <c r="J85" i="12"/>
  <c r="T86" i="12"/>
  <c r="X93" i="12"/>
  <c r="S96" i="12"/>
  <c r="P99" i="12"/>
  <c r="Y100" i="12"/>
  <c r="J102" i="12"/>
  <c r="T112" i="12"/>
  <c r="G151" i="12"/>
  <c r="K154" i="12"/>
  <c r="T21" i="8"/>
  <c r="D22" i="8" s="1"/>
  <c r="E119" i="12"/>
  <c r="E110" i="12"/>
  <c r="E53" i="12"/>
  <c r="R58" i="12"/>
  <c r="K60" i="12"/>
  <c r="R66" i="12"/>
  <c r="K68" i="12"/>
  <c r="AB77" i="12"/>
  <c r="AC77" i="12"/>
  <c r="K78" i="12"/>
  <c r="AB81" i="12"/>
  <c r="AC81" i="12"/>
  <c r="E88" i="12"/>
  <c r="Y96" i="12"/>
  <c r="S99" i="12"/>
  <c r="S102" i="12"/>
  <c r="E104" i="12"/>
  <c r="AC117" i="12"/>
  <c r="AB117" i="12"/>
  <c r="P119" i="12"/>
  <c r="N158" i="12"/>
  <c r="M158" i="12"/>
  <c r="G158" i="12"/>
  <c r="J158" i="12"/>
  <c r="I158" i="12"/>
  <c r="H158" i="12"/>
  <c r="AC158" i="12"/>
  <c r="K158" i="12"/>
  <c r="J178" i="12"/>
  <c r="I178" i="12"/>
  <c r="M178" i="12"/>
  <c r="K178" i="12"/>
  <c r="H178" i="12"/>
  <c r="N178" i="12"/>
  <c r="L178" i="12"/>
  <c r="G178" i="12"/>
  <c r="E54" i="12"/>
  <c r="S58" i="12"/>
  <c r="O60" i="12"/>
  <c r="E62" i="12"/>
  <c r="S66" i="12"/>
  <c r="O68" i="12"/>
  <c r="E70" i="12"/>
  <c r="O78" i="12"/>
  <c r="R94" i="12"/>
  <c r="Q94" i="12"/>
  <c r="P94" i="12"/>
  <c r="H94" i="12"/>
  <c r="Z94" i="12"/>
  <c r="G94" i="12"/>
  <c r="Y94" i="12"/>
  <c r="O94" i="12"/>
  <c r="K94" i="12"/>
  <c r="H101" i="12"/>
  <c r="Z101" i="12"/>
  <c r="G101" i="12"/>
  <c r="Y101" i="12"/>
  <c r="E101" i="12"/>
  <c r="R101" i="12"/>
  <c r="Q101" i="12"/>
  <c r="T101" i="12"/>
  <c r="K101" i="12"/>
  <c r="J101" i="12"/>
  <c r="T102" i="12"/>
  <c r="AB105" i="12"/>
  <c r="AC105" i="12" s="1"/>
  <c r="AC111" i="12"/>
  <c r="AB111" i="12"/>
  <c r="AB113" i="12"/>
  <c r="P121" i="12"/>
  <c r="AB173" i="12"/>
  <c r="AC173" i="12" s="1"/>
  <c r="AC178" i="12"/>
  <c r="G277" i="12"/>
  <c r="F277" i="12"/>
  <c r="E277" i="12"/>
  <c r="AD277" i="12"/>
  <c r="AC277" i="12"/>
  <c r="T88" i="12"/>
  <c r="T96" i="12"/>
  <c r="H108" i="12"/>
  <c r="S112" i="12"/>
  <c r="Q112" i="12"/>
  <c r="P112" i="12"/>
  <c r="Z112" i="12"/>
  <c r="Y112" i="12"/>
  <c r="O112" i="12"/>
  <c r="K112" i="12"/>
  <c r="S116" i="12"/>
  <c r="Q116" i="12"/>
  <c r="P116" i="12"/>
  <c r="O116" i="12"/>
  <c r="K116" i="12"/>
  <c r="J116" i="12"/>
  <c r="Z116" i="12"/>
  <c r="K155" i="12"/>
  <c r="J155" i="12"/>
  <c r="L155" i="12"/>
  <c r="H155" i="12"/>
  <c r="G155" i="12"/>
  <c r="N155" i="12"/>
  <c r="L168" i="12"/>
  <c r="K168" i="12"/>
  <c r="I168" i="12"/>
  <c r="G168" i="12"/>
  <c r="H168" i="12"/>
  <c r="AC168" i="12"/>
  <c r="AB176" i="12"/>
  <c r="H83" i="12"/>
  <c r="Z83" i="12"/>
  <c r="G83" i="12"/>
  <c r="Y83" i="12"/>
  <c r="E83" i="12"/>
  <c r="R83" i="12"/>
  <c r="Q83" i="12"/>
  <c r="H91" i="12"/>
  <c r="Z91" i="12"/>
  <c r="G91" i="12"/>
  <c r="Y91" i="12"/>
  <c r="E91" i="12"/>
  <c r="R91" i="12"/>
  <c r="Q91" i="12"/>
  <c r="H99" i="12"/>
  <c r="Z99" i="12"/>
  <c r="G99" i="12"/>
  <c r="Y99" i="12"/>
  <c r="E99" i="12"/>
  <c r="R99" i="12"/>
  <c r="Q99" i="12"/>
  <c r="S104" i="12"/>
  <c r="Q104" i="12"/>
  <c r="Z104" i="12"/>
  <c r="Y104" i="12"/>
  <c r="X104" i="12"/>
  <c r="O104" i="12"/>
  <c r="K104" i="12"/>
  <c r="S110" i="12"/>
  <c r="Q110" i="12"/>
  <c r="O110" i="12"/>
  <c r="K110" i="12"/>
  <c r="J110" i="12"/>
  <c r="Z110" i="12"/>
  <c r="Y110" i="12"/>
  <c r="I155" i="12"/>
  <c r="AC169" i="12"/>
  <c r="AB184" i="12"/>
  <c r="AC189" i="12"/>
  <c r="AB189" i="12"/>
  <c r="H197" i="12"/>
  <c r="N197" i="12"/>
  <c r="M197" i="12"/>
  <c r="K197" i="12"/>
  <c r="I197" i="12"/>
  <c r="L197" i="12"/>
  <c r="J197" i="12"/>
  <c r="G197" i="12"/>
  <c r="AB235" i="12"/>
  <c r="AC235" i="12"/>
  <c r="AC193" i="12"/>
  <c r="AB193" i="12"/>
  <c r="L156" i="12"/>
  <c r="K156" i="12"/>
  <c r="M156" i="12"/>
  <c r="J156" i="12"/>
  <c r="N156" i="12"/>
  <c r="I156" i="12"/>
  <c r="H156" i="12"/>
  <c r="M169" i="12"/>
  <c r="L169" i="12"/>
  <c r="N169" i="12"/>
  <c r="J169" i="12"/>
  <c r="I169" i="12"/>
  <c r="G169" i="12"/>
  <c r="AB179" i="12"/>
  <c r="K190" i="12"/>
  <c r="AB194" i="12"/>
  <c r="AC194" i="12" s="1"/>
  <c r="R88" i="12"/>
  <c r="Q88" i="12"/>
  <c r="P88" i="12"/>
  <c r="H88" i="12"/>
  <c r="Z88" i="12"/>
  <c r="G88" i="12"/>
  <c r="R96" i="12"/>
  <c r="Q96" i="12"/>
  <c r="P96" i="12"/>
  <c r="H96" i="12"/>
  <c r="Z96" i="12"/>
  <c r="G96" i="12"/>
  <c r="S108" i="12"/>
  <c r="Q108" i="12"/>
  <c r="Z108" i="12"/>
  <c r="Y108" i="12"/>
  <c r="X108" i="12"/>
  <c r="O108" i="12"/>
  <c r="K108" i="12"/>
  <c r="AC118" i="12"/>
  <c r="T121" i="12"/>
  <c r="S121" i="12"/>
  <c r="O121" i="12"/>
  <c r="J121" i="12"/>
  <c r="H121" i="12"/>
  <c r="Z121" i="12"/>
  <c r="Y121" i="12"/>
  <c r="X121" i="12"/>
  <c r="K121" i="12"/>
  <c r="G121" i="12"/>
  <c r="G156" i="12"/>
  <c r="I165" i="12"/>
  <c r="H165" i="12"/>
  <c r="N165" i="12"/>
  <c r="L165" i="12"/>
  <c r="K165" i="12"/>
  <c r="G165" i="12"/>
  <c r="M165" i="12"/>
  <c r="AB180" i="12"/>
  <c r="AC156" i="12"/>
  <c r="J190" i="12"/>
  <c r="I190" i="12"/>
  <c r="M190" i="12"/>
  <c r="G190" i="12"/>
  <c r="N190" i="12"/>
  <c r="H190" i="12"/>
  <c r="N206" i="12"/>
  <c r="M206" i="12"/>
  <c r="G206" i="12"/>
  <c r="L206" i="12"/>
  <c r="J206" i="12"/>
  <c r="H206" i="12"/>
  <c r="K206" i="12"/>
  <c r="I206" i="12"/>
  <c r="AB215" i="12"/>
  <c r="N182" i="12"/>
  <c r="M182" i="12"/>
  <c r="K182" i="12"/>
  <c r="I182" i="12"/>
  <c r="H182" i="12"/>
  <c r="L182" i="12"/>
  <c r="J182" i="12"/>
  <c r="J166" i="12"/>
  <c r="I166" i="12"/>
  <c r="N166" i="12"/>
  <c r="L166" i="12"/>
  <c r="M166" i="12"/>
  <c r="K166" i="12"/>
  <c r="H166" i="12"/>
  <c r="AC182" i="12"/>
  <c r="AC201" i="12"/>
  <c r="AC216" i="12"/>
  <c r="AB216" i="12"/>
  <c r="G187" i="12"/>
  <c r="AC187" i="12"/>
  <c r="L187" i="12"/>
  <c r="J187" i="12"/>
  <c r="I187" i="12"/>
  <c r="N187" i="12"/>
  <c r="M187" i="12"/>
  <c r="K187" i="12"/>
  <c r="H187" i="12"/>
  <c r="AC115" i="12"/>
  <c r="H152" i="12"/>
  <c r="G152" i="12"/>
  <c r="M152" i="12"/>
  <c r="L152" i="12"/>
  <c r="N159" i="12"/>
  <c r="J159" i="12"/>
  <c r="H159" i="12"/>
  <c r="G159" i="12"/>
  <c r="AC191" i="12"/>
  <c r="I152" i="12"/>
  <c r="I159" i="12"/>
  <c r="N174" i="12"/>
  <c r="L174" i="12"/>
  <c r="K174" i="12"/>
  <c r="I174" i="12"/>
  <c r="G174" i="12"/>
  <c r="J202" i="12"/>
  <c r="I202" i="12"/>
  <c r="G202" i="12"/>
  <c r="N202" i="12"/>
  <c r="L202" i="12"/>
  <c r="H202" i="12"/>
  <c r="L204" i="12"/>
  <c r="K204" i="12"/>
  <c r="I204" i="12"/>
  <c r="G204" i="12"/>
  <c r="AC204" i="12"/>
  <c r="H200" i="12"/>
  <c r="G200" i="12"/>
  <c r="K200" i="12"/>
  <c r="I200" i="12"/>
  <c r="AC200" i="12"/>
  <c r="AB241" i="12"/>
  <c r="AC241" i="12"/>
  <c r="G274" i="12"/>
  <c r="F274" i="12"/>
  <c r="E274" i="12"/>
  <c r="AD274" i="12"/>
  <c r="AC274" i="12"/>
  <c r="G283" i="12"/>
  <c r="F283" i="12"/>
  <c r="E283" i="12"/>
  <c r="AD283" i="12"/>
  <c r="AC283" i="12"/>
  <c r="K191" i="12"/>
  <c r="J191" i="12"/>
  <c r="L191" i="12"/>
  <c r="H191" i="12"/>
  <c r="G191" i="12"/>
  <c r="J200" i="12"/>
  <c r="AC209" i="12"/>
  <c r="G243" i="12"/>
  <c r="F243" i="12"/>
  <c r="AC243" i="12"/>
  <c r="AD243" i="12"/>
  <c r="AC152" i="12"/>
  <c r="AC159" i="12"/>
  <c r="L192" i="12"/>
  <c r="K192" i="12"/>
  <c r="M192" i="12"/>
  <c r="J192" i="12"/>
  <c r="H192" i="12"/>
  <c r="AC197" i="12"/>
  <c r="L200" i="12"/>
  <c r="N204" i="12"/>
  <c r="H209" i="12"/>
  <c r="I213" i="12"/>
  <c r="H213" i="12"/>
  <c r="AC213" i="12"/>
  <c r="L213" i="12"/>
  <c r="J213" i="12"/>
  <c r="G213" i="12"/>
  <c r="AC133" i="12"/>
  <c r="AB153" i="12"/>
  <c r="AB160" i="12"/>
  <c r="N170" i="12"/>
  <c r="M170" i="12"/>
  <c r="L170" i="12"/>
  <c r="J170" i="12"/>
  <c r="G192" i="12"/>
  <c r="M200" i="12"/>
  <c r="K209" i="12"/>
  <c r="AC217" i="12"/>
  <c r="K120" i="12"/>
  <c r="X120" i="12"/>
  <c r="S120" i="12"/>
  <c r="R120" i="12"/>
  <c r="AB161" i="12"/>
  <c r="AC161" i="12" s="1"/>
  <c r="G170" i="12"/>
  <c r="G175" i="12"/>
  <c r="AC175" i="12"/>
  <c r="N175" i="12"/>
  <c r="M175" i="12"/>
  <c r="K175" i="12"/>
  <c r="I175" i="12"/>
  <c r="AC190" i="12"/>
  <c r="I192" i="12"/>
  <c r="AB195" i="12"/>
  <c r="AC195" i="12" s="1"/>
  <c r="N200" i="12"/>
  <c r="H205" i="12"/>
  <c r="M209" i="12"/>
  <c r="H214" i="12"/>
  <c r="G271" i="12"/>
  <c r="F271" i="12"/>
  <c r="E271" i="12"/>
  <c r="AD271" i="12"/>
  <c r="AC271" i="12"/>
  <c r="G280" i="12"/>
  <c r="F280" i="12"/>
  <c r="E280" i="12"/>
  <c r="AD280" i="12"/>
  <c r="AC280" i="12"/>
  <c r="M217" i="12"/>
  <c r="L217" i="12"/>
  <c r="J217" i="12"/>
  <c r="I217" i="12"/>
  <c r="G217" i="12"/>
  <c r="N217" i="12"/>
  <c r="H217" i="12"/>
  <c r="M205" i="12"/>
  <c r="L205" i="12"/>
  <c r="N205" i="12"/>
  <c r="J205" i="12"/>
  <c r="I205" i="12"/>
  <c r="G205" i="12"/>
  <c r="L209" i="12"/>
  <c r="J209" i="12"/>
  <c r="I209" i="12"/>
  <c r="G209" i="12"/>
  <c r="J214" i="12"/>
  <c r="I214" i="12"/>
  <c r="G214" i="12"/>
  <c r="AC214" i="12"/>
  <c r="N214" i="12"/>
  <c r="M214" i="12"/>
  <c r="K214" i="12"/>
  <c r="I177" i="12"/>
  <c r="H177" i="12"/>
  <c r="M181" i="12"/>
  <c r="L181" i="12"/>
  <c r="G183" i="12"/>
  <c r="AB196" i="12"/>
  <c r="G237" i="12"/>
  <c r="F237" i="12"/>
  <c r="AD244" i="12"/>
  <c r="G244" i="12"/>
  <c r="F244" i="12"/>
  <c r="K167" i="12"/>
  <c r="J167" i="12"/>
  <c r="I183" i="12"/>
  <c r="K203" i="12"/>
  <c r="J203" i="12"/>
  <c r="H212" i="12"/>
  <c r="G212" i="12"/>
  <c r="AD237" i="12"/>
  <c r="AD269" i="12"/>
  <c r="AC269" i="12"/>
  <c r="G269" i="12"/>
  <c r="F269" i="12"/>
  <c r="E269" i="12"/>
  <c r="AD272" i="12"/>
  <c r="AC272" i="12"/>
  <c r="G272" i="12"/>
  <c r="F272" i="12"/>
  <c r="E272" i="12"/>
  <c r="AD275" i="12"/>
  <c r="AC275" i="12"/>
  <c r="G275" i="12"/>
  <c r="F275" i="12"/>
  <c r="E275" i="12"/>
  <c r="AD278" i="12"/>
  <c r="AC278" i="12"/>
  <c r="G278" i="12"/>
  <c r="F278" i="12"/>
  <c r="E278" i="12"/>
  <c r="AD281" i="12"/>
  <c r="AC281" i="12"/>
  <c r="G281" i="12"/>
  <c r="F281" i="12"/>
  <c r="E281" i="12"/>
  <c r="AD284" i="12"/>
  <c r="AC284" i="12"/>
  <c r="G284" i="12"/>
  <c r="F284" i="12"/>
  <c r="E284" i="12"/>
  <c r="AD238" i="12"/>
  <c r="G238" i="12"/>
  <c r="F238" i="12"/>
  <c r="E244" i="12"/>
  <c r="AC270" i="12"/>
  <c r="AB172" i="12"/>
  <c r="AC172" i="12" s="1"/>
  <c r="K183" i="12"/>
  <c r="G186" i="12"/>
  <c r="AB208" i="12"/>
  <c r="AC208" i="12" s="1"/>
  <c r="AC244" i="12"/>
  <c r="T119" i="12"/>
  <c r="AB134" i="12"/>
  <c r="B134" i="12" s="1"/>
  <c r="L183" i="12"/>
  <c r="AC185" i="12"/>
  <c r="H186" i="12"/>
  <c r="AC198" i="12"/>
  <c r="AD232" i="12"/>
  <c r="G232" i="12"/>
  <c r="F232" i="12"/>
  <c r="E238" i="12"/>
  <c r="G240" i="12"/>
  <c r="F240" i="12"/>
  <c r="AD247" i="12"/>
  <c r="G247" i="12"/>
  <c r="F247" i="12"/>
  <c r="AB131" i="12"/>
  <c r="AC131" i="12" s="1"/>
  <c r="H163" i="12"/>
  <c r="J177" i="12"/>
  <c r="H181" i="12"/>
  <c r="AC183" i="12"/>
  <c r="H185" i="12"/>
  <c r="J186" i="12"/>
  <c r="H199" i="12"/>
  <c r="AC212" i="12"/>
  <c r="E232" i="12"/>
  <c r="G234" i="12"/>
  <c r="F234" i="12"/>
  <c r="AD240" i="12"/>
  <c r="E245" i="12"/>
  <c r="G286" i="12"/>
  <c r="F286" i="12"/>
  <c r="E286" i="12"/>
  <c r="AC286" i="12"/>
  <c r="L199" i="12"/>
  <c r="L203" i="12"/>
  <c r="J207" i="12"/>
  <c r="L212" i="12"/>
  <c r="E233" i="12"/>
  <c r="E237" i="12"/>
  <c r="G239" i="12"/>
  <c r="AC245" i="12"/>
  <c r="AD286" i="12"/>
  <c r="AB270" i="12"/>
  <c r="B260" i="12" s="1"/>
  <c r="AB273" i="12"/>
  <c r="AC273" i="12" s="1"/>
  <c r="AB276" i="12"/>
  <c r="AC276" i="12" s="1"/>
  <c r="AB279" i="12"/>
  <c r="AC279" i="12" s="1"/>
  <c r="AB282" i="12"/>
  <c r="AC282" i="12" s="1"/>
  <c r="AB285" i="12"/>
  <c r="AC285" i="12" s="1"/>
  <c r="AB288" i="12"/>
  <c r="AC288" i="12" s="1"/>
  <c r="D261" i="12"/>
  <c r="E287" i="12"/>
  <c r="F287" i="12"/>
  <c r="AC211" i="12"/>
  <c r="G287" i="12"/>
  <c r="F246" i="12"/>
  <c r="AC287" i="12"/>
  <c r="AA49" i="7" l="1"/>
  <c r="Z49" i="7"/>
  <c r="Y49" i="7"/>
  <c r="X49" i="7"/>
  <c r="W49" i="7"/>
  <c r="V49" i="7"/>
  <c r="U49" i="7"/>
  <c r="T49" i="7"/>
  <c r="H176" i="12"/>
  <c r="G176" i="12"/>
  <c r="N176" i="12"/>
  <c r="L176" i="12"/>
  <c r="M176" i="12"/>
  <c r="I176" i="12"/>
  <c r="J176" i="12"/>
  <c r="K176" i="12"/>
  <c r="R80" i="12"/>
  <c r="Q80" i="12"/>
  <c r="P80" i="12"/>
  <c r="H80" i="12"/>
  <c r="G80" i="12"/>
  <c r="Z80" i="12"/>
  <c r="Y80" i="12"/>
  <c r="X80" i="12"/>
  <c r="T80" i="12"/>
  <c r="S80" i="12"/>
  <c r="O80" i="12"/>
  <c r="K80" i="12"/>
  <c r="J80" i="12"/>
  <c r="E80" i="12"/>
  <c r="AA26" i="7"/>
  <c r="Z26" i="7"/>
  <c r="Y26" i="7"/>
  <c r="X26" i="7"/>
  <c r="W26" i="7"/>
  <c r="V26" i="7"/>
  <c r="U26" i="7"/>
  <c r="T26" i="7"/>
  <c r="M157" i="12"/>
  <c r="L157" i="12"/>
  <c r="J157" i="12"/>
  <c r="I157" i="12"/>
  <c r="G157" i="12"/>
  <c r="N157" i="12"/>
  <c r="K157" i="12"/>
  <c r="H157" i="12"/>
  <c r="X62" i="7"/>
  <c r="U62" i="7"/>
  <c r="T62" i="7"/>
  <c r="AA62" i="7"/>
  <c r="Z62" i="7"/>
  <c r="Y62" i="7"/>
  <c r="W62" i="7"/>
  <c r="V62" i="7"/>
  <c r="AQ58" i="3"/>
  <c r="AC58" i="3" s="1"/>
  <c r="W57" i="7"/>
  <c r="V57" i="7"/>
  <c r="U57" i="7"/>
  <c r="T57" i="7"/>
  <c r="AA57" i="7"/>
  <c r="Z57" i="7"/>
  <c r="Y57" i="7"/>
  <c r="X57" i="7"/>
  <c r="X20" i="7"/>
  <c r="W20" i="7"/>
  <c r="V20" i="7"/>
  <c r="U20" i="7"/>
  <c r="T20" i="7"/>
  <c r="AA20" i="7"/>
  <c r="Z20" i="7"/>
  <c r="Y20" i="7"/>
  <c r="AA39" i="7"/>
  <c r="Z39" i="7"/>
  <c r="Y39" i="7"/>
  <c r="X39" i="7"/>
  <c r="W39" i="7"/>
  <c r="V39" i="7"/>
  <c r="U39" i="7"/>
  <c r="T39" i="7"/>
  <c r="AS21" i="3"/>
  <c r="AT21" i="3"/>
  <c r="E29" i="4"/>
  <c r="AW22" i="3"/>
  <c r="AA22" i="3"/>
  <c r="AT34" i="3"/>
  <c r="AS34" i="3"/>
  <c r="D11" i="6"/>
  <c r="AQ5" i="3"/>
  <c r="AC5" i="3" s="1"/>
  <c r="AH5" i="3"/>
  <c r="Y31" i="7"/>
  <c r="X31" i="7"/>
  <c r="W31" i="7"/>
  <c r="V31" i="7"/>
  <c r="U31" i="7"/>
  <c r="T31" i="7"/>
  <c r="AA31" i="7"/>
  <c r="Z31" i="7"/>
  <c r="Y19" i="7"/>
  <c r="X19" i="7"/>
  <c r="W19" i="7"/>
  <c r="V19" i="7"/>
  <c r="U19" i="7"/>
  <c r="T19" i="7"/>
  <c r="AA19" i="7"/>
  <c r="Z19" i="7"/>
  <c r="Y61" i="12"/>
  <c r="E61" i="12"/>
  <c r="R61" i="12"/>
  <c r="Q61" i="12"/>
  <c r="J61" i="12"/>
  <c r="H61" i="12"/>
  <c r="G61" i="12"/>
  <c r="Z61" i="12"/>
  <c r="X61" i="12"/>
  <c r="T61" i="12"/>
  <c r="S61" i="12"/>
  <c r="P61" i="12"/>
  <c r="O61" i="12"/>
  <c r="K61" i="12"/>
  <c r="AD241" i="12"/>
  <c r="G241" i="12"/>
  <c r="F241" i="12"/>
  <c r="E241" i="12"/>
  <c r="H81" i="12"/>
  <c r="Z81" i="12"/>
  <c r="G81" i="12"/>
  <c r="Y81" i="12"/>
  <c r="E81" i="12"/>
  <c r="R81" i="12"/>
  <c r="J81" i="12"/>
  <c r="X81" i="12"/>
  <c r="T81" i="12"/>
  <c r="S81" i="12"/>
  <c r="Q81" i="12"/>
  <c r="P81" i="12"/>
  <c r="O81" i="12"/>
  <c r="K81" i="12"/>
  <c r="B47" i="12"/>
  <c r="AC157" i="12"/>
  <c r="R76" i="12"/>
  <c r="Q76" i="12"/>
  <c r="P76" i="12"/>
  <c r="H76" i="12"/>
  <c r="G76" i="12"/>
  <c r="Z76" i="12"/>
  <c r="Y76" i="12"/>
  <c r="X76" i="12"/>
  <c r="T76" i="12"/>
  <c r="S76" i="12"/>
  <c r="O76" i="12"/>
  <c r="K76" i="12"/>
  <c r="J76" i="12"/>
  <c r="E76" i="12"/>
  <c r="AA64" i="7"/>
  <c r="Z64" i="7"/>
  <c r="V64" i="7"/>
  <c r="U64" i="7"/>
  <c r="X64" i="7"/>
  <c r="W64" i="7"/>
  <c r="T64" i="7"/>
  <c r="Y64" i="7"/>
  <c r="U46" i="3"/>
  <c r="Y55" i="7"/>
  <c r="X55" i="7"/>
  <c r="W55" i="7"/>
  <c r="V55" i="7"/>
  <c r="U55" i="7"/>
  <c r="T55" i="7"/>
  <c r="AA55" i="7"/>
  <c r="Z55" i="7"/>
  <c r="D35" i="4"/>
  <c r="C11" i="10" s="1"/>
  <c r="D29" i="4"/>
  <c r="C5" i="10" s="1"/>
  <c r="Y61" i="7"/>
  <c r="U61" i="7"/>
  <c r="T61" i="7"/>
  <c r="AA61" i="7"/>
  <c r="Z61" i="7"/>
  <c r="X61" i="7"/>
  <c r="W61" i="7"/>
  <c r="V61" i="7"/>
  <c r="AA6" i="3"/>
  <c r="AW6" i="3"/>
  <c r="U6" i="3" s="1"/>
  <c r="AT19" i="3"/>
  <c r="AS19" i="3"/>
  <c r="D31" i="4" s="1"/>
  <c r="C7" i="10" s="1"/>
  <c r="AA65" i="7"/>
  <c r="Z65" i="7"/>
  <c r="Y65" i="7"/>
  <c r="U65" i="7"/>
  <c r="T65" i="7"/>
  <c r="X65" i="7"/>
  <c r="W65" i="7"/>
  <c r="V65" i="7"/>
  <c r="U22" i="3"/>
  <c r="U31" i="3"/>
  <c r="AA25" i="7"/>
  <c r="Z25" i="7"/>
  <c r="Y25" i="7"/>
  <c r="X25" i="7"/>
  <c r="W25" i="7"/>
  <c r="V25" i="7"/>
  <c r="U25" i="7"/>
  <c r="T25" i="7"/>
  <c r="AH7" i="3"/>
  <c r="AQ7" i="3"/>
  <c r="AC7" i="3" s="1"/>
  <c r="AW26" i="3"/>
  <c r="U26" i="3" s="1"/>
  <c r="AW10" i="3"/>
  <c r="U10" i="3" s="1"/>
  <c r="B11" i="4"/>
  <c r="AA77" i="7"/>
  <c r="Z77" i="7"/>
  <c r="Y77" i="7"/>
  <c r="U77" i="7"/>
  <c r="T77" i="7"/>
  <c r="X77" i="7"/>
  <c r="W77" i="7"/>
  <c r="V77" i="7"/>
  <c r="W21" i="7"/>
  <c r="V21" i="7"/>
  <c r="U21" i="7"/>
  <c r="T21" i="7"/>
  <c r="AA21" i="7"/>
  <c r="Z21" i="7"/>
  <c r="Y21" i="7"/>
  <c r="X21" i="7"/>
  <c r="AS5" i="3"/>
  <c r="B10" i="4" s="1"/>
  <c r="AT5" i="3"/>
  <c r="AC26" i="12"/>
  <c r="AC61" i="12"/>
  <c r="AA52" i="7"/>
  <c r="Z52" i="7"/>
  <c r="Y52" i="7"/>
  <c r="X52" i="7"/>
  <c r="W52" i="7"/>
  <c r="V52" i="7"/>
  <c r="U52" i="7"/>
  <c r="T52" i="7"/>
  <c r="AW45" i="3"/>
  <c r="AA45" i="3"/>
  <c r="C29" i="4"/>
  <c r="E5" i="10" s="1"/>
  <c r="AH19" i="3"/>
  <c r="AQ19" i="3"/>
  <c r="AC19" i="3" s="1"/>
  <c r="E13" i="10"/>
  <c r="D13" i="10" s="1"/>
  <c r="AH34" i="3"/>
  <c r="AQ34" i="3"/>
  <c r="AC34" i="3" s="1"/>
  <c r="Z30" i="7"/>
  <c r="Y30" i="7"/>
  <c r="X30" i="7"/>
  <c r="W30" i="7"/>
  <c r="V30" i="7"/>
  <c r="U30" i="7"/>
  <c r="T30" i="7"/>
  <c r="AA30" i="7"/>
  <c r="AQ30" i="3"/>
  <c r="AC30" i="3" s="1"/>
  <c r="D5" i="6"/>
  <c r="AA29" i="7"/>
  <c r="Z29" i="7"/>
  <c r="Y29" i="7"/>
  <c r="X29" i="7"/>
  <c r="W29" i="7"/>
  <c r="V29" i="7"/>
  <c r="U29" i="7"/>
  <c r="T29" i="7"/>
  <c r="J7" i="7"/>
  <c r="I7" i="7"/>
  <c r="H7" i="7"/>
  <c r="G7" i="7"/>
  <c r="B5" i="4"/>
  <c r="AA13" i="7"/>
  <c r="Z13" i="7"/>
  <c r="Y13" i="7"/>
  <c r="X13" i="7"/>
  <c r="W13" i="7"/>
  <c r="V13" i="7"/>
  <c r="U13" i="7"/>
  <c r="T13" i="7"/>
  <c r="AH6" i="3"/>
  <c r="AQ6" i="3"/>
  <c r="AC6" i="3" s="1"/>
  <c r="U45" i="3"/>
  <c r="AH23" i="3"/>
  <c r="AQ23" i="3"/>
  <c r="AC23" i="3" s="1"/>
  <c r="X56" i="7"/>
  <c r="W56" i="7"/>
  <c r="V56" i="7"/>
  <c r="U56" i="7"/>
  <c r="T56" i="7"/>
  <c r="AA56" i="7"/>
  <c r="Z56" i="7"/>
  <c r="Y56" i="7"/>
  <c r="AA53" i="7"/>
  <c r="Z53" i="7"/>
  <c r="Y53" i="7"/>
  <c r="X53" i="7"/>
  <c r="W53" i="7"/>
  <c r="V53" i="7"/>
  <c r="U53" i="7"/>
  <c r="T53" i="7"/>
  <c r="K215" i="12"/>
  <c r="J215" i="12"/>
  <c r="H215" i="12"/>
  <c r="G215" i="12"/>
  <c r="M215" i="12"/>
  <c r="N215" i="12"/>
  <c r="L215" i="12"/>
  <c r="I215" i="12"/>
  <c r="K179" i="12"/>
  <c r="J179" i="12"/>
  <c r="N179" i="12"/>
  <c r="M179" i="12"/>
  <c r="I179" i="12"/>
  <c r="G179" i="12"/>
  <c r="L179" i="12"/>
  <c r="H179" i="12"/>
  <c r="J113" i="12"/>
  <c r="Z113" i="12"/>
  <c r="G113" i="12"/>
  <c r="Y113" i="12"/>
  <c r="E113" i="12"/>
  <c r="X113" i="12"/>
  <c r="T113" i="12"/>
  <c r="S113" i="12"/>
  <c r="O113" i="12"/>
  <c r="K113" i="12"/>
  <c r="P113" i="12"/>
  <c r="H113" i="12"/>
  <c r="R113" i="12"/>
  <c r="Q113" i="12"/>
  <c r="R98" i="12"/>
  <c r="Q98" i="12"/>
  <c r="P98" i="12"/>
  <c r="H98" i="12"/>
  <c r="Z98" i="12"/>
  <c r="G98" i="12"/>
  <c r="J98" i="12"/>
  <c r="K98" i="12"/>
  <c r="E98" i="12"/>
  <c r="Y98" i="12"/>
  <c r="X98" i="12"/>
  <c r="T98" i="12"/>
  <c r="S98" i="12"/>
  <c r="O98" i="12"/>
  <c r="T72" i="7"/>
  <c r="Z72" i="7"/>
  <c r="Y72" i="7"/>
  <c r="AA72" i="7"/>
  <c r="X72" i="7"/>
  <c r="W72" i="7"/>
  <c r="V72" i="7"/>
  <c r="U72" i="7"/>
  <c r="U54" i="3"/>
  <c r="X44" i="7"/>
  <c r="W44" i="7"/>
  <c r="V44" i="7"/>
  <c r="U44" i="7"/>
  <c r="T44" i="7"/>
  <c r="AA44" i="7"/>
  <c r="Z44" i="7"/>
  <c r="Y44" i="7"/>
  <c r="AA50" i="3"/>
  <c r="AW50" i="3"/>
  <c r="V58" i="7"/>
  <c r="U58" i="7"/>
  <c r="T58" i="7"/>
  <c r="AA58" i="7"/>
  <c r="Z58" i="7"/>
  <c r="Y58" i="7"/>
  <c r="X58" i="7"/>
  <c r="W58" i="7"/>
  <c r="P72" i="12"/>
  <c r="H72" i="12"/>
  <c r="Z72" i="12"/>
  <c r="G72" i="12"/>
  <c r="Y72" i="12"/>
  <c r="X72" i="12"/>
  <c r="T72" i="12"/>
  <c r="S72" i="12"/>
  <c r="R72" i="12"/>
  <c r="Q72" i="12"/>
  <c r="O72" i="12"/>
  <c r="K72" i="12"/>
  <c r="J72" i="12"/>
  <c r="E72" i="12"/>
  <c r="D34" i="4"/>
  <c r="C10" i="10" s="1"/>
  <c r="AW49" i="3"/>
  <c r="U49" i="3" s="1"/>
  <c r="AQ21" i="3"/>
  <c r="AC21" i="3" s="1"/>
  <c r="AH21" i="3"/>
  <c r="B9" i="4"/>
  <c r="B21" i="4" s="1"/>
  <c r="AA14" i="7"/>
  <c r="Z14" i="7"/>
  <c r="Y14" i="7"/>
  <c r="X14" i="7"/>
  <c r="W14" i="7"/>
  <c r="V14" i="7"/>
  <c r="U14" i="7"/>
  <c r="T14" i="7"/>
  <c r="C33" i="4"/>
  <c r="E9" i="10" s="1"/>
  <c r="D9" i="10" s="1"/>
  <c r="AS33" i="3"/>
  <c r="AT33" i="3"/>
  <c r="E31" i="4"/>
  <c r="E12" i="6"/>
  <c r="B9" i="6"/>
  <c r="AW13" i="3"/>
  <c r="AH22" i="3"/>
  <c r="AQ22" i="3"/>
  <c r="AC22" i="3" s="1"/>
  <c r="AC176" i="12"/>
  <c r="H79" i="12"/>
  <c r="Z79" i="12"/>
  <c r="G79" i="12"/>
  <c r="Y79" i="12"/>
  <c r="E79" i="12"/>
  <c r="R79" i="12"/>
  <c r="J79" i="12"/>
  <c r="X79" i="12"/>
  <c r="T79" i="12"/>
  <c r="S79" i="12"/>
  <c r="Q79" i="12"/>
  <c r="P79" i="12"/>
  <c r="O79" i="12"/>
  <c r="K79" i="12"/>
  <c r="AD285" i="12"/>
  <c r="G285" i="12"/>
  <c r="F285" i="12"/>
  <c r="E285" i="12"/>
  <c r="AC134" i="12"/>
  <c r="N161" i="12"/>
  <c r="M161" i="12"/>
  <c r="L161" i="12"/>
  <c r="K161" i="12"/>
  <c r="G161" i="12"/>
  <c r="J161" i="12"/>
  <c r="I161" i="12"/>
  <c r="H161" i="12"/>
  <c r="AC215" i="12"/>
  <c r="AC179" i="12"/>
  <c r="AC113" i="12"/>
  <c r="H77" i="12"/>
  <c r="Z77" i="12"/>
  <c r="G77" i="12"/>
  <c r="Y77" i="12"/>
  <c r="E77" i="12"/>
  <c r="R77" i="12"/>
  <c r="J77" i="12"/>
  <c r="X77" i="12"/>
  <c r="T77" i="12"/>
  <c r="S77" i="12"/>
  <c r="Q77" i="12"/>
  <c r="P77" i="12"/>
  <c r="O77" i="12"/>
  <c r="K77" i="12"/>
  <c r="H97" i="12"/>
  <c r="Z97" i="12"/>
  <c r="G97" i="12"/>
  <c r="Y97" i="12"/>
  <c r="E97" i="12"/>
  <c r="R97" i="12"/>
  <c r="Q97" i="12"/>
  <c r="X97" i="12"/>
  <c r="T97" i="12"/>
  <c r="S97" i="12"/>
  <c r="P97" i="12"/>
  <c r="O97" i="12"/>
  <c r="K97" i="12"/>
  <c r="J97" i="12"/>
  <c r="T24" i="7"/>
  <c r="AA24" i="7"/>
  <c r="Z24" i="7"/>
  <c r="Y24" i="7"/>
  <c r="X24" i="7"/>
  <c r="W24" i="7"/>
  <c r="V24" i="7"/>
  <c r="U24" i="7"/>
  <c r="D9" i="6"/>
  <c r="V34" i="7"/>
  <c r="U34" i="7"/>
  <c r="T34" i="7"/>
  <c r="AA34" i="7"/>
  <c r="Z34" i="7"/>
  <c r="Y34" i="7"/>
  <c r="X34" i="7"/>
  <c r="W34" i="7"/>
  <c r="U35" i="7"/>
  <c r="T35" i="7"/>
  <c r="AA35" i="7"/>
  <c r="Z35" i="7"/>
  <c r="Y35" i="7"/>
  <c r="X35" i="7"/>
  <c r="W35" i="7"/>
  <c r="V35" i="7"/>
  <c r="AQ37" i="3"/>
  <c r="AC37" i="3" s="1"/>
  <c r="AH37" i="3"/>
  <c r="AW27" i="3"/>
  <c r="U27" i="3" s="1"/>
  <c r="E6" i="10"/>
  <c r="D6" i="10" s="1"/>
  <c r="C31" i="4"/>
  <c r="AH26" i="3"/>
  <c r="AQ26" i="3"/>
  <c r="AC26" i="3" s="1"/>
  <c r="AS9" i="3"/>
  <c r="AT9" i="3"/>
  <c r="U65" i="3"/>
  <c r="AW5" i="3"/>
  <c r="U5" i="3" s="1"/>
  <c r="AQ45" i="3"/>
  <c r="AC45" i="3" s="1"/>
  <c r="AT10" i="3"/>
  <c r="AS10" i="3"/>
  <c r="D30" i="4" s="1"/>
  <c r="C6" i="10" s="1"/>
  <c r="AW58" i="3"/>
  <c r="U58" i="3" s="1"/>
  <c r="AC32" i="12"/>
  <c r="H87" i="12"/>
  <c r="Z87" i="12"/>
  <c r="G87" i="12"/>
  <c r="Y87" i="12"/>
  <c r="E87" i="12"/>
  <c r="R87" i="12"/>
  <c r="Q87" i="12"/>
  <c r="S87" i="12"/>
  <c r="P87" i="12"/>
  <c r="X87" i="12"/>
  <c r="T87" i="12"/>
  <c r="O87" i="12"/>
  <c r="K87" i="12"/>
  <c r="J87" i="12"/>
  <c r="AS37" i="3"/>
  <c r="AT37" i="3"/>
  <c r="G37" i="4"/>
  <c r="F37" i="4"/>
  <c r="Y73" i="12"/>
  <c r="E73" i="12"/>
  <c r="R73" i="12"/>
  <c r="Q73" i="12"/>
  <c r="X73" i="12"/>
  <c r="T73" i="12"/>
  <c r="S73" i="12"/>
  <c r="P73" i="12"/>
  <c r="O73" i="12"/>
  <c r="K73" i="12"/>
  <c r="J73" i="12"/>
  <c r="H73" i="12"/>
  <c r="G73" i="12"/>
  <c r="Z73" i="12"/>
  <c r="G35" i="4"/>
  <c r="F35" i="4"/>
  <c r="AD288" i="12"/>
  <c r="G288" i="12"/>
  <c r="F288" i="12"/>
  <c r="E288" i="12"/>
  <c r="AD282" i="12"/>
  <c r="G282" i="12"/>
  <c r="F282" i="12"/>
  <c r="E282" i="12"/>
  <c r="M160" i="12"/>
  <c r="K160" i="12"/>
  <c r="J160" i="12"/>
  <c r="G160" i="12"/>
  <c r="N160" i="12"/>
  <c r="L160" i="12"/>
  <c r="I160" i="12"/>
  <c r="H160" i="12"/>
  <c r="J111" i="12"/>
  <c r="Z111" i="12"/>
  <c r="G111" i="12"/>
  <c r="H111" i="12"/>
  <c r="E111" i="12"/>
  <c r="S111" i="12"/>
  <c r="R111" i="12"/>
  <c r="Q111" i="12"/>
  <c r="O111" i="12"/>
  <c r="K111" i="12"/>
  <c r="Y111" i="12"/>
  <c r="X111" i="12"/>
  <c r="T111" i="12"/>
  <c r="P111" i="12"/>
  <c r="J117" i="12"/>
  <c r="Z117" i="12"/>
  <c r="G117" i="12"/>
  <c r="Y117" i="12"/>
  <c r="E117" i="12"/>
  <c r="O117" i="12"/>
  <c r="K117" i="12"/>
  <c r="H117" i="12"/>
  <c r="X117" i="12"/>
  <c r="T117" i="12"/>
  <c r="Q117" i="12"/>
  <c r="P117" i="12"/>
  <c r="S117" i="12"/>
  <c r="R117" i="12"/>
  <c r="B13" i="12"/>
  <c r="U62" i="3"/>
  <c r="Z60" i="7"/>
  <c r="U60" i="7"/>
  <c r="T60" i="7"/>
  <c r="AA60" i="7"/>
  <c r="Y60" i="7"/>
  <c r="X60" i="7"/>
  <c r="W60" i="7"/>
  <c r="V60" i="7"/>
  <c r="U47" i="7"/>
  <c r="T47" i="7"/>
  <c r="AA47" i="7"/>
  <c r="Z47" i="7"/>
  <c r="Y47" i="7"/>
  <c r="X47" i="7"/>
  <c r="W47" i="7"/>
  <c r="V47" i="7"/>
  <c r="X74" i="7"/>
  <c r="W74" i="7"/>
  <c r="T74" i="7"/>
  <c r="AA74" i="7"/>
  <c r="Z74" i="7"/>
  <c r="Y74" i="7"/>
  <c r="V74" i="7"/>
  <c r="U74" i="7"/>
  <c r="AQ53" i="3"/>
  <c r="AC53" i="3" s="1"/>
  <c r="AH53" i="3"/>
  <c r="U7" i="3"/>
  <c r="AH15" i="3"/>
  <c r="AQ15" i="3"/>
  <c r="AC15" i="3" s="1"/>
  <c r="AA15" i="7"/>
  <c r="Z15" i="7"/>
  <c r="Y15" i="7"/>
  <c r="X15" i="7"/>
  <c r="W15" i="7"/>
  <c r="V15" i="7"/>
  <c r="U15" i="7"/>
  <c r="T15" i="7"/>
  <c r="B14" i="4"/>
  <c r="AT13" i="3"/>
  <c r="AS13" i="3"/>
  <c r="W45" i="7"/>
  <c r="V45" i="7"/>
  <c r="U45" i="7"/>
  <c r="T45" i="7"/>
  <c r="AA45" i="7"/>
  <c r="Z45" i="7"/>
  <c r="X45" i="7"/>
  <c r="Y45" i="7"/>
  <c r="AW53" i="3"/>
  <c r="U53" i="3" s="1"/>
  <c r="AS31" i="3"/>
  <c r="D32" i="4" s="1"/>
  <c r="C8" i="10" s="1"/>
  <c r="AT31" i="3"/>
  <c r="AQ65" i="3"/>
  <c r="AC65" i="3" s="1"/>
  <c r="AH65" i="3"/>
  <c r="U23" i="7"/>
  <c r="T23" i="7"/>
  <c r="AA23" i="7"/>
  <c r="Z23" i="7"/>
  <c r="Y23" i="7"/>
  <c r="X23" i="7"/>
  <c r="W23" i="7"/>
  <c r="V23" i="7"/>
  <c r="AW42" i="3"/>
  <c r="U42" i="3" s="1"/>
  <c r="AW54" i="3"/>
  <c r="AW29" i="3"/>
  <c r="AH10" i="3"/>
  <c r="AQ10" i="3"/>
  <c r="AC10" i="3" s="1"/>
  <c r="Y65" i="12"/>
  <c r="E65" i="12"/>
  <c r="R65" i="12"/>
  <c r="Q65" i="12"/>
  <c r="X65" i="12"/>
  <c r="T65" i="12"/>
  <c r="S65" i="12"/>
  <c r="P65" i="12"/>
  <c r="O65" i="12"/>
  <c r="K65" i="12"/>
  <c r="J65" i="12"/>
  <c r="H65" i="12"/>
  <c r="G65" i="12"/>
  <c r="Z65" i="12"/>
  <c r="AT68" i="3"/>
  <c r="AS68" i="3"/>
  <c r="T12" i="7"/>
  <c r="AA12" i="7"/>
  <c r="Z12" i="7"/>
  <c r="Y12" i="7"/>
  <c r="X12" i="7"/>
  <c r="W12" i="7"/>
  <c r="V12" i="7"/>
  <c r="U12" i="7"/>
  <c r="I172" i="12"/>
  <c r="G172" i="12"/>
  <c r="N172" i="12"/>
  <c r="L172" i="12"/>
  <c r="K172" i="12"/>
  <c r="H172" i="12"/>
  <c r="M172" i="12"/>
  <c r="J172" i="12"/>
  <c r="E32" i="4"/>
  <c r="B127" i="12"/>
  <c r="B131" i="12"/>
  <c r="N194" i="12"/>
  <c r="M194" i="12"/>
  <c r="K194" i="12"/>
  <c r="G194" i="12"/>
  <c r="L194" i="12"/>
  <c r="J194" i="12"/>
  <c r="I194" i="12"/>
  <c r="H194" i="12"/>
  <c r="L173" i="12"/>
  <c r="J173" i="12"/>
  <c r="I173" i="12"/>
  <c r="G173" i="12"/>
  <c r="N173" i="12"/>
  <c r="M173" i="12"/>
  <c r="K173" i="12"/>
  <c r="H173" i="12"/>
  <c r="AC132" i="12"/>
  <c r="X32" i="7"/>
  <c r="W32" i="7"/>
  <c r="V32" i="7"/>
  <c r="U32" i="7"/>
  <c r="T32" i="7"/>
  <c r="AA32" i="7"/>
  <c r="Z32" i="7"/>
  <c r="Y32" i="7"/>
  <c r="AD279" i="12"/>
  <c r="G279" i="12"/>
  <c r="F279" i="12"/>
  <c r="E279" i="12"/>
  <c r="N195" i="12"/>
  <c r="J195" i="12"/>
  <c r="H195" i="12"/>
  <c r="G195" i="12"/>
  <c r="I195" i="12"/>
  <c r="M195" i="12"/>
  <c r="L195" i="12"/>
  <c r="K195" i="12"/>
  <c r="AC160" i="12"/>
  <c r="M193" i="12"/>
  <c r="L193" i="12"/>
  <c r="H193" i="12"/>
  <c r="K193" i="12"/>
  <c r="I193" i="12"/>
  <c r="N193" i="12"/>
  <c r="J193" i="12"/>
  <c r="G193" i="12"/>
  <c r="I189" i="12"/>
  <c r="H189" i="12"/>
  <c r="J189" i="12"/>
  <c r="M189" i="12"/>
  <c r="K189" i="12"/>
  <c r="N189" i="12"/>
  <c r="L189" i="12"/>
  <c r="G189" i="12"/>
  <c r="R90" i="12"/>
  <c r="Q90" i="12"/>
  <c r="P90" i="12"/>
  <c r="H90" i="12"/>
  <c r="Z90" i="12"/>
  <c r="G90" i="12"/>
  <c r="J90" i="12"/>
  <c r="Y90" i="12"/>
  <c r="X90" i="12"/>
  <c r="T90" i="12"/>
  <c r="S90" i="12"/>
  <c r="O90" i="12"/>
  <c r="K90" i="12"/>
  <c r="E90" i="12"/>
  <c r="D33" i="9"/>
  <c r="E33" i="9" s="1"/>
  <c r="AC73" i="12"/>
  <c r="D12" i="6"/>
  <c r="Z54" i="7"/>
  <c r="Y54" i="7"/>
  <c r="X54" i="7"/>
  <c r="W54" i="7"/>
  <c r="V54" i="7"/>
  <c r="U54" i="7"/>
  <c r="T54" i="7"/>
  <c r="AA54" i="7"/>
  <c r="AA28" i="7"/>
  <c r="Z28" i="7"/>
  <c r="Y28" i="7"/>
  <c r="X28" i="7"/>
  <c r="W28" i="7"/>
  <c r="V28" i="7"/>
  <c r="U28" i="7"/>
  <c r="T28" i="7"/>
  <c r="AH66" i="3"/>
  <c r="AQ66" i="3"/>
  <c r="AC66" i="3" s="1"/>
  <c r="W33" i="7"/>
  <c r="V33" i="7"/>
  <c r="U33" i="7"/>
  <c r="T33" i="7"/>
  <c r="AA33" i="7"/>
  <c r="Z33" i="7"/>
  <c r="Y33" i="7"/>
  <c r="X33" i="7"/>
  <c r="AT6" i="3"/>
  <c r="AS6" i="3"/>
  <c r="U30" i="3"/>
  <c r="U34" i="3"/>
  <c r="AQ17" i="3"/>
  <c r="AC17" i="3" s="1"/>
  <c r="AH17" i="3"/>
  <c r="AQ57" i="3"/>
  <c r="AC57" i="3" s="1"/>
  <c r="AH57" i="3"/>
  <c r="E10" i="10"/>
  <c r="D10" i="10" s="1"/>
  <c r="D36" i="4"/>
  <c r="C12" i="10" s="1"/>
  <c r="AH31" i="3"/>
  <c r="AQ31" i="3"/>
  <c r="AC31" i="3" s="1"/>
  <c r="Z11" i="7"/>
  <c r="Y11" i="7"/>
  <c r="X11" i="7"/>
  <c r="W11" i="7"/>
  <c r="V11" i="7"/>
  <c r="U11" i="7"/>
  <c r="T11" i="7"/>
  <c r="AA11" i="7"/>
  <c r="AT30" i="3"/>
  <c r="AS30" i="3"/>
  <c r="AA27" i="7"/>
  <c r="Z27" i="7"/>
  <c r="Y27" i="7"/>
  <c r="X27" i="7"/>
  <c r="W27" i="7"/>
  <c r="V27" i="7"/>
  <c r="U27" i="7"/>
  <c r="T27" i="7"/>
  <c r="AS65" i="3"/>
  <c r="AT65" i="3"/>
  <c r="B22" i="4"/>
  <c r="D22" i="4" s="1"/>
  <c r="AA2" i="3"/>
  <c r="AQ49" i="3"/>
  <c r="AC49" i="3" s="1"/>
  <c r="I153" i="12"/>
  <c r="H153" i="12"/>
  <c r="G153" i="12"/>
  <c r="N153" i="12"/>
  <c r="M153" i="12"/>
  <c r="L153" i="12"/>
  <c r="K153" i="12"/>
  <c r="J153" i="12"/>
  <c r="J105" i="12"/>
  <c r="Z105" i="12"/>
  <c r="G105" i="12"/>
  <c r="S105" i="12"/>
  <c r="R105" i="12"/>
  <c r="Q105" i="12"/>
  <c r="H105" i="12"/>
  <c r="E105" i="12"/>
  <c r="T105" i="12"/>
  <c r="K105" i="12"/>
  <c r="Y105" i="12"/>
  <c r="X105" i="12"/>
  <c r="P105" i="12"/>
  <c r="O105" i="12"/>
  <c r="M21" i="8"/>
  <c r="N21" i="8"/>
  <c r="R82" i="12"/>
  <c r="Q82" i="12"/>
  <c r="P82" i="12"/>
  <c r="H82" i="12"/>
  <c r="Z82" i="12"/>
  <c r="G82" i="12"/>
  <c r="J82" i="12"/>
  <c r="S82" i="12"/>
  <c r="O82" i="12"/>
  <c r="K82" i="12"/>
  <c r="E82" i="12"/>
  <c r="Y82" i="12"/>
  <c r="X82" i="12"/>
  <c r="T82" i="12"/>
  <c r="H89" i="12"/>
  <c r="Z89" i="12"/>
  <c r="G89" i="12"/>
  <c r="Y89" i="12"/>
  <c r="E89" i="12"/>
  <c r="R89" i="12"/>
  <c r="Q89" i="12"/>
  <c r="X89" i="12"/>
  <c r="S89" i="12"/>
  <c r="P89" i="12"/>
  <c r="O89" i="12"/>
  <c r="K89" i="12"/>
  <c r="J89" i="12"/>
  <c r="T89" i="12"/>
  <c r="H75" i="12"/>
  <c r="Z75" i="12"/>
  <c r="G75" i="12"/>
  <c r="Y75" i="12"/>
  <c r="R75" i="12"/>
  <c r="J75" i="12"/>
  <c r="X75" i="12"/>
  <c r="T75" i="12"/>
  <c r="S75" i="12"/>
  <c r="Q75" i="12"/>
  <c r="P75" i="12"/>
  <c r="O75" i="12"/>
  <c r="K75" i="12"/>
  <c r="E75" i="12"/>
  <c r="N19" i="8"/>
  <c r="D31" i="8" s="1"/>
  <c r="M19" i="8"/>
  <c r="X4" i="8"/>
  <c r="D28" i="8" s="1"/>
  <c r="E28" i="8" s="1"/>
  <c r="X6" i="8"/>
  <c r="X7" i="8" s="1"/>
  <c r="D34" i="8" s="1"/>
  <c r="R84" i="12"/>
  <c r="Q84" i="12"/>
  <c r="P84" i="12"/>
  <c r="H84" i="12"/>
  <c r="Z84" i="12"/>
  <c r="G84" i="12"/>
  <c r="S84" i="12"/>
  <c r="E84" i="12"/>
  <c r="Y84" i="12"/>
  <c r="X84" i="12"/>
  <c r="T84" i="12"/>
  <c r="O84" i="12"/>
  <c r="K84" i="12"/>
  <c r="J84" i="12"/>
  <c r="AA76" i="7"/>
  <c r="Z76" i="7"/>
  <c r="V76" i="7"/>
  <c r="U76" i="7"/>
  <c r="Y76" i="7"/>
  <c r="X76" i="7"/>
  <c r="W76" i="7"/>
  <c r="T76" i="7"/>
  <c r="AA66" i="3"/>
  <c r="AW66" i="3"/>
  <c r="U66" i="3" s="1"/>
  <c r="AA75" i="7"/>
  <c r="W75" i="7"/>
  <c r="V75" i="7"/>
  <c r="X75" i="7"/>
  <c r="U75" i="7"/>
  <c r="T75" i="7"/>
  <c r="Z75" i="7"/>
  <c r="Y75" i="7"/>
  <c r="Y43" i="7"/>
  <c r="X43" i="7"/>
  <c r="W43" i="7"/>
  <c r="V43" i="7"/>
  <c r="U43" i="7"/>
  <c r="T43" i="7"/>
  <c r="AA43" i="7"/>
  <c r="Z43" i="7"/>
  <c r="E33" i="4"/>
  <c r="Z42" i="7"/>
  <c r="Y42" i="7"/>
  <c r="X42" i="7"/>
  <c r="W42" i="7"/>
  <c r="V42" i="7"/>
  <c r="U42" i="7"/>
  <c r="T42" i="7"/>
  <c r="AA42" i="7"/>
  <c r="AH14" i="3"/>
  <c r="AQ14" i="3"/>
  <c r="AC14" i="3" s="1"/>
  <c r="G34" i="4"/>
  <c r="F34" i="4"/>
  <c r="AQ13" i="3"/>
  <c r="AC13" i="3" s="1"/>
  <c r="AH13" i="3"/>
  <c r="C9" i="6"/>
  <c r="U13" i="3"/>
  <c r="U29" i="3"/>
  <c r="AQ9" i="3"/>
  <c r="AC9" i="3" s="1"/>
  <c r="AH9" i="3"/>
  <c r="C11" i="6"/>
  <c r="D7" i="6"/>
  <c r="Y73" i="7"/>
  <c r="X73" i="7"/>
  <c r="AA73" i="7"/>
  <c r="Z73" i="7"/>
  <c r="W73" i="7"/>
  <c r="V73" i="7"/>
  <c r="U73" i="7"/>
  <c r="T73" i="7"/>
  <c r="U14" i="3"/>
  <c r="B15" i="4"/>
  <c r="AQ61" i="3"/>
  <c r="AC61" i="3" s="1"/>
  <c r="AQ42" i="3"/>
  <c r="AC42" i="3" s="1"/>
  <c r="Z18" i="7"/>
  <c r="Y18" i="7"/>
  <c r="X18" i="7"/>
  <c r="W18" i="7"/>
  <c r="V18" i="7"/>
  <c r="U18" i="7"/>
  <c r="T18" i="7"/>
  <c r="AA18" i="7"/>
  <c r="AA59" i="7"/>
  <c r="U59" i="7"/>
  <c r="T59" i="7"/>
  <c r="Z59" i="7"/>
  <c r="Y59" i="7"/>
  <c r="X59" i="7"/>
  <c r="W59" i="7"/>
  <c r="V59" i="7"/>
  <c r="D37" i="4"/>
  <c r="C13" i="10" s="1"/>
  <c r="AS45" i="3"/>
  <c r="AT45" i="3"/>
  <c r="AD273" i="12"/>
  <c r="G273" i="12"/>
  <c r="F273" i="12"/>
  <c r="E273" i="12"/>
  <c r="L180" i="12"/>
  <c r="K180" i="12"/>
  <c r="N180" i="12"/>
  <c r="J180" i="12"/>
  <c r="M180" i="12"/>
  <c r="I180" i="12"/>
  <c r="G180" i="12"/>
  <c r="H180" i="12"/>
  <c r="I184" i="12"/>
  <c r="N184" i="12"/>
  <c r="L184" i="12"/>
  <c r="J184" i="12"/>
  <c r="M184" i="12"/>
  <c r="K184" i="12"/>
  <c r="G184" i="12"/>
  <c r="H184" i="12"/>
  <c r="E33" i="8"/>
  <c r="D33" i="8"/>
  <c r="D26" i="8"/>
  <c r="E26" i="8" s="1"/>
  <c r="J103" i="12"/>
  <c r="Z103" i="12"/>
  <c r="H103" i="12"/>
  <c r="G103" i="12"/>
  <c r="E103" i="12"/>
  <c r="S103" i="12"/>
  <c r="R103" i="12"/>
  <c r="T103" i="12"/>
  <c r="Q103" i="12"/>
  <c r="Y103" i="12"/>
  <c r="X103" i="12"/>
  <c r="P103" i="12"/>
  <c r="O103" i="12"/>
  <c r="K103" i="12"/>
  <c r="X68" i="7"/>
  <c r="W68" i="7"/>
  <c r="V68" i="7"/>
  <c r="AA68" i="7"/>
  <c r="Z68" i="7"/>
  <c r="Y68" i="7"/>
  <c r="U68" i="7"/>
  <c r="T68" i="7"/>
  <c r="U50" i="3"/>
  <c r="T36" i="7"/>
  <c r="AA36" i="7"/>
  <c r="Z36" i="7"/>
  <c r="Y36" i="7"/>
  <c r="X36" i="7"/>
  <c r="W36" i="7"/>
  <c r="V36" i="7"/>
  <c r="U36" i="7"/>
  <c r="V70" i="7"/>
  <c r="U70" i="7"/>
  <c r="T70" i="7"/>
  <c r="AA70" i="7"/>
  <c r="Z70" i="7"/>
  <c r="Y70" i="7"/>
  <c r="X70" i="7"/>
  <c r="W70" i="7"/>
  <c r="B11" i="6"/>
  <c r="Z66" i="7"/>
  <c r="Y66" i="7"/>
  <c r="X66" i="7"/>
  <c r="T66" i="7"/>
  <c r="AA66" i="7"/>
  <c r="W66" i="7"/>
  <c r="V66" i="7"/>
  <c r="U66" i="7"/>
  <c r="AH4" i="3"/>
  <c r="AQ4" i="3"/>
  <c r="AC4" i="3" s="1"/>
  <c r="AA38" i="7"/>
  <c r="Z38" i="7"/>
  <c r="Y38" i="7"/>
  <c r="X38" i="7"/>
  <c r="W38" i="7"/>
  <c r="V38" i="7"/>
  <c r="U38" i="7"/>
  <c r="T38" i="7"/>
  <c r="U61" i="3"/>
  <c r="AA17" i="7"/>
  <c r="Z17" i="7"/>
  <c r="Y17" i="7"/>
  <c r="X17" i="7"/>
  <c r="W17" i="7"/>
  <c r="V17" i="7"/>
  <c r="U17" i="7"/>
  <c r="T17" i="7"/>
  <c r="AT11" i="3"/>
  <c r="AS11" i="3"/>
  <c r="AQ27" i="3"/>
  <c r="AC27" i="3" s="1"/>
  <c r="AW18" i="3"/>
  <c r="U18" i="3" s="1"/>
  <c r="AA18" i="3"/>
  <c r="V22" i="7"/>
  <c r="U22" i="7"/>
  <c r="T22" i="7"/>
  <c r="AA22" i="7"/>
  <c r="Z22" i="7"/>
  <c r="Y22" i="7"/>
  <c r="X22" i="7"/>
  <c r="W22" i="7"/>
  <c r="AW38" i="3"/>
  <c r="U38" i="3" s="1"/>
  <c r="AQ54" i="3"/>
  <c r="AC54" i="3" s="1"/>
  <c r="AA37" i="7"/>
  <c r="Z37" i="7"/>
  <c r="Y37" i="7"/>
  <c r="X37" i="7"/>
  <c r="W37" i="7"/>
  <c r="V37" i="7"/>
  <c r="T37" i="7"/>
  <c r="U37" i="7"/>
  <c r="AW21" i="3"/>
  <c r="U21" i="3" s="1"/>
  <c r="AA21" i="3"/>
  <c r="AH11" i="3"/>
  <c r="AQ11" i="3"/>
  <c r="AC11" i="3" s="1"/>
  <c r="AD276" i="12"/>
  <c r="G276" i="12"/>
  <c r="F276" i="12"/>
  <c r="E276" i="12"/>
  <c r="M208" i="12"/>
  <c r="I208" i="12"/>
  <c r="G208" i="12"/>
  <c r="N208" i="12"/>
  <c r="L208" i="12"/>
  <c r="J208" i="12"/>
  <c r="H208" i="12"/>
  <c r="K208" i="12"/>
  <c r="M196" i="12"/>
  <c r="K196" i="12"/>
  <c r="J196" i="12"/>
  <c r="H196" i="12"/>
  <c r="N196" i="12"/>
  <c r="L196" i="12"/>
  <c r="G196" i="12"/>
  <c r="I196" i="12"/>
  <c r="AC153" i="12"/>
  <c r="AD270" i="12"/>
  <c r="G270" i="12"/>
  <c r="F270" i="12"/>
  <c r="E270" i="12"/>
  <c r="AC196" i="12"/>
  <c r="L216" i="12"/>
  <c r="K216" i="12"/>
  <c r="I216" i="12"/>
  <c r="H216" i="12"/>
  <c r="N216" i="12"/>
  <c r="J216" i="12"/>
  <c r="G216" i="12"/>
  <c r="M216" i="12"/>
  <c r="AC180" i="12"/>
  <c r="AD235" i="12"/>
  <c r="G235" i="12"/>
  <c r="F235" i="12"/>
  <c r="E235" i="12"/>
  <c r="B223" i="12"/>
  <c r="AC184" i="12"/>
  <c r="J107" i="12"/>
  <c r="Z107" i="12"/>
  <c r="G107" i="12"/>
  <c r="H107" i="12"/>
  <c r="E107" i="12"/>
  <c r="S107" i="12"/>
  <c r="R107" i="12"/>
  <c r="X107" i="12"/>
  <c r="T107" i="12"/>
  <c r="Q107" i="12"/>
  <c r="K107" i="12"/>
  <c r="Y107" i="12"/>
  <c r="P107" i="12"/>
  <c r="O107" i="12"/>
  <c r="Y69" i="12"/>
  <c r="E69" i="12"/>
  <c r="R69" i="12"/>
  <c r="Q69" i="12"/>
  <c r="J69" i="12"/>
  <c r="H69" i="12"/>
  <c r="G69" i="12"/>
  <c r="Z69" i="12"/>
  <c r="X69" i="12"/>
  <c r="T69" i="12"/>
  <c r="S69" i="12"/>
  <c r="P69" i="12"/>
  <c r="O69" i="12"/>
  <c r="K69" i="12"/>
  <c r="L150" i="12"/>
  <c r="K150" i="12"/>
  <c r="M150" i="12"/>
  <c r="J150" i="12"/>
  <c r="I150" i="12"/>
  <c r="H150" i="12"/>
  <c r="G150" i="12"/>
  <c r="B140" i="12"/>
  <c r="N150" i="12"/>
  <c r="P74" i="12"/>
  <c r="H74" i="12"/>
  <c r="Z74" i="12"/>
  <c r="G74" i="12"/>
  <c r="S74" i="12"/>
  <c r="R74" i="12"/>
  <c r="Q74" i="12"/>
  <c r="O74" i="12"/>
  <c r="K74" i="12"/>
  <c r="J74" i="12"/>
  <c r="E74" i="12"/>
  <c r="Y74" i="12"/>
  <c r="X74" i="12"/>
  <c r="T74" i="12"/>
  <c r="AC65" i="12"/>
  <c r="AC103" i="12"/>
  <c r="AH68" i="3"/>
  <c r="AQ68" i="3"/>
  <c r="AC68" i="3" s="1"/>
  <c r="D6" i="6"/>
  <c r="U71" i="7"/>
  <c r="T71" i="7"/>
  <c r="AA71" i="7"/>
  <c r="Z71" i="7"/>
  <c r="W71" i="7"/>
  <c r="V71" i="7"/>
  <c r="Y71" i="7"/>
  <c r="X71" i="7"/>
  <c r="AA63" i="7"/>
  <c r="W63" i="7"/>
  <c r="U63" i="7"/>
  <c r="T63" i="7"/>
  <c r="Z63" i="7"/>
  <c r="Y63" i="7"/>
  <c r="X63" i="7"/>
  <c r="V63" i="7"/>
  <c r="AA50" i="7"/>
  <c r="Z50" i="7"/>
  <c r="Y50" i="7"/>
  <c r="X50" i="7"/>
  <c r="W50" i="7"/>
  <c r="V50" i="7"/>
  <c r="U50" i="7"/>
  <c r="T50" i="7"/>
  <c r="AA51" i="7"/>
  <c r="Z51" i="7"/>
  <c r="Y51" i="7"/>
  <c r="X51" i="7"/>
  <c r="W51" i="7"/>
  <c r="V51" i="7"/>
  <c r="U51" i="7"/>
  <c r="T51" i="7"/>
  <c r="G32" i="4"/>
  <c r="F32" i="4"/>
  <c r="AA41" i="7"/>
  <c r="Z41" i="7"/>
  <c r="Y41" i="7"/>
  <c r="X41" i="7"/>
  <c r="W41" i="7"/>
  <c r="V41" i="7"/>
  <c r="U41" i="7"/>
  <c r="T41" i="7"/>
  <c r="W69" i="7"/>
  <c r="V69" i="7"/>
  <c r="U69" i="7"/>
  <c r="AA69" i="7"/>
  <c r="Z69" i="7"/>
  <c r="Y69" i="7"/>
  <c r="X69" i="7"/>
  <c r="T69" i="7"/>
  <c r="AA16" i="7"/>
  <c r="Z16" i="7"/>
  <c r="Y16" i="7"/>
  <c r="X16" i="7"/>
  <c r="W16" i="7"/>
  <c r="V16" i="7"/>
  <c r="U16" i="7"/>
  <c r="T16" i="7"/>
  <c r="AQ29" i="3"/>
  <c r="AC29" i="3" s="1"/>
  <c r="AH29" i="3"/>
  <c r="AQ25" i="3"/>
  <c r="AC25" i="3" s="1"/>
  <c r="AH25" i="3"/>
  <c r="AQ67" i="3"/>
  <c r="AC67" i="3" s="1"/>
  <c r="AH67" i="3"/>
  <c r="E7" i="10"/>
  <c r="U10" i="7"/>
  <c r="T10" i="7"/>
  <c r="AC10" i="7"/>
  <c r="AB10" i="7" s="1"/>
  <c r="J2" i="7"/>
  <c r="AC8" i="7"/>
  <c r="AB8" i="7" s="1"/>
  <c r="I2" i="7"/>
  <c r="AA10" i="7"/>
  <c r="H2" i="7"/>
  <c r="Z10" i="7"/>
  <c r="G2" i="7"/>
  <c r="Y10" i="7"/>
  <c r="AC11" i="7"/>
  <c r="AB11" i="7" s="1"/>
  <c r="X10" i="7"/>
  <c r="AC9" i="7"/>
  <c r="AB9" i="7" s="1"/>
  <c r="W10" i="7"/>
  <c r="V10" i="7"/>
  <c r="B26" i="4"/>
  <c r="D26" i="4" s="1"/>
  <c r="AC2" i="3"/>
  <c r="AW37" i="3"/>
  <c r="U37" i="3" s="1"/>
  <c r="AW9" i="3"/>
  <c r="U9" i="3" s="1"/>
  <c r="D5" i="10" l="1"/>
  <c r="B17" i="10"/>
  <c r="E3" i="4"/>
  <c r="C3" i="4"/>
  <c r="B3" i="4"/>
  <c r="S10" i="7"/>
  <c r="D33" i="4"/>
  <c r="C9" i="10" s="1"/>
  <c r="S8" i="7"/>
  <c r="B18" i="10"/>
  <c r="D7" i="10"/>
  <c r="AF9" i="7"/>
  <c r="AD9" i="7"/>
  <c r="AE9" i="7" s="1"/>
  <c r="H3" i="7" s="1"/>
  <c r="S11" i="7"/>
  <c r="AF8" i="7"/>
  <c r="AD8" i="7"/>
  <c r="AE8" i="7" s="1"/>
  <c r="G3" i="7" s="1"/>
  <c r="AF10" i="7"/>
  <c r="AD10" i="7"/>
  <c r="AE10" i="7" s="1"/>
  <c r="I3" i="7" s="1"/>
  <c r="S9" i="7"/>
  <c r="AF11" i="7"/>
  <c r="AD11" i="7"/>
  <c r="AE11" i="7" s="1"/>
  <c r="J3" i="7" s="1"/>
</calcChain>
</file>

<file path=xl/sharedStrings.xml><?xml version="1.0" encoding="utf-8"?>
<sst xmlns="http://schemas.openxmlformats.org/spreadsheetml/2006/main" count="1920" uniqueCount="1003">
  <si>
    <t>LLM &amp; Agent Security Assessment Workbook - Logic (v0.6.8-r4, repaired)</t>
  </si>
  <si>
    <t>Purpose</t>
  </si>
  <si>
    <t>Assess an LLM- or agent-powered integration before pilot, production, or material change.</t>
  </si>
  <si>
    <t>Quick start (approx. 2-3 h first pass)</t>
  </si>
  <si>
    <t>1) Scoping sheet: system header plus 19 profile questions (10-15 min, system owner + assessor). Applicability of every control is derived automatically; grey rows are out of scope; answers outside the dropdown lists count as open questions. 2) Assessment Matrix: answer the white rows Yes / Partial / No and attach evidence for every Yes or Partial (60-90 min). Detail columns (scoring, remediation bookkeeping, related/guidance, exemption fields) ship collapsed; expand the column groups with the + buttons above the grid when you need them. 3) MCP checklists if S19 = Yes. 4) Dashboard decision and sign-off.</t>
  </si>
  <si>
    <t>Roles</t>
  </si>
  <si>
    <t>System owner fills the Scoping header and answers. Assessor answers controls. Security/legal review 1.3, 2.5, 2.7, 5.4, and domain 7. The accountable risk owner signs the Dashboard and is the only role that may grant exemptions. A control owned by another department and awaiting its review stays applicable; ownership is never a reason to mark a control out of scope.</t>
  </si>
  <si>
    <t>Scoping logic</t>
  </si>
  <si>
    <t>Each control carries an applicability rule referencing the Scoping answers (shown in the Applicability column). Unanswered Scoping questions never deactivate a control (fail-safe: in doubt, a control stays applicable), and out-of-list answers count as open questions. To overrule the automatic result for a single row, use the Override column and justify it in Notes.</t>
  </si>
  <si>
    <t>Hard gates</t>
  </si>
  <si>
    <t>Any applicable Blocker control answered No results in a BLOCK. A Blocker answered Partial is a BLOCK in Production and an ESCALATE in Pilot/PoC. Any Major answered No is an ESCALATE. Remediation closes a gate by re-testing and re-answering the control (Status alone never clears a gate).</t>
  </si>
  <si>
    <t>Exemption procedure</t>
  </si>
  <si>
    <t>To exempt a gate formally: set Status = Accepted Risk and fill the exemption columns X-Z (reference: risk-owner decision, committee minute, or ticket; approver; date). The Gate Flag then shows the stage-sensitive gate with an (exempted) suffix, the Dashboard counts it, and the decision can move to CONDITIONAL APPROVAL, never to silent approval. Exemptions with missing reference/approver/date are flagged per row and block completion. Remediation closes a gate by re-testing and re-answering the control. Three distinct review decisions use these columns: an applicability review of an auto-applicable Blocker (override needs X-Z), an approved criticality variation below the shipped baseline (needs rationale in Notes and approver in Y), and acceptance of an unmet applicable Blocker or Major requirement (Accepted Risk + X-Z converts the gate into a counted exemption and caps the decision at CONDITIONAL APPROVAL). For Moderate and Minor controls, Status = Accepted Risk documents the acceptance in the residual view; it is not a formal gate exemption and does not by itself force a conditional decision. It still needs reference, approver and date in X-Z, as does every other Status = Accepted Risk entry (integrity check).</t>
  </si>
  <si>
    <t>Scoring</t>
  </si>
  <si>
    <t>Yes = 1.0, Partial = 0.5, No = 0.0. Weight follows Criticality automatically (Lookups table; change Criticality and Weight updates). Likelihood and Impact are assessor inputs with 1-5 scales defined on Lookups; the shipped values are generic defaults, adjust them per system. Residual per answered control = Weight x Likelihood x Impact x (1 - score); the Dashboard aggregates this as a weighted residual-exposure / control-gap index - a relative prioritization measure, not a calibrated loss estimate. Unanswered controls contribute their full exposure separately. The policy thresholds on Lookups (readiness minima, residual thresholds, MCP minimum compliance rate, Comparator cutoffs) are validated: blank, non-numeric, out-of-range or inconsistently ordered settings are integrity flags that hold the decision, and data validation guides legitimate edits.</t>
  </si>
  <si>
    <t>Decision</t>
  </si>
  <si>
    <t>INCOMPLETE until Scoping is complete and valid, every applicable control has a response, integrity checks pass, and (if S19 = Yes) every MCP side has an explicit Required selection and each required side is assessed with complete context. Contradictions between S19 and the Required switches block completion; a required checklist is never silently ignored. BLOCKED if any blocker is open or a required MCP side verdicts NO-GO, i.e. an open mandatory checkpoint or a compliance rate below the Lookups minimum (blocking verdicts outrank evidence-only conditions). CONDITIONAL APPROVAL if readiness &lt; minimum, escalations or exemptions exist, evidence is missing, a control sits at/above the residual threshold, or an MCP side verdicts CONDITIONAL GO. Otherwise APPROVABLE. The final decision is signed off by the accountable risk owner on the Dashboard. Invalid or error-valued shared configuration holds both deployment and sourcing. Operational answers, evidence, status and remediation/exemption inputs are checked for calculation errors without making unused operational metadata a sourcing dependency. Required MCP sides have separate context, answer/evidence and exclusion-review validity states; errors cannot count as clean evidence. A confirmed mandatory failure remains visible alongside incomplete inputs.</t>
  </si>
  <si>
    <t>Assessment object</t>
  </si>
  <si>
    <t>Score the entire LLM system, not just the base model: model, provider, deployment, prompts, RAG/vector DB, tools/plugins/agents, APIs, data flows, logging, and operations.</t>
  </si>
  <si>
    <t>Agentic scope</t>
  </si>
  <si>
    <t>Domain 9 (Agentic AI) activates by autonomy and by capability: an autonomy level other than None activates the core agentic controls, while 9.4 (tools, S11), 9.5 (local device access, S14), 9.7 (persistent memory, S15) and 9.11 (multi-agent / MCP, S16 or S19) activate on their own triggers even when S12 = None. It covers autonomy classification, human-in-the-loop gates, agent identity and least privilege, tool allowlisting, sandboxing and egress control, indirect prompt injection, persistent memory, background operation limits, action logging, kill switch, multi-agent / MCP supply chain, autonomy anomaly monitoring, and agent credential lifecycle.</t>
  </si>
  <si>
    <t>Evidence principle</t>
  </si>
  <si>
    <t>Every Yes or Partial should be supported by evidence: architecture diagram, contract/DPA, model card, SBOM/AIBOM, audit report, test report, ticket, policy, or log sample. The Guidance column states the expected evidence per control. Missing evidence is counted on the Dashboard and prevents an unconditional approval.</t>
  </si>
  <si>
    <t>Glossary</t>
  </si>
  <si>
    <t>Blocker: non-negotiable gate. Major: requires escalation when unmet. Moderate/Minor: gradable. Partial: defined per control in the Guidance column. Autonomy (S12): Assisted = human approves every action; Supervised = human approves material actions; Autonomous = acts without per-action approval. Role (S18): Assist = output informs a human; Steer = output controls or prioritizes a process; Intervene = output executes changes in systems or the physical world. Verdicts: INCOMPLETE / BLOCKED / CONDITIONAL APPROVAL / APPROVABLE.</t>
  </si>
  <si>
    <t>Auxiliary sheets</t>
  </si>
  <si>
    <t>Model Comparator: before model selection; excludes out-of-scope rows automatically; metadata pulled by control-ID lookup; N/A answers need a per-model justification; justified exclusions hold the verdict at PENDING REVIEW until a reviewer records decision, reviewer, date and the reviewed exclusion set, a rejected exclusion must be re-answered, and invalid shared sourcing configuration makes verdicts PROVISIONAL. MCP Server/Client Checklist: whenever S19 = Yes; declare each side Required Yes/No (a Required = No under S19 = Yes needs the de-scope reason), fill the context fields (including a real calendar-date protocol version), then assess; a required side verdicting NO-GO blocks the decision; excluding an applicable mandatory checkpoint needs the on-sheet review bound to the exclusion set. AI Defense Matrix: coverage view. Maturity Crosswalk: provisional draft with per-domain states. The reviewed-set fields are snapshots: paste them as values (Paste Special -&gt; Values); a pasted formula is detected and treated as not reviewed. A snapshot binds the review to the current exclusion set of this assessment version; it is not an append-only audit trail, and material changes (model identity or version, scope, exclusion set) require re-recording the set and re-signing the review.</t>
  </si>
  <si>
    <t>Print</t>
  </si>
  <si>
    <t>Print setup is landscape, fit-to-width, with repeating header rows (approx. 20 pages for the full workbook in a v0.6.3 headless render; re-verify the current page layout before circulating hard copies). Native Microsoft Excel print and interaction acceptance is still pending.</t>
  </si>
  <si>
    <t>Useful reference mappings</t>
  </si>
  <si>
    <t>OWASP LLM Top 10</t>
  </si>
  <si>
    <t>Map application threat scenarios such as prompt injection, insecure output handling, model denial of service, supply chain, sensitive information disclosure, excessive agency, and vector/embedding weaknesses. Per-control mapping sits in the Guidance column.</t>
  </si>
  <si>
    <t>OWASP Agentic Security</t>
  </si>
  <si>
    <t>Threats and mitigations specific to agentic systems (tool misuse, memory poisoning, identity spoofing, cascading agent failures).</t>
  </si>
  <si>
    <t>NIST AI RMF / GenAI Profile</t>
  </si>
  <si>
    <t>Governance, mapping, measurement, and management of GenAI risks.</t>
  </si>
  <si>
    <t>MITRE ATLAS</t>
  </si>
  <si>
    <t>Adversarial AI tactics and techniques for threat models and test plans.</t>
  </si>
  <si>
    <t>EU AI Act / GPAI</t>
  </si>
  <si>
    <t>Role classification, high-risk duties, GPAI obligations, transparency, logging, human oversight, and compliance roadmap.</t>
  </si>
  <si>
    <t>Reference</t>
  </si>
  <si>
    <t>Plain-text URL</t>
  </si>
  <si>
    <t>OWASP Top 10 for LLM Applications</t>
  </si>
  <si>
    <t>https://owasp.org/www-project-top-10-for-large-language-model-applications/</t>
  </si>
  <si>
    <t>OWASP GenAI Security Project</t>
  </si>
  <si>
    <t>https://genai.owasp.org/</t>
  </si>
  <si>
    <t>NIST AI Risk Management Framework</t>
  </si>
  <si>
    <t>https://www.nist.gov/itl/ai-risk-management-framework</t>
  </si>
  <si>
    <t>NIST AI RMF Generative AI Profile</t>
  </si>
  <si>
    <t>https://www.nist.gov/publications/artificial-intelligence-risk-management-framework-generative-artificial-intelligence</t>
  </si>
  <si>
    <t>https://atlas.mitre.org/</t>
  </si>
  <si>
    <t>European Commission AI Act overview</t>
  </si>
  <si>
    <t>https://digital-strategy.ec.europa.eu/en/policies/regulatory-framework-ai</t>
  </si>
  <si>
    <t>European Commission GPAI Code of Practice</t>
  </si>
  <si>
    <t>https://digital-strategy.ec.europa.eu/en/policies/contents-code-gpai</t>
  </si>
  <si>
    <t>Repaired release</t>
  </si>
  <si>
    <t>v0.6.8-r4 makes the MCP protocol-version date check language-independent (it failed in non-English Excel), adds entry validation and field-specific row-check messages for the exemption columns X-Z, completes repeating print headers for PDF export, and adds the Migration sheet (carry entered data over from a previous version by ID, without macros). v0.6.8-r3 adds two local consistency corrections to r2 (error-safe exemption eligibility, explicit MCP policy state) and an own validation prompt for the MCP minimum. v0.6.8-r2 is a corrective build on v0.6.8-r1 (gate/exemption consistency, MCP completeness routing, Lookups-based MCP threshold, input formats; see Changelog). v0.6.8-r1 is a corrective build of the supplied v0.6.8. The 68 main controls, 16 server checkpoints, 20 client checkpoints, default criticalities, weights, scoring thresholds, scoping policy and user-entered assessment data are retained. No provider questionnaire, shortlist tier or automatic MCP activation is added. Operational integrity is now computed directly from typed checks; the Row Check text explains those checks but is not the input to the verdict.</t>
  </si>
  <si>
    <t>Error handling and review</t>
  </si>
  <si>
    <t>Matrix criticality, applicability, response, evidence, likelihood/impact, status, owner, remediation, target-date and review inputs are checked for spreadsheet errors. Sourcing uses shared configuration and its own candidate/review inputs only. Required MCP context, checkpoint-input errors, applicable statuses/evidence, and mandatory exclusion reviews have explicit validity checks. A missing evidence reference gives the existing conditional outcome; an error-valued evidence input holds completion. Use Paste Special &gt; Values for recorded exclusion snapshots. A snapshot is a current-state record, not authentication of the reviewer or an append-only approval history. Blank non-applicable checkpoint fields remain optional; an entered spreadsheet-error value must be corrected, even on a non-applicable row.</t>
  </si>
  <si>
    <t>Validation boundary</t>
  </si>
  <si>
    <t>This build is checked with the supplied purpose-limited formula interpreter and targeted acceptance cases. Results and exact source/output hashes accompany the delivered file. This is not native Microsoft Excel automation, legal certification or verification of the supplied evidence. Use the final protected file for your local Excel open/recalculate/save/reopen and print/export check. A blank new assessment correctly starts INCOMPLETE; APPROVABLE is a recommendation, not a signed authorization.</t>
  </si>
  <si>
    <t>Migration between versions</t>
  </si>
  <si>
    <t>Sheet 'Migration': paste the old version's sheets as values into the 'Old ...' sheets, check the status lines, then copy each blue block to the named target cell with Paste Special &gt; Values + Skip blanks (unprotect the target sheet first, no password). Rows are matched by control ID and the Assessment Matrix columns by header text, so controls or columns that moved or are new keep the current values. Template-owned cells (criticality baseline, MCP severity, lookups) are not migrated.</t>
  </si>
  <si>
    <t>Scoping - answer this sheet first, it steers the whole assessment</t>
  </si>
  <si>
    <t>System / use case name</t>
  </si>
  <si>
    <t>Assessor / accountable owner</t>
  </si>
  <si>
    <t>Date</t>
  </si>
  <si>
    <t>Assessment version (of the system / this assessment)</t>
  </si>
  <si>
    <t>ID</t>
  </si>
  <si>
    <t>Question</t>
  </si>
  <si>
    <t>Answer</t>
  </si>
  <si>
    <t>What the answer switches</t>
  </si>
  <si>
    <t>Validity</t>
  </si>
  <si>
    <t>S1</t>
  </si>
  <si>
    <t>Provider / deployment model</t>
  </si>
  <si>
    <t>Provider, contract, and supply-chain controls (2.2, 2.3, 2.5, 2.7, 3.9, 5.2, 5.6, 5.8, 7.2, 7.3).</t>
  </si>
  <si>
    <t>S2</t>
  </si>
  <si>
    <t>Stage of use</t>
  </si>
  <si>
    <t>Production-only operations controls (2.4, 2.6, 5.1, 5.3, 6.1, 6.4, 6.5, 6.6, 8.2, 8.5).</t>
  </si>
  <si>
    <t>S3</t>
  </si>
  <si>
    <t>Personal data is processed</t>
  </si>
  <si>
    <t>Privacy controls (4.5, 6.1, 7.1, 7.2).</t>
  </si>
  <si>
    <t>S4</t>
  </si>
  <si>
    <t>Confidential or regulated data is processed</t>
  </si>
  <si>
    <t>Disclosure and monitoring controls (4.5, 6.1, 6.5, 7.2). S4 = Yes also raises control 2.7 to Blocker criticality.</t>
  </si>
  <si>
    <t>S5</t>
  </si>
  <si>
    <t>EU market or EU users are in scope</t>
  </si>
  <si>
    <t>AI Act controls (1.3, 7.4).</t>
  </si>
  <si>
    <t>S6</t>
  </si>
  <si>
    <t>User group</t>
  </si>
  <si>
    <t>Abuse, volume, and external-exposure controls (4.4, 6.3).</t>
  </si>
  <si>
    <t>S7</t>
  </si>
  <si>
    <t>Outputs feed downstream systems or are executed (code, SQL, workflows, mails)</t>
  </si>
  <si>
    <t>Output handling controls (3.6, 4.9).</t>
  </si>
  <si>
    <t>S8</t>
  </si>
  <si>
    <t>Output supports consequential decisions about people</t>
  </si>
  <si>
    <t>Human oversight control (1.4); indicator for AI Act high-risk review in 1.3.</t>
  </si>
  <si>
    <t>S9</t>
  </si>
  <si>
    <t>RAG, vector database, or knowledge base is used</t>
  </si>
  <si>
    <t>Retrieval controls (3.5, 4.3).</t>
  </si>
  <si>
    <t>S10</t>
  </si>
  <si>
    <t>Fine-tuning or model adaptation is performed</t>
  </si>
  <si>
    <t>Training-data controls (4.3, 5.5).</t>
  </si>
  <si>
    <t>S11</t>
  </si>
  <si>
    <t>Tools, plugins, or function calling are used</t>
  </si>
  <si>
    <t>Tool controls (3.2, 3.6, 3.9, 4.6, 9.4).</t>
  </si>
  <si>
    <t>S12</t>
  </si>
  <si>
    <t>Autonomy level of the system</t>
  </si>
  <si>
    <t>Activates autonomy-dependent agent controls and 1.5. Tools, local access, memory and MCP can keep specific controls relevant even when autonomy is None.</t>
  </si>
  <si>
    <t>S13</t>
  </si>
  <si>
    <t>Continuous or scheduled background operation (agent runs without a user session)</t>
  </si>
  <si>
    <t>Background limits and kill-switch emphasis (9.8).</t>
  </si>
  <si>
    <t>S14</t>
  </si>
  <si>
    <t>Local device access (files, shell, browser control)</t>
  </si>
  <si>
    <t>Isolation and egress control (9.5).</t>
  </si>
  <si>
    <t>S15</t>
  </si>
  <si>
    <t>Persistent memory across sessions</t>
  </si>
  <si>
    <t>Memory governance (9.7).</t>
  </si>
  <si>
    <t>S16</t>
  </si>
  <si>
    <t>Multi-agent setup or external agents are used (regardless of protocol)</t>
  </si>
  <si>
    <t>Agent supply-chain control (9.11); domain 9 emphasis. MCP itself is declared separately in S19.</t>
  </si>
  <si>
    <t>S17</t>
  </si>
  <si>
    <t>Primary deployment locus</t>
  </si>
  <si>
    <t>Positions the system in the AI Defense Matrix; Production / OT proximity activates control 3.7.</t>
  </si>
  <si>
    <t>S18</t>
  </si>
  <si>
    <t>Operational role of the output</t>
  </si>
  <si>
    <t>Sets verdict strictness (readiness minimum and residual threshold, see Lookups); Steer/Intervene keeps human-oversight control 1.4 applicable.</t>
  </si>
  <si>
    <t>S19</t>
  </si>
  <si>
    <t>MCP (Model Context Protocol) servers or clients are used</t>
  </si>
  <si>
    <t>Authoritative MCP scope: the MCP checklists become hard gates; each side must be explicitly Required Yes/No; feeds 9.11.</t>
  </si>
  <si>
    <t>Open or invalid scoping questions</t>
  </si>
  <si>
    <t>Consistency hint</t>
  </si>
  <si>
    <t>Consistency hint (hard)</t>
  </si>
  <si>
    <t>Hint classes</t>
  </si>
  <si>
    <t>Soft hints flag unlikely combinations to review. Hard contradictions (S19 vs the Required switches) are binding: they keep the decision at INCOMPLETE until resolved, so a required checklist can never be silently excluded.</t>
  </si>
  <si>
    <t>Domain</t>
  </si>
  <si>
    <t>Applicability</t>
  </si>
  <si>
    <t>Control / Assessment Question</t>
  </si>
  <si>
    <t>Criticality</t>
  </si>
  <si>
    <t>Weight</t>
  </si>
  <si>
    <t>Likelihood (1-5)</t>
  </si>
  <si>
    <t>Impact (1-5)</t>
  </si>
  <si>
    <t>Applicable?</t>
  </si>
  <si>
    <t>Override (applicability)</t>
  </si>
  <si>
    <t>Response</t>
  </si>
  <si>
    <t>Implementation Score</t>
  </si>
  <si>
    <t>Residual Risk</t>
  </si>
  <si>
    <t>Gate Flag</t>
  </si>
  <si>
    <t>Evidence / Link</t>
  </si>
  <si>
    <t>Owner</t>
  </si>
  <si>
    <t>Remediation / Decision</t>
  </si>
  <si>
    <t>Target Date</t>
  </si>
  <si>
    <t>Status</t>
  </si>
  <si>
    <t>Notes</t>
  </si>
  <si>
    <t>Row Check</t>
  </si>
  <si>
    <t>Related controls (scope)</t>
  </si>
  <si>
    <t>Guidance: what good looks like, evidence, Partial definition, framework mapping</t>
  </si>
  <si>
    <t>Exemption reference</t>
  </si>
  <si>
    <t>Exemption approver</t>
  </si>
  <si>
    <t>Exemption date</t>
  </si>
  <si>
    <t>Integrity flag: N/A on applicable (ID)</t>
  </si>
  <si>
    <t>Integrity flag: override without reason (ID)</t>
  </si>
  <si>
    <t>Integrity flag: invalid value / exemption gap / floor (ID + reason)</t>
  </si>
  <si>
    <t>Baseline criticality (v0.6.5 ship state)</t>
  </si>
  <si>
    <t>Unused helper column (reserved; empty since v0.6.8-r1)</t>
  </si>
  <si>
    <t>Shared configuration validity flag (typed)</t>
  </si>
  <si>
    <t>Editable-input error flag (typed)</t>
  </si>
  <si>
    <t>Config flag IDs (typed)</t>
  </si>
  <si>
    <t>Automatic applicability before override</t>
  </si>
  <si>
    <t>Invalid response flag</t>
  </si>
  <si>
    <t>Likelihood / impact validity flag</t>
  </si>
  <si>
    <t>Status validity flag</t>
  </si>
  <si>
    <t>Exemption metadata validity flag</t>
  </si>
  <si>
    <t>Applicable N/A flag</t>
  </si>
  <si>
    <t>Override rationale flag</t>
  </si>
  <si>
    <t>Missing / unusable evidence flag</t>
  </si>
  <si>
    <t>Operational row integrity flag (typed)</t>
  </si>
  <si>
    <t>Valid applicable answer (1/0)</t>
  </si>
  <si>
    <t>Readiness numerator</t>
  </si>
  <si>
    <t>Readiness denominator</t>
  </si>
  <si>
    <t>Input error locations</t>
  </si>
  <si>
    <t>Configuration issue details</t>
  </si>
  <si>
    <t>Operational issue details</t>
  </si>
  <si>
    <t>1.1</t>
  </si>
  <si>
    <t>Use Case &amp; Data</t>
  </si>
  <si>
    <t>Auto: always</t>
  </si>
  <si>
    <t>Business purpose, accountable owner, users, and intended decisions are documented.</t>
  </si>
  <si>
    <t>Major</t>
  </si>
  <si>
    <t>Good: one-page charter naming business purpose, accountable owner, user groups, and intended decisions. Evidence: charter, Confluence page, product ticket. Partial: documented but owner or intended decisions unclear. Advisory map (partial): NIST AI RMF Govern.</t>
  </si>
  <si>
    <t>1.2</t>
  </si>
  <si>
    <t>Data classification is defined, including personal, confidential, regulated, and export-controlled data.</t>
  </si>
  <si>
    <t>Blocker</t>
  </si>
  <si>
    <t>Good: classification scheme (personal / confidential / regulated / export-controlled) applied to all LLM inputs, outputs, prompts, logs, and retrieval corpora. Evidence: policy + data inventory. Partial: scheme exists but not applied to LLM data flows. Advisory map (partial): AI Act Art. 10.</t>
  </si>
  <si>
    <t>1.3</t>
  </si>
  <si>
    <t>Auto: unless S5 = No</t>
  </si>
  <si>
    <t>AI Act classification is completed: prohibited, high-risk, GPAI dependency, deployer/provider role, and transparency obligations.</t>
  </si>
  <si>
    <t>Good: documented AI Act classification with rationale: prohibited-practices screen, Annex III high-risk check, GPAI dependency, deployer/provider role, transparency duties. Evidence: legal assessment memo. Partial: classification done, rationale or role unclear. Advisory map (partial): AI Act Art. 5, 6, Annex III.</t>
  </si>
  <si>
    <t>1.4</t>
  </si>
  <si>
    <t>Auto: unless S8 = No and S18 = Assist</t>
  </si>
  <si>
    <t>Human oversight, accountability, escalation, and override are defined for consequential outputs.</t>
  </si>
  <si>
    <t>Good: named human owner for consequential outputs, escalation path, tested ability to override or disable. Evidence: operating procedure, RACI, override test. Partial: oversight defined but override untested. Advisory map (partial): AI Act Art. 14.</t>
  </si>
  <si>
    <t>1.5</t>
  </si>
  <si>
    <t>Auto: unless S12 = None</t>
  </si>
  <si>
    <t>The system does not execute high-impact actions autonomously without policy, validation, and approval controls.</t>
  </si>
  <si>
    <t>4.6, 9.2, 9.4 — 1.5 is the policy-level autonomy gate; 4.6 runtime constraint/logging; 9.2 approval for high-impact actions; 9.4 tool allowlist/sandbox.</t>
  </si>
  <si>
    <t>Good: written policy of permitted autonomous actions, enforced technically (approval gates, validation, dry-run). Evidence: policy + enforcement config. Partial: policy exists, enforcement incomplete. Advisory map (partial): OWASP LLM06 Excessive Agency; OWASP Agentic ASI01.</t>
  </si>
  <si>
    <t>2.1</t>
  </si>
  <si>
    <t>Model &amp; Provider</t>
  </si>
  <si>
    <t>Model card/system card or equivalent documentation describes intended use, limitations, training/evaluation approach, and known risks.</t>
  </si>
  <si>
    <t>Good: current model/system card covering intended use, limitations, training/eval approach, known risks. Evidence: card URL or repo. Partial: card exists but stale or generic. Advisory map (partial): NIST AI RMF Map.</t>
  </si>
  <si>
    <t>2.2</t>
  </si>
  <si>
    <t>Auto: unless S1 = self-hosted or internal</t>
  </si>
  <si>
    <t>Provider legal entity, jurisdictions, subcontractors, hosting locations, and support dependencies are documented.</t>
  </si>
  <si>
    <t>2.7, 7.3 — 2.2 documents entities/jurisdictions; 2.7 checks country-risk policy; 7.3 is the legal export/sanctions review.</t>
  </si>
  <si>
    <t>Good: provider legal entity, jurisdictions, subcontractors, hosting regions, support dependencies documented and current. Evidence: contract + subprocessor list. Partial: entity known, subcontractors or hosting unclear.</t>
  </si>
  <si>
    <t>2.3</t>
  </si>
  <si>
    <t>Independent assurance is available where appropriate, such as ISO 27001, SOC 2, audit report, penetration test, or equivalent.</t>
  </si>
  <si>
    <t>Moderate</t>
  </si>
  <si>
    <t>Good: current ISO 27001 / SOC 2 Type II / pentest covering the service actually used. Evidence: certificate or report (NDA fine). Partial: assurance exists but scope excludes the LLM service.</t>
  </si>
  <si>
    <t>2.4</t>
  </si>
  <si>
    <t>Auto: unless S2 = Pilot/PoC</t>
  </si>
  <si>
    <t>Target model version has release notes, lifecycle support, change log, and update/rollback path.</t>
  </si>
  <si>
    <t>Good: target version pinned, release notes and lifecycle reviewed, update and rollback path tested. Evidence: release notes, pipeline records. Partial: version pinned, no rollback path.</t>
  </si>
  <si>
    <t>2.5</t>
  </si>
  <si>
    <t>Auto: unless S1 = internal development</t>
  </si>
  <si>
    <t>Terms, license, retention, logging, confidentiality, IP, and acceptable use permit the intended company use.</t>
  </si>
  <si>
    <t>Good: legal-reviewed terms covering retention, training-on-data opt-out, logging, confidentiality, IP, acceptable use vs the intended use. Evidence: signed terms + review note. Partial: reviewed with one unresolved clause.</t>
  </si>
  <si>
    <t>2.6</t>
  </si>
  <si>
    <t>Support, patching, incident notification, and end-of-life commitments match business criticality.</t>
  </si>
  <si>
    <t>Good: support, patching, incident-notification, and end-of-life commitments proportionate to business criticality. Evidence: SLA/contract clauses. Partial: SLA exists, no incident notification.</t>
  </si>
  <si>
    <t>2.7</t>
  </si>
  <si>
    <t>Model and provider entities are checked against the company country-risk / sovereignty policy (ownership, development location, substantial contributions); the depth of the review follows the data classification (S3/S4).</t>
  </si>
  <si>
    <t>2.2, 7.3 — see 2.2.</t>
  </si>
  <si>
    <t>Good: review documented against the company country-risk/sovereignty policy (ownership, development, substantial contributions), scoped by data classification. Evidence: review memo referencing the policy. Partial: informal review without policy reference. Raise Criticality to Blocker where confidential/regulated data (S4 = Yes) or explicit sovereignty requirements apply; Weight follows automatically.</t>
  </si>
  <si>
    <t>3.1</t>
  </si>
  <si>
    <t>Architecture &amp; Integration</t>
  </si>
  <si>
    <t>Deployment model, trust boundaries, network paths, data flows, and dependencies are documented and approved.</t>
  </si>
  <si>
    <t>Good: approved architecture documentation: deployment model, trust boundaries, network paths, data flows, dependencies. Evidence: diagram + sign-off. Partial: diagram exists, trust boundaries unmarked.</t>
  </si>
  <si>
    <t>3.2</t>
  </si>
  <si>
    <t>Auto: unless pure SaaS without tools/agents</t>
  </si>
  <si>
    <t>Runtime, tools, containers, and integrations follow least privilege and do not require avoidable root, broad Linux capabilities, or broad credentials.</t>
  </si>
  <si>
    <t>Good: non-root containers, dropped capabilities, scoped credentials, no avoidable privileges. Evidence: Dockerfile/K8s policy, config scan. Partial: least privilege except documented exceptions.</t>
  </si>
  <si>
    <t>3.3</t>
  </si>
  <si>
    <t>Authentication, authorization, tenant/user segregation, and privileged admin access are defined and tested.</t>
  </si>
  <si>
    <t>Good: authentication, authorization, tenant/user segregation, and privileged admin access defined and tested, including negative tests. Evidence: test report. Partial: implemented, untested.</t>
  </si>
  <si>
    <t>3.4</t>
  </si>
  <si>
    <t>Secrets, credentials, tokens, and sensitive system prompts are not exposed to user-controllable context or model output.</t>
  </si>
  <si>
    <t>Good: secrets in a vault, system prompts segregated from user-controllable context, outputs scanned for secret leakage. Evidence: vault config, leakage tests. Partial: secrets managed, system prompts exposed. Advisory map (partial): OWASP LLM07 System Prompt Leakage.</t>
  </si>
  <si>
    <t>3.5</t>
  </si>
  <si>
    <t>Auto: unless S9 = No</t>
  </si>
  <si>
    <t>Retrieval data is scoped to user entitlements and protected against cross-tenant or cross-project leakage.</t>
  </si>
  <si>
    <t>Good: retrieval filtered by user entitlements at query time; cross-tenant/cross-project leakage tested. Evidence: filter code + test cases. Partial: filtering exists, no leakage tests. Advisory map (partial): OWASP LLM08 Vector &amp; Embedding Weaknesses.</t>
  </si>
  <si>
    <t>3.6</t>
  </si>
  <si>
    <t>Auto: unless S7 = No and S11 = No</t>
  </si>
  <si>
    <t>Outputs are treated as untrusted and validated/sandboxed before execution, rendering, or downstream action.</t>
  </si>
  <si>
    <t>4.2, 4.9 — 3.6 gates downstream execution/rendering; 4.2 covers output content handling; 4.9 covers generated code artefacts.</t>
  </si>
  <si>
    <t>Good: every output channel (execution, rendering, downstream action) passes validation/sandboxing. Evidence: code + tests per channel. Partial: some channels validated. Advisory map (partial): OWASP LLM05 Improper Output Handling.</t>
  </si>
  <si>
    <t>3.7</t>
  </si>
  <si>
    <t>Auto: only if S17 = Production / OT proximity</t>
  </si>
  <si>
    <t>If deployed in or adjacent to production/OT environments: OT networks and safety functions are segregated, and the system has no unvalidated write path into control systems.</t>
  </si>
  <si>
    <t>Good: OT/safety segregation documented; no unvalidated write path into control systems. Evidence: network diagram, pentest or architecture review. Partial: segmented, write path unreviewed.</t>
  </si>
  <si>
    <t>3.8</t>
  </si>
  <si>
    <t>Conversational context and session state are isolated between users, sessions, and tenants; no cross-session leakage of prompts, history, or retrieved content.</t>
  </si>
  <si>
    <t>Good: session/conversation state isolated per user, session, tenant; tested for cross-session leakage. Evidence: design doc + test results. Partial: isolation implemented, untested.</t>
  </si>
  <si>
    <t>3.9</t>
  </si>
  <si>
    <t>Auto: if external provider or tools</t>
  </si>
  <si>
    <t>Sensitive data is technically redacted, tokenized, or minimized (PII/secret scrubbing, DLP rules) before content leaves the trust boundary toward external providers or tools.</t>
  </si>
  <si>
    <t>6.2, 7.1 — 3.9 is the technical redaction mechanism; 6.2 logging minimization; 7.1 the privacy assessment.</t>
  </si>
  <si>
    <t>Good: automated redaction/tokenization (PII, secrets) applied before content leaves the trust boundary to external providers or tools; rules tuned and tested. Evidence: DLP/filter config, test logs. Partial: some fields or channels covered. Advisory map (partial): OWASP LLM02 Sensitive Information Disclosure.</t>
  </si>
  <si>
    <t>4.1</t>
  </si>
  <si>
    <t>LLM-Specific Threats</t>
  </si>
  <si>
    <t>Prompt injection and jailbreak testing is performed against the actual use case, prompts, tools, and data.</t>
  </si>
  <si>
    <t>4.10 — 4.1 is the initial adversarial test; 4.10 is the repeatable regression suite on every change.</t>
  </si>
  <si>
    <t>Good: prompt-injection and jailbreak tests against the actual prompts, tools, and data of this use case, with documented results. Evidence: test report, attack corpus. Partial: generic or one-off tests only. Advisory map (partial): OWASP LLM01; MITRE ATLAS AML.T0051.</t>
  </si>
  <si>
    <t>4.2</t>
  </si>
  <si>
    <t>Insecure output handling controls are implemented for code, markup, links, files, commands, and structured data.</t>
  </si>
  <si>
    <t>3.6, 4.9 — see 3.6.</t>
  </si>
  <si>
    <t>Good: output handling controls for code, markup, links, files, commands, structured data. Evidence: code review + tests. Partial: subset of output types covered. Advisory map (partial): OWASP LLM05.</t>
  </si>
  <si>
    <t>4.3</t>
  </si>
  <si>
    <t>Auto: unless S9 = No and S10 = No</t>
  </si>
  <si>
    <t>Training, fine-tuning, embedding, and retrieval data poisoning risks are assessed and mitigated.</t>
  </si>
  <si>
    <t>Good: poisoning risk assessed and mitigated across training, fine-tuning, embedding, and retrieval data; provenance and review gates. Evidence: data lineage + review records. Partial: assessed, mitigations incomplete. Advisory map (partial): OWASP LLM04; ATLAS AML.T0020.</t>
  </si>
  <si>
    <t>4.4</t>
  </si>
  <si>
    <t>Auto: unless S6 = internal limited</t>
  </si>
  <si>
    <t>Rate limiting, quota, token/cost controls, abuse throttling, and model denial-of-service protections exist.</t>
  </si>
  <si>
    <t>Good: per-user/tenant rate limits, quotas, token/cost caps, abuse throttling, DoS playbook. Evidence: gateway config + test. Partial: global limits only. Advisory map (partial): OWASP LLM10 Unbounded Consumption.</t>
  </si>
  <si>
    <t>4.5</t>
  </si>
  <si>
    <t>Auto: unless S3 = No and S4 = No</t>
  </si>
  <si>
    <t>Sensitive information disclosure testing covers prompt leakage, training data extraction, RAG leakage, and logs.</t>
  </si>
  <si>
    <t>Good: disclosure testing covers prompt leakage, training-data extraction, RAG leakage, and logs. Evidence: test report. Partial: some vectors tested. Advisory map (partial): OWASP LLM02, LLM07.</t>
  </si>
  <si>
    <t>4.6</t>
  </si>
  <si>
    <t>Auto: unless S11 = No and S12 = None</t>
  </si>
  <si>
    <t>Tool and agent actions are constrained, logged, policy-checked, and require confirmation for material actions.</t>
  </si>
  <si>
    <t>1.5, 9.2, 9.4 — see 1.5.</t>
  </si>
  <si>
    <t>Good: tool/agent actions constrained by policy, logged, and confirmed for material actions. Evidence: policy engine config, logs. Partial: logging yes, policy checks partial. Advisory map (partial): OWASP LLM06; OWASP Agentic ASI02.</t>
  </si>
  <si>
    <t>4.7</t>
  </si>
  <si>
    <t>Quality and safety evaluations cover hallucination, prohibited content, bias/fairness where relevant, and domain accuracy.</t>
  </si>
  <si>
    <t>Good: evaluation suite with pass thresholds for hallucination, prohibited content, bias/fairness where relevant, domain accuracy. Evidence: eval results. Partial: evals exist, no thresholds. Advisory map (partial): OWASP LLM09; NIST AI RMF Measure.</t>
  </si>
  <si>
    <t>4.8</t>
  </si>
  <si>
    <t>Adversarial testing covers transformations that may bypass policy controls wherever guardrails or content filters are relied upon: encoding and obfuscation, Unicode and homoglyphs, multilingual reformulation, canonicalization and tokenization effects.</t>
  </si>
  <si>
    <t>Good: transformation attacks (encoding, homoglyphs, multilingual reformulation, canonicalization/tokenization) tested wherever guardrails or filters are relied on. Evidence: adversarial test report. Partial: basic obfuscation tests only. Advisory map (partial): ATLAS AML.T0015 Evade AI Model.</t>
  </si>
  <si>
    <t>4.9</t>
  </si>
  <si>
    <t>Auto: unless S7 = No</t>
  </si>
  <si>
    <t>Generated code, package names, dependencies, build instructions, and configuration are treated as untrusted and checked against approved registries, provenance information, license policy, and security tooling before use.</t>
  </si>
  <si>
    <t>3.6, 4.2 — 4.9 is the code/artefact-specific case of untrusted output.</t>
  </si>
  <si>
    <t>Good: generated code/config checked against approved registries, provenance, licence policy, and security tooling before use. Evidence: pipeline config. Partial: manual review only. Advisory map (partial): OWASP LLM05 + LLM03 Supply Chain.</t>
  </si>
  <si>
    <t>4.10</t>
  </si>
  <si>
    <t>A versioned regression suite (prompt set, guardrail bypass attempts, safety and quality evals) is rerun on every model, prompt, retrieval, or guardrail change; failures block rollout.</t>
  </si>
  <si>
    <t>4.1, 8.2 — runs within the change control of 8.2.</t>
  </si>
  <si>
    <t>Good: versioned regression suite (prompts, guardrail bypass attempts, evals) runs on every model/prompt/retrieval/guardrail change and blocks rollout on failure. Evidence: CI runs + gate config. Partial: suite exists, runs ad hoc.</t>
  </si>
  <si>
    <t>5.1</t>
  </si>
  <si>
    <t>Supply Chain &amp; Vulnerability</t>
  </si>
  <si>
    <t>AI BOM / ML-BOM / SBOM covers model, datasets, dependencies, containers, prompts, plugins/tools, APIs, and licenses.</t>
  </si>
  <si>
    <t>Good: AIBOM/SBOM covers model, datasets, dependencies, containers, prompts, plugins/tools, APIs, licences. Evidence: AIBOM artefact. Partial: model and dependencies only.</t>
  </si>
  <si>
    <t>5.2</t>
  </si>
  <si>
    <t>Auto: unless S1 = external SaaS</t>
  </si>
  <si>
    <t>Artifacts are verifiable: signed containers, checksums, provenance, reproducible release process, or trusted registry.</t>
  </si>
  <si>
    <t>Good: artefacts verified at deploy: signatures, checksums, provenance, reproducible release or trusted registry. Evidence: pipeline verification logs. Partial: trusted registry, no signature checks.</t>
  </si>
  <si>
    <t>5.3</t>
  </si>
  <si>
    <t>Critical/high vulnerabilities in model-serving stack, containers, dependencies, and integrations are remediated or risk-accepted.</t>
  </si>
  <si>
    <t>Good: critical/high vulnerabilities in serving stack, containers, dependencies, integrations remediated or formally risk-accepted with expiry. Evidence: scanner report + risk acceptances. Partial: scanning in place, SLA exceptions undocumented. Advisory map (partial): OWASP LLM03.</t>
  </si>
  <si>
    <t>5.4</t>
  </si>
  <si>
    <t>License review covers model license, code license, dataset license, usage restrictions, redistribution, copyright, and attribution.</t>
  </si>
  <si>
    <t>7.5 — 5.4 covers licences of artefacts consumed; 7.5 covers copyright/IP of training data and outputs.</t>
  </si>
  <si>
    <t>Good: licence review covers model, code, dataset licences, usage restrictions, redistribution, copyright, attribution. Evidence: legal review note. Partial: model licence only.</t>
  </si>
  <si>
    <t>5.5</t>
  </si>
  <si>
    <t>Auto: unless S10 = No and S9 = No</t>
  </si>
  <si>
    <t>Third-party fine-tunes, datasets, embeddings, and community artifacts are provenance-checked and malware/scanning controls are applied.</t>
  </si>
  <si>
    <t>Good: third-party fine-tunes, datasets, embeddings, community artefacts provenance-checked and malware-scanned. Evidence: scan + provenance records. Partial: scanning without provenance. Advisory map (partial): ATLAS AML.T0010.</t>
  </si>
  <si>
    <t>5.6</t>
  </si>
  <si>
    <t>Container/image scanning, hardened base images, patch cadence, and vulnerability SLAs are implemented.</t>
  </si>
  <si>
    <t>Good: hardened base images, CI image scanning, patch cadence, vulnerability SLAs. Evidence: CI config + reports. Partial: scanning without SLAs.</t>
  </si>
  <si>
    <t>5.7</t>
  </si>
  <si>
    <t>Auto: unless S1 = External SaaS / API</t>
  </si>
  <si>
    <t>Untrusted model or ML artifacts are not deserialized with executable formats or unsafe loading modes (including pickle-based mechanisms); approved non-executable formats (e.g. Safetensors), provenance and integrity checks, and isolated loading are used.</t>
  </si>
  <si>
    <t>5.8 — 5.7 covers safe loading/deserialization; 5.8 covers confidentiality/access control of the artefacts.</t>
  </si>
  <si>
    <t>Good: no executable deserialization (pickle etc.) for untrusted artefacts; Safetensors or equivalent, provenance/integrity checks, isolated loading. Evidence: loading code + policy. Partial: approved formats, no isolation. Advisory map (partial): ATLAS malicious model artefact.</t>
  </si>
  <si>
    <t>5.8</t>
  </si>
  <si>
    <t>Model artifacts (weights, adapters, fine-tunes) are protected according to their classification and intended distribution: integrity verification and provenance for all artifacts; where confidentiality is required, also access control, encryption at rest, and exfiltration/theft monitoring.</t>
  </si>
  <si>
    <t>5.7 — see 5.7.</t>
  </si>
  <si>
    <t>Good: model artefacts (weights, adapters, fine-tunes) inventoried and protected. Public / open weights: integrity and provenance focus - signed or hashed artefacts from trusted sources, tamper detection, verified updates. Proprietary weights: additionally confidentiality - least-privilege access, encryption at rest, exfiltration monitoring. Evidence: IAM policies, storage config, monitoring rules, provenance records. Partial: access control without integrity verification or monitoring. Advisory map (partial): ATLAS model theft/exfiltration; complements 5.7 by adding AI Model / Protect coverage in the Defense Matrix view.</t>
  </si>
  <si>
    <t>6.1</t>
  </si>
  <si>
    <t>Monitoring &amp; Response</t>
  </si>
  <si>
    <t>Auto: unless pilot without sensitive data</t>
  </si>
  <si>
    <t>Security telemetry is integrated into SIEM/SOC monitoring, including authentication, admin actions, tool calls, errors, abuse signals, and policy violations.</t>
  </si>
  <si>
    <t>Good: LLM security telemetry (authentication, admin actions, tool calls, errors, abuse signals, policy violations) integrated in SIEM/SOC with ownership. Evidence: SIEM rules. Partial: logs shipped, no alerting.</t>
  </si>
  <si>
    <t>6.2</t>
  </si>
  <si>
    <t>Prompt and response logging policy balances forensic need with privacy, confidentiality, minimization, retention, and masking.</t>
  </si>
  <si>
    <t>Good: prompt/response logging policy balances forensics with privacy: minimization, retention, masking. Evidence: policy + config. Partial: retention set, masking missing. Advisory map (partial): AI Act Art. 12.</t>
  </si>
  <si>
    <t>6.3</t>
  </si>
  <si>
    <t>Anomaly, abuse, data leakage, jailbreak, and excessive token/cost monitoring has alerts and operational ownership.</t>
  </si>
  <si>
    <t>Good: alerts for anomalies, abuse, leakage, jailbreaks, token/cost outliers, each with an operational owner. Evidence: alert configs + runbook. Partial: alerts without owners.</t>
  </si>
  <si>
    <t>6.4</t>
  </si>
  <si>
    <t>Kill switch, model/provider rollback, prompt rollback, RAG disablement, and communication procedures exist.</t>
  </si>
  <si>
    <t>9.10 — 6.4 is the system-level kill switch/rollback (production); 9.10 is the agent-specific stop with predefined triggers.</t>
  </si>
  <si>
    <t>Good: tested kill switch, model/provider rollback, prompt rollback, RAG disablement, communication procedure. Evidence: drill or test records. Partial: rollback exists, untested.</t>
  </si>
  <si>
    <t>6.5</t>
  </si>
  <si>
    <t>AI incident response runbook includes prompt injection, data exposure, unsafe output, provider breach, and model behavior incident scenarios.</t>
  </si>
  <si>
    <t>Good: AI incident runbook covers prompt injection, data exposure, unsafe output, provider breach, model behaviour incidents. Evidence: runbook + exercise record. Partial: generic IR runbook only.</t>
  </si>
  <si>
    <t>6.6</t>
  </si>
  <si>
    <t>Availability and degraded modes are engineered and tested: provider outage and quota exhaustion handling, fallback model or reduced-functionality mode, and user-facing messaging.</t>
  </si>
  <si>
    <t>2.6, 6.4 — 6.6 covers availability/fallback engineering; 2.6 provider commitments; 6.4 rollback.</t>
  </si>
  <si>
    <t>Good: availability plan tested: provider outage and quota-exhaustion handling, fallback model or degraded mode, user messaging. Evidence: failover test records. Partial: fallback defined, untested.</t>
  </si>
  <si>
    <t>7.1</t>
  </si>
  <si>
    <t>Privacy, Legal &amp; Compliance</t>
  </si>
  <si>
    <t>Auto: unless S3 = No</t>
  </si>
  <si>
    <t>Privacy assessment/DPIA, legal basis, minimization, retention, data subject rights, and cross-border transfer controls are complete.</t>
  </si>
  <si>
    <t>Good: DPIA/privacy assessment complete: legal basis, minimization, retention, data-subject rights, cross-border transfers. Evidence: DPIA document. Partial: DPIA done, DSR or transfer process unclear. Advisory map (partial): GDPR Art. 35; AI Act Art. 26.</t>
  </si>
  <si>
    <t>7.2</t>
  </si>
  <si>
    <t>Auto: unless no external provider or no sensitive data</t>
  </si>
  <si>
    <t>DPA, SCCs/transfer impact assessment, confidentiality, audit rights, breach notification, and subprocessor terms are in place.</t>
  </si>
  <si>
    <t>Good: DPA with SCCs/transfer impact assessment, confidentiality, audit rights, breach notification, subprocessor terms. Evidence: signed contracts. Partial: DPA yes, TIA or audit rights missing.</t>
  </si>
  <si>
    <t>7.3</t>
  </si>
  <si>
    <t>Export control, sanctions, extraterritorial law, geopolitical supplier risk, and national security restrictions are reviewed by legal/compliance.</t>
  </si>
  <si>
    <t>2.2, 2.7 — see 2.2.</t>
  </si>
  <si>
    <t>Good: legal/compliance review of export control, sanctions, extraterritorial law, geopolitical supplier risk, national-security restrictions. Evidence: legal memo. Partial: sanctions screened, export control open.</t>
  </si>
  <si>
    <t>7.4</t>
  </si>
  <si>
    <t>GPAI/high-risk/deployer/provider obligations, transparency notices, logging, human oversight, and incident reporting duties are mapped.</t>
  </si>
  <si>
    <t>Good: GPAI/high-risk/deployer/provider obligations mapped with owners: transparency notices, logging, human oversight, incident reporting. Evidence: compliance matrix. Partial: duties listed, owners missing. Advisory map (partial): AI Act Art. 26, 50, 53, 73.</t>
  </si>
  <si>
    <t>7.5</t>
  </si>
  <si>
    <t>Copyright, training data provenance, output IP, content marking, and third-party rights are reviewed.</t>
  </si>
  <si>
    <t>5.4 — see 5.4.</t>
  </si>
  <si>
    <t>Good: copyright and IP review: training-data provenance, output IP, content marking, third-party rights. Evidence: legal review. Partial: output IP clarified only.</t>
  </si>
  <si>
    <t>8.1</t>
  </si>
  <si>
    <t>Governance &amp; Operations</t>
  </si>
  <si>
    <t>Risk owner, service owner, data owner, model owner, and operational support are assigned.</t>
  </si>
  <si>
    <t>Good: named risk owner, service owner, data owner, model owner, operational support. Evidence: RACI / service catalogue entry. Partial: owners named, support unclear.</t>
  </si>
  <si>
    <t>8.2</t>
  </si>
  <si>
    <t>Change control covers model version, prompts, system instructions, retrieval corpus, embeddings, tools, guardrails, and thresholds.</t>
  </si>
  <si>
    <t>Good: change control with approval trail covers model version, prompts, system instructions, retrieval corpus, embeddings, tools, guardrails, thresholds. Evidence: change tickets. Partial: code-only change control.</t>
  </si>
  <si>
    <t>8.3</t>
  </si>
  <si>
    <t>A residual-risk sign-off process is defined before the go-live decision: a named accountable risk owner, sign-off criteria, and timing (before pilot/production and after material changes).</t>
  </si>
  <si>
    <t>Good: the sign-off process is defined and ready to use (named risk owner, criteria, timing); the actual authorization is then completed and tracked in the Dashboard sign-off block (decision, owner, date, conditions). Evidence: documented process/workflow plus the completed Dashboard sign-off. Partial: process defined on paper but not yet tied to this system's decision.</t>
  </si>
  <si>
    <t>8.4</t>
  </si>
  <si>
    <t>Users, administrators, reviewers, and other persons operating or using the system on the organisation's behalf receive role-, context-, and risk-appropriate AI literacy measures (training and/or guidance); target groups and measures are documented.</t>
  </si>
  <si>
    <t>Good: documented AI-literacy plan per target group (users, admins, reviewers, operators), role- and risk-appropriate. Evidence: training materials + completion records. Partial: generic training only. Advisory map (partial): EU AI Act Art. 4. Note: per-user completion tracking is an internal assurance choice, not the legal minimum; stricter duties apply for human oversight of high-risk systems (Art. 26).</t>
  </si>
  <si>
    <t>8.5</t>
  </si>
  <si>
    <t>Periodic reassessment cadence is set for model updates, provider changes, threat changes, incidents, and regulatory changes.</t>
  </si>
  <si>
    <t>Good: reassessment cadence defined with triggers: model updates, provider changes, threat changes, incidents, regulatory changes. Evidence: schedule + trigger list. Partial: annual review only.</t>
  </si>
  <si>
    <t>9.1</t>
  </si>
  <si>
    <t>Agentic AI</t>
  </si>
  <si>
    <t>Autonomy is classified and documented: task scope, allowed action types, and which actions may run without human approval.</t>
  </si>
  <si>
    <t>Good: autonomy classification documented: task scope, allowed action types, which actions may run without human approval. Evidence: classification doc. Partial: documented, boundaries vague. Advisory map (partial): OWASP Agentic ASI01.</t>
  </si>
  <si>
    <t>9.2</t>
  </si>
  <si>
    <t>High-impact or irreversible actions (external communication, financial transactions, deletion, configuration or rights changes) require human approval or dual control before execution.</t>
  </si>
  <si>
    <t>1.5, 4.6, 9.4 — see 1.5.</t>
  </si>
  <si>
    <t>Good: high-impact or irreversible actions (external communication, financial transactions, deletion, configuration/rights changes) require human approval or dual control, enforced technically. Evidence: policy + config + test. Partial: approval UI exists, bypass possible. Advisory map (partial): OWASP LLM06.</t>
  </si>
  <si>
    <t>9.3</t>
  </si>
  <si>
    <t>The agent acts under its own governed identity with least-privilege, task-scoped, time-limited credentials per tool; it does not inherit broad user or service rights.</t>
  </si>
  <si>
    <t>Good: agent acts under its own governed identity; least-privilege, task-scoped, time-limited credentials per tool; no inheritance of broad user/service rights. Evidence: IAM config. Partial: own identity, broad scopes. Advisory map (partial): OWASP Agentic ASI03.</t>
  </si>
  <si>
    <t>9.4</t>
  </si>
  <si>
    <t>Tools and connectors are inventoried and allowlisted with per-tool permissions; arbitrary code or shell execution is only possible inside a sandbox.</t>
  </si>
  <si>
    <t>1.5, 4.6, 9.2 — see 1.5.</t>
  </si>
  <si>
    <t>Good: tools/connectors inventoried and allowlisted with per-tool permissions; arbitrary code or shell execution only inside a sandbox. Evidence: allowlist + sandbox config. Partial: inventory without allowlist.</t>
  </si>
  <si>
    <t>9.5</t>
  </si>
  <si>
    <t>Auto: unless S12 = None and S14 = No</t>
  </si>
  <si>
    <t>The execution environment is isolated (container/VM) with controlled network egress; local file, shell, and browser access is restricted to a defined workspace.</t>
  </si>
  <si>
    <t>Good: execution environment isolated (container/VM), controlled network egress, local file/shell/browser access restricted to a defined workspace. Evidence: sandbox + egress config. Partial: isolation yes, open egress.</t>
  </si>
  <si>
    <t>9.6</t>
  </si>
  <si>
    <t>Content the agent processes (mails, web pages, documents, tickets) is treated as untrusted; indirect prompt injection defenses are implemented and tested against the actual tool set.</t>
  </si>
  <si>
    <t>Good: all processed content (mails, web pages, documents, tickets) treated as untrusted; indirect prompt-injection defences tested against the actual tool set. Evidence: test report. Partial: defences in place, untested. Advisory map (partial): OWASP LLM01 (indirect); ATLAS AML.T0051.</t>
  </si>
  <si>
    <t>9.7</t>
  </si>
  <si>
    <t>Auto: unless S15 = No</t>
  </si>
  <si>
    <t>Persistent agent memory is governed: defined scope and retention, user transparency, protection against memory poisoning, and a way to inspect and delete stored entries.</t>
  </si>
  <si>
    <t>Good: persistent memory governed: scope, retention, user transparency, poisoning protection, inspect-and-delete. Evidence: design doc + UI screenshots. Partial: retention defined only. Advisory map (partial): OWASP Agentic ASI06 (memory poisoning).</t>
  </si>
  <si>
    <t>9.8</t>
  </si>
  <si>
    <t>Auto: unless S12 = None or S13 = No</t>
  </si>
  <si>
    <t>Background or scheduled operation is bounded: run frequency, runtime, hard per-user token/cost budget caps, and automatic stop conditions are enforced.</t>
  </si>
  <si>
    <t>Good: background/scheduled operation bounded: run frequency, runtime, hard per-user token/cost caps, automatic stop conditions. Evidence: scheduler/budget config. Partial: caps without stop conditions.</t>
  </si>
  <si>
    <t>9.9</t>
  </si>
  <si>
    <t>Every agent action is attributably logged (agent identity, tool used, input/output, approver) and auditable end to end; logs feed security monitoring.</t>
  </si>
  <si>
    <t>Good: every agent action attributably logged (agent identity, tool, input/output, approver), auditable end to end, feeding security monitoring. Evidence: log samples + SIEM link. Partial: logs without approver linkage.</t>
  </si>
  <si>
    <t>9.10</t>
  </si>
  <si>
    <t>A tested kill switch can stop the agent immediately, revoke its credentials, and contain or roll back in-flight actions; trigger criteria (budget cap breach, anomaly thresholds, policy violation) are defined in advance.</t>
  </si>
  <si>
    <t>6.4 — see 6.4.</t>
  </si>
  <si>
    <t>Good: tested kill switch stops the agent immediately, revokes credentials, contains or rolls back in-flight actions; trigger criteria (budget breach, anomaly thresholds, policy violation) defined in advance. Evidence: drill records. Partial: stop works, no credential revocation.</t>
  </si>
  <si>
    <t>9.11</t>
  </si>
  <si>
    <t>Auto: unless S16 = No and S19 = No</t>
  </si>
  <si>
    <t>Third-party agents, MCP servers, and agent-to-agent connections are inventoried, vetted like suppliers, and constrained like any other tool.</t>
  </si>
  <si>
    <t>Third-party agents when S16 = Yes; MCP checklists when S19 = Yes (see both triggers in Applicability).</t>
  </si>
  <si>
    <t>Good: third-party agents, MCP servers, agent-to-agent connections inventoried, vetted like suppliers, constrained like any tool; review third-party agents whenever S16 = Yes; complete the MCP checklists whenever S19 = Yes. Evidence: inventory + vetting records. Partial: inventory only. Advisory map (partial): OWASP Agentic ASI04 (supply chain).</t>
  </si>
  <si>
    <t>9.12</t>
  </si>
  <si>
    <t>Agent behavior is monitored for autonomy anomalies (excessive tool invocations, loops, goal deviation, unusual action patterns) with alerts and assigned response ownership.</t>
  </si>
  <si>
    <t>Good: monitoring for autonomy anomalies (excessive tool invocations, loops, goal deviation, unusual patterns) with alerts and response owners. Evidence: alert rules. Partial: invocation-count alerts only.</t>
  </si>
  <si>
    <t>9.13</t>
  </si>
  <si>
    <t>Agent credentials follow a managed non-human-identity lifecycle: automated rotation, expiry, and decommissioning when the agent or its task ends.</t>
  </si>
  <si>
    <t>Good: managed non-human-identity lifecycle: automated rotation, expiry, decommissioning when agent or task ends. Evidence: IAM lifecycle config. Partial: rotation without decommissioning.</t>
  </si>
  <si>
    <t>LLM &amp; Agent Assessment Dashboard (v0.6.8-r4)</t>
  </si>
  <si>
    <t>MCP routing helpers (protected)</t>
  </si>
  <si>
    <t>System</t>
  </si>
  <si>
    <t>Assessor</t>
  </si>
  <si>
    <t>Recommendation</t>
  </si>
  <si>
    <t>Next step:</t>
  </si>
  <si>
    <t>Metric</t>
  </si>
  <si>
    <t>Value</t>
  </si>
  <si>
    <t>Interpretation</t>
  </si>
  <si>
    <t>Decision logic</t>
  </si>
  <si>
    <t>Must be zero; blanks keep controls applicable (fail-safe) and invalid values count as open.</t>
  </si>
  <si>
    <t>1. INCOMPLETE until scoping is complete and valid, all applicable controls have a response, integrity checks are zero, and (when S19 = Yes) every required MCP side is assessed with complete context and explicit side selections.</t>
  </si>
  <si>
    <t>Total controls</t>
  </si>
  <si>
    <t>Number of controls in this workbook.</t>
  </si>
  <si>
    <t>2. Any open blocker = BLOCKED. Blocker Partial = BLOCK in production, ESCALATE in Pilot/PoC.</t>
  </si>
  <si>
    <t>Applicable controls</t>
  </si>
  <si>
    <t>Derived from Scoping plus manual overrides.</t>
  </si>
  <si>
    <t>3. Any Major No = escalation = conditional.</t>
  </si>
  <si>
    <t>Not applicable (auto/override)</t>
  </si>
  <si>
    <t>Grey rows; excluded from scoring.</t>
  </si>
  <si>
    <t>4. Readiness below the minimum = conditional.</t>
  </si>
  <si>
    <t>Answered applicable controls</t>
  </si>
  <si>
    <t>Completion progress for applicable controls.</t>
  </si>
  <si>
    <t>5. Any answered control at/above the residual threshold = conditional.</t>
  </si>
  <si>
    <t>Weighted readiness</t>
  </si>
  <si>
    <t>Weighted implementation for answered, applicable controls.</t>
  </si>
  <si>
    <t>6. Yes/Partial without evidence = conditional.</t>
  </si>
  <si>
    <t>Open blockers (BLOCK)</t>
  </si>
  <si>
    <t>Must be zero for approval. Exempted gates are counted separately below.</t>
  </si>
  <si>
    <t>7. Formal exemption (Status = Accepted Risk + reference/approver/date in columns X-Z) converts a gate to conditional. The gate label stays stage-sensitive and gains an (exempted) suffix.</t>
  </si>
  <si>
    <t>Escalations (ESCALATE)</t>
  </si>
  <si>
    <t>Major No, or Blocker Partial in a pilot: gaps requiring security/risk decision.</t>
  </si>
  <si>
    <t>8. A required MCP side verdicting NO-GO (open mandatory checkpoint, or compliance rate below the Lookups minimum) = BLOCKED (blocking verdicts outrank evidence-only conditions). S19 and the Required switches must agree; contradictions keep the decision INCOMPLETE.</t>
  </si>
  <si>
    <t>Gates under formal exemption</t>
  </si>
  <si>
    <t>Status = Accepted Risk with reference, approver and date in columns X-Z. Forces CONDITIONAL, never silent approval.</t>
  </si>
  <si>
    <t>Yes/Partial without evidence</t>
  </si>
  <si>
    <t>Rule: every Yes or Partial needs evidence.</t>
  </si>
  <si>
    <t>Thresholds (Lookups):</t>
  </si>
  <si>
    <t>Open exposure (unanswered applicable)</t>
  </si>
  <si>
    <t>Full exposure of controls not yet assessed. Separated from residual risk.</t>
  </si>
  <si>
    <t>Residual risk (answered controls)</t>
  </si>
  <si>
    <t>Weighted residual-exposure index across assessed controls (a control-gap index, not a calibrated loss estimate).</t>
  </si>
  <si>
    <t>Answered controls at/above residual threshold</t>
  </si>
  <si>
    <t>Single controls needing risk review. Likelihood/Impact are assessor inputs (scales on Lookups).</t>
  </si>
  <si>
    <t>MCP server checklist</t>
  </si>
  <si>
    <t>Required side must be assessed with complete context; verdict drives the decision.</t>
  </si>
  <si>
    <t>MCP client checklist</t>
  </si>
  <si>
    <t>Same logic for the client/host side.</t>
  </si>
  <si>
    <t>Flag locations (auto):</t>
  </si>
  <si>
    <t>Recommended decision</t>
  </si>
  <si>
    <t>Automated recommendation; final decision requires accountable sign-off below.</t>
  </si>
  <si>
    <t>Integrity: N/A pasted on applicable rows</t>
  </si>
  <si>
    <t>Use Override for applicability; N/A is not a valid response.</t>
  </si>
  <si>
    <t>Integrity: applicability overrides without reason</t>
  </si>
  <si>
    <t>Every Override needs a justification in Notes.</t>
  </si>
  <si>
    <t>Integrity: blank or invalid scoping header fields</t>
  </si>
  <si>
    <t>System, assessor/owner, date, version.</t>
  </si>
  <si>
    <t>Sign-off consistency</t>
  </si>
  <si>
    <t>Compares the signed decision with the recommendation and exemption documentation.</t>
  </si>
  <si>
    <t>Integrity: invalid values / exemption gaps / floors</t>
  </si>
  <si>
    <t>Typed operational and shared-configuration checks. Includes invalid inputs, errors, L/I, exceptions, overrides, floors and operational policy. See flagged cells on the right.</t>
  </si>
  <si>
    <t>Shared configuration integrity (comparator gate)</t>
  </si>
  <si>
    <t>Shared configuration and Comparator policy only. Unused operational evidence/exemption metadata does not affect sourcing.</t>
  </si>
  <si>
    <t>Applicable</t>
  </si>
  <si>
    <t>Answered</t>
  </si>
  <si>
    <t>Readiness</t>
  </si>
  <si>
    <t>Exposure (incl. unanswered)</t>
  </si>
  <si>
    <t>Blockers</t>
  </si>
  <si>
    <t>Escalations</t>
  </si>
  <si>
    <t>Sign-off completeness</t>
  </si>
  <si>
    <t>Valid decision value, accountable owner, real date; conditions whenever conditional or exempted gates exist.</t>
  </si>
  <si>
    <t>Sign-off</t>
  </si>
  <si>
    <t>Final decision</t>
  </si>
  <si>
    <t>Decided by (risk owner)</t>
  </si>
  <si>
    <t>Conditions / exemption references</t>
  </si>
  <si>
    <t>Score</t>
  </si>
  <si>
    <t>Yes</t>
  </si>
  <si>
    <t>Partial</t>
  </si>
  <si>
    <t>No</t>
  </si>
  <si>
    <t>N/A (not allowed for applicable controls)</t>
  </si>
  <si>
    <t>Default Weight</t>
  </si>
  <si>
    <t>Minor</t>
  </si>
  <si>
    <t>Open</t>
  </si>
  <si>
    <t>In progress</t>
  </si>
  <si>
    <t>Remediated</t>
  </si>
  <si>
    <t>Accepted Risk</t>
  </si>
  <si>
    <t>Not applicable</t>
  </si>
  <si>
    <t>Verdict strictness (role from S18)</t>
  </si>
  <si>
    <t>Readiness min</t>
  </si>
  <si>
    <t>Residual threshold</t>
  </si>
  <si>
    <t>Assist (informs a human)</t>
  </si>
  <si>
    <t>Steer (controls or prioritizes a process)</t>
  </si>
  <si>
    <t>Intervene (executes changes in systems or the physical world)</t>
  </si>
  <si>
    <t>Effective readiness minimum</t>
  </si>
  <si>
    <t>Fallback with blank/unknown/invalid S18 or invalid settings: strictest table value (MAX readiness). Invalid, out-of-range or inconsistently ordered settings (incl. the MCP minimum in B31) hold the decision (Dashboard integrity).</t>
  </si>
  <si>
    <t>Operational policy settings valid? (1 = invalid)</t>
  </si>
  <si>
    <t>Effective residual threshold (per control)</t>
  </si>
  <si>
    <t>Fallback with blank/unknown/invalid S18 or invalid settings: strictest table value (MIN residual). Invalid settings also hold the decision (Dashboard integrity).</t>
  </si>
  <si>
    <t>Comparator policy settings valid? (1 = invalid)</t>
  </si>
  <si>
    <t>Comparator and MCP thresholds</t>
  </si>
  <si>
    <t>Suitable if weighted fit &gt;=</t>
  </si>
  <si>
    <t>Conditionally suitable if weighted fit &gt;=</t>
  </si>
  <si>
    <t>MCP checklists: NO-GO if compliance rate &lt;</t>
  </si>
  <si>
    <t>Applies to both MCP checklist verdicts (server D25, client D30). A blank, non-numeric or out-of-range value holds the checklist verdict at "INCOMPLETE - MCP policy invalid" and the decision at INCOMPLETE (Dashboard integrity); a confirmed mandatory failure still shows NO-GO.</t>
  </si>
  <si>
    <t>Likelihood scale (assessor input, 1-5)</t>
  </si>
  <si>
    <t>1 Rare: only under unusual conditions</t>
  </si>
  <si>
    <t>2 Unlikely: plausible but not expected</t>
  </si>
  <si>
    <t>3 Possible: may occur in normal operation</t>
  </si>
  <si>
    <t>4 Likely: expected without strong controls</t>
  </si>
  <si>
    <t>5 Almost certain: will occur without the control</t>
  </si>
  <si>
    <t>Impact scale (assessor input, 1-5)</t>
  </si>
  <si>
    <t>1 Negligible: no material harm</t>
  </si>
  <si>
    <t>2 Minor: limited internal impact</t>
  </si>
  <si>
    <t>3 Moderate: user or business impact, recoverable</t>
  </si>
  <si>
    <t>4 Severe: regulatory, financial, or safety impact</t>
  </si>
  <si>
    <t>5 Critical: irreversible or large-scale harm</t>
  </si>
  <si>
    <t>Note</t>
  </si>
  <si>
    <t>Likelihood and Impact ship with generic defaults and are assessor inputs: adjust them per system (yellow cells in the matrix). Weight follows Criticality automatically via the table above.</t>
  </si>
  <si>
    <t>AI Defense Matrix view - coverage of this assessment</t>
  </si>
  <si>
    <t>Based on the AI Defense Matrix by Lenny Zeltser and Sounil Yu (aidefensematrix.com), licensed CC BY-SA 4.0. Each control is mapped to one primary cell (asset class x NIST CSF 2.0 function); several controls touch further cells. In scope derives from Scoping; the grid counts applicable controls per cell and updates live.</t>
  </si>
  <si>
    <t>Asset class</t>
  </si>
  <si>
    <t>Govern</t>
  </si>
  <si>
    <t>Identify</t>
  </si>
  <si>
    <t>Protect</t>
  </si>
  <si>
    <t>Detect</t>
  </si>
  <si>
    <t>Respond</t>
  </si>
  <si>
    <t>Recover</t>
  </si>
  <si>
    <t>In scope (from Scoping)</t>
  </si>
  <si>
    <t>AI-Workload Platforms</t>
  </si>
  <si>
    <t>AI Orchestration Tools</t>
  </si>
  <si>
    <t>AI-Generated Code</t>
  </si>
  <si>
    <t>AI Gateways and Routers</t>
  </si>
  <si>
    <t>AI Model</t>
  </si>
  <si>
    <t>Training Data</t>
  </si>
  <si>
    <t>Runtime AI Data</t>
  </si>
  <si>
    <t>AI Agent Identities</t>
  </si>
  <si>
    <t>Cyber Defense Matrix (own catch-all, not an AIDM asset class)</t>
  </si>
  <si>
    <t>Reading: 0 in an in-scope row can mean covered by scoping exclusions or a genuine gap; check the mapping below. Sparse Respond/Recover columns are a known profile of assessment questionnaires.</t>
  </si>
  <si>
    <t>Control ID</t>
  </si>
  <si>
    <t>Control</t>
  </si>
  <si>
    <t>CSF function</t>
  </si>
  <si>
    <t>Cyber Defense Matrix</t>
  </si>
  <si>
    <t>Model Comparator - compare candidate models on the same control grid (v0.6.8)</t>
  </si>
  <si>
    <t>Single source: ID, domain, criticality, weight, question, and applicability are pulled live from the Assessment Matrix by control-ID lookup (row order changes do not break the link). Rows out of scope per Scoping are excluded automatically. Verdicts are PROVISIONAL while shared sourcing configuration is invalid (open scoping questions, unjustified or unreviewed applicability changes, criticality/floor violations); operational matrix answers, evidence and exemption bookkeeping do not affect this sheet. An answer of N/A on an applicable row is only valid with a justification in the paired N/A reason column of that model; unjustified N/A and blanks hold the verdict at INCOMPLETE. Justified exclusions are proposals: they hold the verdict at PENDING REVIEW until a reviewer records decision, reviewer, date and the reviewed exclusion set (copied from the current set displayed beside the sign-off block); changing exclusions or their reasons returns the verdict to PENDING REVIEW. A rejected exclusion must be re-answered Yes / Partial / No and holds the verdict at INCOMPLETE until then. Open blocker answers force NO-GO; thresholds sit on Lookups. Answers outside Yes / Partial / No / N/A count as invalid and hold the verdict at INCOMPLETE. The Comparator is a pre-selection instrument: a Suitable verdict means proceed to detailed assessment, not deployment approval.</t>
  </si>
  <si>
    <t>Invalid answers (outside Yes / Partial / No / N/A)</t>
  </si>
  <si>
    <t>Justified exclusions (count, weight share, review state)</t>
  </si>
  <si>
    <t>Model</t>
  </si>
  <si>
    <t>Model A</t>
  </si>
  <si>
    <t>Model B</t>
  </si>
  <si>
    <t>Model C</t>
  </si>
  <si>
    <t>Model D</t>
  </si>
  <si>
    <t>Weighted security fit (applicable rows)</t>
  </si>
  <si>
    <t>Open blocker answers (No / Partial / blank)</t>
  </si>
  <si>
    <t>Exclusion reviews: choose K8:N8; enter reviewer/date; copy the matching current set S8:S11 into R8:R11 as VALUES.</t>
  </si>
  <si>
    <t>Verdict</t>
  </si>
  <si>
    <t>Exclusion review A (Approved/Rejected)</t>
  </si>
  <si>
    <t>Exclusion review B (Approved/Rejected)</t>
  </si>
  <si>
    <t>Exclusion review C (Approved/Rejected)</t>
  </si>
  <si>
    <t>Exclusion review D (Approved/Rejected)</t>
  </si>
  <si>
    <t>Reviewer</t>
  </si>
  <si>
    <t>Reviewed set: Paste Special &gt; Values</t>
  </si>
  <si>
    <t>Current exclusions (calculated)</t>
  </si>
  <si>
    <t>Review state</t>
  </si>
  <si>
    <t>Proposed exclusions</t>
  </si>
  <si>
    <t>Incomplete / invalid answers</t>
  </si>
  <si>
    <t>Review summary</t>
  </si>
  <si>
    <t>Input locations</t>
  </si>
  <si>
    <t>N/A answers without justification</t>
  </si>
  <si>
    <t>A</t>
  </si>
  <si>
    <t>N/A reason A</t>
  </si>
  <si>
    <t>N/A reason B</t>
  </si>
  <si>
    <t>N/A reason C</t>
  </si>
  <si>
    <t>N/A reason D</t>
  </si>
  <si>
    <t>B</t>
  </si>
  <si>
    <t>C</t>
  </si>
  <si>
    <t>D</t>
  </si>
  <si>
    <t>MCP Server Checklist - security assessment prior to go-live / IT connection</t>
  </si>
  <si>
    <t>Flag: open mandatory (ID)</t>
  </si>
  <si>
    <t>Flag: unjustified N/A (ID)</t>
  </si>
  <si>
    <t>Flag: unanswered/invalid (ID)</t>
  </si>
  <si>
    <t>Flag: pending exclusion (ID)</t>
  </si>
  <si>
    <t>Snapshot: mandatory exclusion set (ID:reason)</t>
  </si>
  <si>
    <t>Checkpoint input error flag</t>
  </si>
  <si>
    <t>Missing/unusable evidence flag</t>
  </si>
  <si>
    <t>Unjustified exclusion flag</t>
  </si>
  <si>
    <t>Missing/invalid status flag</t>
  </si>
  <si>
    <t>Mandatory exclusion flag</t>
  </si>
  <si>
    <t>Compliance numerator</t>
  </si>
  <si>
    <t>Compliance denominator</t>
  </si>
  <si>
    <t>Confirmed mandatory failure flag</t>
  </si>
  <si>
    <t>Relevant input fault (ID)</t>
  </si>
  <si>
    <t>Protected state helpers</t>
  </si>
  <si>
    <t>Aligned to this workbook's logic and the MCP 2026-07-28 specification. Mandatory checkpoints are hard gates: Partially compliant or Non-compliant produce NO-GO; blank or unrecognized statuses on any applicable checkpoint hold the verdict at INCOMPLETE. N/A requires a reason in Notes; excluding an applicable mandatory checkpoint additionally requires the review below (decision, reviewer, date, and the reviewed exclusion set copied from the current set) - a rejected exclusion must be re-answered and holds the verdict at INCOMPLETE until it is. Compliant and Partially compliant require an evidence reference. Record the assessed protocol baseline above (real calendar date, YYYY-MM-DD); Roots, Sampling, and Logging are deprecated in MCP 2026-07-28, so treat version-specific checkpoints accordingly. The context fields above drive applicability (e.g. MS.14 only applies when Multi-tenant = Yes); blank context keeps every checkpoint applicable (fail-safe). Declare each side Required Yes/No (I2) and set "Assessed for this system?" (I3) to Yes on every required side; only required and assessed sides feed the Dashboard decision as hard gates. Below the minimum compliance rate on Lookups the verdict is NO-GO; an invalid minimum holds the verdict at INCOMPLETE. Declaring a side not required while S19 = Yes needs the de-scope reason below.</t>
  </si>
  <si>
    <t>Required for this system?</t>
  </si>
  <si>
    <t>Assessment context (fill first)</t>
  </si>
  <si>
    <t>Protocol version</t>
  </si>
  <si>
    <t>2026-07-28</t>
  </si>
  <si>
    <t>Transport</t>
  </si>
  <si>
    <t>Locality</t>
  </si>
  <si>
    <t>Assessed for this system?</t>
  </si>
  <si>
    <t>Authorization</t>
  </si>
  <si>
    <t>Multi-tenant</t>
  </si>
  <si>
    <t>Proxy to 3rd-party APIs</t>
  </si>
  <si>
    <t>Category</t>
  </si>
  <si>
    <t>Checkpoint</t>
  </si>
  <si>
    <t>Severity</t>
  </si>
  <si>
    <t>Evidence</t>
  </si>
  <si>
    <t>Applies? (from context)</t>
  </si>
  <si>
    <t>MS.1</t>
  </si>
  <si>
    <t>Source &amp; code</t>
  </si>
  <si>
    <t>The MCP server comes from a verified source (official publisher or internal repository); the code is reviewed and scanned (SCA/SAST) before approval.</t>
  </si>
  <si>
    <t>Mandatory</t>
  </si>
  <si>
    <t>MS.2</t>
  </si>
  <si>
    <t>The server and its dependencies are version-pinned and signed; updates are re-audited before deployment.</t>
  </si>
  <si>
    <t>Important</t>
  </si>
  <si>
    <t>MS.3</t>
  </si>
  <si>
    <t>Authentication &amp; authorization</t>
  </si>
  <si>
    <t>Every client is authenticated by the server: no MCP endpoint is reachable without authentication, including internally.</t>
  </si>
  <si>
    <t>MS.4</t>
  </si>
  <si>
    <t>The server accepts only tokens issued for its own resource, validates audience and scopes, and never passes the client's access token through to downstream APIs (token passthrough is forbidden).</t>
  </si>
  <si>
    <t>MS.5</t>
  </si>
  <si>
    <t>Authorization is enforced server-side per end user/agent: the agent only receives the data and tools the underlying user is entitled to.</t>
  </si>
  <si>
    <t>MS.6</t>
  </si>
  <si>
    <t>Least privilege</t>
  </si>
  <si>
    <t>Backend credentials (databases, business APIs) are scoped to the strict minimum and stored in a secure vault.</t>
  </si>
  <si>
    <t>MS.7</t>
  </si>
  <si>
    <t>Each deployed tool is scoped to its stated function; no generic or multi-purpose tools.</t>
  </si>
  <si>
    <t>MS.8</t>
  </si>
  <si>
    <t>Input/output validation</t>
  </si>
  <si>
    <t>All tool inputs are validated against common injection classes (SQLi, command injection, path traversal).</t>
  </si>
  <si>
    <t>MS.9</t>
  </si>
  <si>
    <t>Outputs returned to the client are sanitized: no secrets, no unauthorized data, no content that could enable uncontrolled indirect injection.</t>
  </si>
  <si>
    <t>MS.10</t>
  </si>
  <si>
    <t>Tool descriptions</t>
  </si>
  <si>
    <t>Tool descriptions are reviewed at approval and on every update: no hidden instructions, secrets, or attempts to influence other tools.</t>
  </si>
  <si>
    <t>MS.11</t>
  </si>
  <si>
    <t>Hardening &amp; exposure</t>
  </si>
  <si>
    <t>The server is hardened per CIS benchmarks (unprivileged containers, segmented networking, restricted outbound traffic).</t>
  </si>
  <si>
    <t>MS.12</t>
  </si>
  <si>
    <t>Rate limiting and quotas are applied per client/user against volume abuse and resource exhaustion.</t>
  </si>
  <si>
    <t>MS.13</t>
  </si>
  <si>
    <t>Logging</t>
  </si>
  <si>
    <t>Calls are logged with identity, tool, outcome, correlation ID, timestamp, and security-relevant metadata; parameters and results are minimized or redacted by default; sensitive payload logging requires a documented purpose, restricted access, and retention controls.</t>
  </si>
  <si>
    <t>MS.14</t>
  </si>
  <si>
    <t>Multi-tenancy</t>
  </si>
  <si>
    <t>In multi-tenant environments, data isolation between tenants is tested and verified.</t>
  </si>
  <si>
    <t>MS.15</t>
  </si>
  <si>
    <t>Lifecycle</t>
  </si>
  <si>
    <t>The server has a named owner, is inventoried (AIBOM), and has a tested emergency decommissioning procedure (kill switch / catalogue removal).</t>
  </si>
  <si>
    <t>MS.16</t>
  </si>
  <si>
    <t>On Streamable HTTP, routing headers (Mcp-Method, Mcp-Name, MCP 2026-07-28) are validated server-side against the actual request body/method before dispatch; mismatches are rejected and logged.</t>
  </si>
  <si>
    <t>Compliance rate</t>
  </si>
  <si>
    <t>Open mandatory checkpoints (NO-GO if &gt; 0)</t>
  </si>
  <si>
    <t>Compliant / Partially compliant with missing or unusable evidence</t>
  </si>
  <si>
    <t>Applicable checkpoints excluded (N/A) without reason</t>
  </si>
  <si>
    <t>Applicable checkpoints unanswered or invalid status (INCOMPLETE if &gt; 0)</t>
  </si>
  <si>
    <t>Mandatory exclusions pending review (INCOMPLETE if &gt; 0)</t>
  </si>
  <si>
    <t>Mandatory-exclusion review (decision / reviewer / date)</t>
  </si>
  <si>
    <t>De-scope reason (required when this side is Required = No while S19 = Yes)</t>
  </si>
  <si>
    <t>Current mandatory exclusion set (auto; unambiguous ID:length:reason encoding)</t>
  </si>
  <si>
    <t>Reviewed exclusion set (Paste Special -&gt; Values only; a pasted formula voids approval)</t>
  </si>
  <si>
    <t>Input faults in checkpoint inputs</t>
  </si>
  <si>
    <t>Context / exclusion review guidance</t>
  </si>
  <si>
    <t>Review capture</t>
  </si>
  <si>
    <t>Copy D31; use Paste Special &gt; Values in D32. Re-review after any change to the exclusions, system or scope.</t>
  </si>
  <si>
    <t>MCP Client Checklist - security assessment of an MCP client / host integration</t>
  </si>
  <si>
    <t>Aligned to this workbook's logic and the MCP 2026-07-28 specification. Mandatory checkpoints are hard gates: Partially compliant or Non-compliant produce NO-GO; blank or unrecognized statuses on any applicable checkpoint hold the verdict at INCOMPLETE. N/A requires a reason in Notes; excluding an applicable mandatory checkpoint additionally requires the review below (decision, reviewer, date, and the reviewed exclusion set copied from the current set) - a rejected exclusion must be re-answered and holds the verdict at INCOMPLETE until it is. Compliant and Partially compliant require an evidence reference. Record the assessed protocol baseline above (real calendar date, YYYY-MM-DD); Roots, Sampling, and Logging are deprecated in MCP 2026-07-28, so treat version-specific checkpoints accordingly. The context fields above drive applicability (e.g. MSC.11 only applies to local deployments); blank context keeps every checkpoint applicable (fail-safe). Declare each side Required Yes/No (I2) and set "Assessed for this system?" (I3) to Yes on every required side; only required and assessed sides feed the Dashboard decision as hard gates. Below the minimum compliance rate on Lookups the verdict is NO-GO; an invalid minimum holds the verdict at INCOMPLETE. Declaring a side not required while S19 = Yes needs the de-scope reason below.</t>
  </si>
  <si>
    <t>MSC.1</t>
  </si>
  <si>
    <t>Server governance</t>
  </si>
  <si>
    <t>The client connects only to inventoried, allowlisted MCP servers; unknown servers are blocked by policy or configuration.</t>
  </si>
  <si>
    <t>MSC.2</t>
  </si>
  <si>
    <t>Every connected server is vetted like a supplier before first connection (publisher, provenance, security posture, update process).</t>
  </si>
  <si>
    <t>MSC.3</t>
  </si>
  <si>
    <t>Consent &amp; authentication</t>
  </si>
  <si>
    <t>User consent is obtained per server with a clear display of requested scopes; consent is revocable and re-confirmed on scope change.</t>
  </si>
  <si>
    <t>MSC.4</t>
  </si>
  <si>
    <t>Delegated user access uses OAuth 2.1 with PKCE and resource-bound, scope-minimal tokens; unattended workloads use an approved workload identity or client-credentials profile; shared static credentials are prohibited.</t>
  </si>
  <si>
    <t>MSC.5</t>
  </si>
  <si>
    <t>Token handling</t>
  </si>
  <si>
    <t>Tokens are stored in the OS keychain or a secret store, never in plaintext files, configs, or logs.</t>
  </si>
  <si>
    <t>MSC.6</t>
  </si>
  <si>
    <t>Token audience and expiry are validated on every exchange; tokens are scope-minimal per server.</t>
  </si>
  <si>
    <t>MSC.7</t>
  </si>
  <si>
    <t>Tool governance</t>
  </si>
  <si>
    <t>Tools offered by servers are reviewed and allowlisted; tool descriptions are treated as untrusted content and screened for embedded instructions.</t>
  </si>
  <si>
    <t>MSC.8</t>
  </si>
  <si>
    <t>Material actions (writes, deletions, external communication, transactions) require explicit user confirmation with full argument display.</t>
  </si>
  <si>
    <t>MSC.9</t>
  </si>
  <si>
    <t>Output handling</t>
  </si>
  <si>
    <t>Tool outputs are treated as untrusted: sanitized before entering model context; instruction-like content is flagged to the model and user.</t>
  </si>
  <si>
    <t>MSC.10</t>
  </si>
  <si>
    <t>Runtime protection</t>
  </si>
  <si>
    <t>Sampling and roots (deprecated in MCP 2026-07-28) and elicitation features are restricted to declared purposes and logged where still in use.</t>
  </si>
  <si>
    <t>MSC.11</t>
  </si>
  <si>
    <t>Before a local server is installed or started, the exact executable, command, arguments, package source, and requested permissions are displayed and explicitly approved; dynamic installation from unpinned packages is prohibited; the process runs sandboxed with restricted filesystem, network, and OS permissions.</t>
  </si>
  <si>
    <t>MSC.12</t>
  </si>
  <si>
    <t>Privacy</t>
  </si>
  <si>
    <t>Tool arguments are minimized and filtered: no unnecessary personal or confidential data leaves the client.</t>
  </si>
  <si>
    <t>MSC.13</t>
  </si>
  <si>
    <t>Every tool call is logged (server, tool, argument digest, result, user, timestamp) and exported to security monitoring.</t>
  </si>
  <si>
    <t>MSC.14</t>
  </si>
  <si>
    <t>Server versions are pinned; updates require re-approval after change review.</t>
  </si>
  <si>
    <t>MSC.15</t>
  </si>
  <si>
    <t>A tested disconnect procedure revokes server access and tokens immediately (kill switch).</t>
  </si>
  <si>
    <t>MSC.16</t>
  </si>
  <si>
    <t>Tool, resource, and prompt descriptions and schemas are snapshotted at approval; unexpected capability or schema changes disable the affected capability until re-reviewed (rug-pull protection).</t>
  </si>
  <si>
    <t>MSC.17</t>
  </si>
  <si>
    <t>OAuth and protected-resource discovery URLs, redirects, and DNS resolution are validated; production access requires HTTPS; private, reserved, loopback, and link-local destinations are blocked except for explicitly approved local development; redirect hops are revalidated; server-side clients use controlled egress.</t>
  </si>
  <si>
    <t>MSC.18</t>
  </si>
  <si>
    <t>Application state handles (workflow or cart identifiers) are cryptographically unpredictable, short-lived where appropriate, bound server-side to the authenticated principal, and never accepted as authentication by themselves.</t>
  </si>
  <si>
    <t>MSC.19</t>
  </si>
  <si>
    <t>Client registration does not rely on Dynamic Client Registration (deprecated in MCP 2026-07-28); Client ID Metadata Documents or a pre-registered client ID are used.</t>
  </si>
  <si>
    <t>MSC.20</t>
  </si>
  <si>
    <t>The authorization-server issuer (iss) is validated per RFC 9207 before code redemption and token-endpoint calls; issuer-confusion (mix-up) cases are covered by tests.</t>
  </si>
  <si>
    <t>Copy D36; use Paste Special &gt; Values in D37. Re-review after any change to the exclusions, system or scope.</t>
  </si>
  <si>
    <t>Program Maturity Crosswalk - draft mapping proposal (NOT a SANS maturity score)</t>
  </si>
  <si>
    <t>Provisional crosswalk for the joint maturity-KPI workstream. This is NOT the official SANS AI Security Maturity Model self-assessment (15 evidence-based questions, industry weighting, evidence capped at Stage 2 without proof, governance-floor and lowest-pillar caps). System-level readiness here can only serve as supporting evidence for a separate organisational program assessment. Stage names follow the SANS stage names for orientation; Stage 0 (None) denotes a fully assessed domain with nothing in place, while unassessed or incomplete domains show no stage. Only Govern and Protect are mapped: Utilize (using AI to detect threats, automate response, and strengthen security operations) is out of scope because this workbook does not measure it. Domains report a state (Not applicable / Unassessed / In progress / Assessed); a stage is shown only for fully assessed domains, and pillar scores ignore not-applicable domains instead of dragging to Stage 0.</t>
  </si>
  <si>
    <t>Pillar</t>
  </si>
  <si>
    <t>Current readiness</t>
  </si>
  <si>
    <t>Current stage (1-5)</t>
  </si>
  <si>
    <t>Domain state</t>
  </si>
  <si>
    <t>Current stage (auto; only assessed, applicable domains count)</t>
  </si>
  <si>
    <t>2026</t>
  </si>
  <si>
    <t>2027</t>
  </si>
  <si>
    <t>2028</t>
  </si>
  <si>
    <t>Utilize</t>
  </si>
  <si>
    <t>Out of scope (not measured by this workbook)</t>
  </si>
  <si>
    <t>Stage legend</t>
  </si>
  <si>
    <t>None</t>
  </si>
  <si>
    <t>Nothing in place</t>
  </si>
  <si>
    <t>Ad hoc</t>
  </si>
  <si>
    <t>Unstructured, person-dependent</t>
  </si>
  <si>
    <t>Defined</t>
  </si>
  <si>
    <t>Standardized, documented, approved</t>
  </si>
  <si>
    <t>Managed</t>
  </si>
  <si>
    <t>Measured, monitored, KPI-driven</t>
  </si>
  <si>
    <t>Advanced</t>
  </si>
  <si>
    <t>Integrated, automated, threat-informed</t>
  </si>
  <si>
    <t>Optimized</t>
  </si>
  <si>
    <t>Continuous improvement at scale</t>
  </si>
  <si>
    <t>Changelog</t>
  </si>
  <si>
    <t>Current corrective build: v0.6.8-r4. Repair entries are appended below the original release history.</t>
  </si>
  <si>
    <t>Version</t>
  </si>
  <si>
    <t>Area</t>
  </si>
  <si>
    <t>Change</t>
  </si>
  <si>
    <t>v0.6.8</t>
  </si>
  <si>
    <t>Logic</t>
  </si>
  <si>
    <t>Error-valued inputs can no longer masquerade as a clean bill (F67-01): integrity is now computed from typed per-row predicates instead of searched prose. New hidden Assessment Matrix columns AF (configuration: override value, criticality presence/validity, 2.7 and 5.8 floors, de-scope and below-baseline reviews incl. their dates) and AG (operational input faults via ISERROR over editable fields) feed Dashboard B27/B26 directly; an unevaluable check counts as a fault, never as zero issues. Row-level decision formulas (L/M/N/U), Comparator lookups and verdict sums, MCP counters and Dashboard aggregates are IFERROR-contained so no error value escapes into a decision cell; scoping validity treats an error-valued answer as open. Operational faults hold deployment but do not touch sourcing; configuration faults hold both.</t>
  </si>
  <si>
    <t>Editable policy thresholds are validated (F67-02): the eight unlocked Lookups cells (readiness minima B21:B23, residual thresholds C21:C23, Comparator cutoffs B29:B30) now carry data validation (0-1 resp. 0-125) and formula-level predicates (Lookups E25/E26) that reject blank, non-numeric, negative, out-of-range or reversed settings. Invalid operational thresholds hold the deployment decision via B26; invalid Comparator cutoffs hold sourcing via B27. Deliberate in-range changes still work unchanged; an explicit zero remains a permitted policy choice.</t>
  </si>
  <si>
    <t>One review-state predicate (F67-03): the Comparator exclusion summaries G3:J3 now use the same complete approval predicate as the verdicts (decision, reviewer, valid date, matching value-only snapshot, no live formula), so a summary can no longer say "approved" while the verdict says PENDING REVIEW.</t>
  </si>
  <si>
    <t>Docs</t>
  </si>
  <si>
    <t>Wording alignment: control 9.11 now distinguishes third-party agent review (S16) from MCP checklist completion (S19); control 5.8 aligns with its own guidance (integrity/provenance for all artifacts, confidentiality controls where required); Scoping S4 explains that Yes raises 2.7 to Blocker; README documents threshold validation and error-value handling. Comparator summary rows and snapshot instructions adjusted for readability.</t>
  </si>
  <si>
    <t>v0.6.7</t>
  </si>
  <si>
    <t>Literal allowed-value validation throughout (F66-02): Scoping validity, criticality, status, weight and role-threshold lookups no longer use wildcard-aware MATCH/VLOOKUP membership, so pasted tokens such as * or Bl?cker are invalid instead of passing validation while missing every literal gate. A malformed S19 can no longer detach a required MCP NO-GO from the decision; a malformed criticality can no longer silence a failed Blocker. Invalid scoping explicitly holds completion.</t>
  </si>
  <si>
    <t>Criticality rank is computed only after validity is established (F66-03): nested guards replace the unguarded second MATCH, so an invalid or blank criticality yields a readable per-row diagnosis, nonzero integrity counters and a controlled INCOMPLETE / PROVISIONAL state instead of #N/A. Non-numeric Likelihood/Impact no longer propagates errors into residual totals (flagged, treated as the default 3 while the flag holds completion).</t>
  </si>
  <si>
    <t>Configuration review coverage completed (F66-04): the Blocker de-scope review keys on the effective minimum criticality (shipped baseline plus the active 2.7 confidential-data floor) evaluated before any manual override, so a contextually required Blocker can no longer be de-scoped without review. Invalid review dates on configuration reviews (de-scope or below-baseline variation) are flagged per row in the new hidden helper column AE and hold the Comparator sourcing gate via Dashboard B27; unrelated operational entries still do not affect sourcing.</t>
  </si>
  <si>
    <t>Review-state capture hardened (F66-01/F66-05): the six recorded-exclusion-set inputs (Model Comparator R8:R11, MCP Server D32, MCP Client D37) are unlocked while sheet protection stays on; approvals now require the recorded set to be a pasted value (a live formula is detected and treated as not reviewed); exclusion sets are serialized unambiguously (ID:length:reason), so delimiter-containing reasons can no longer make different sets compare equal. Instructions and README updated accordingly; snapshot limits (not append-only, re-sign on material change) are now stated in the README.</t>
  </si>
  <si>
    <t>Accepted Risk wording narrowed (F66-06): the README no longer claims that every accepted unmet requirement is always conditional; formal gate exemptions (Blocker/Major) force CONDITIONAL APPROVAL, while Moderate/Minor acceptances are documented in the residual view. Policy decision recorded here, not silently changed.</t>
  </si>
  <si>
    <t>Usability</t>
  </si>
  <si>
    <t>Freeze panes restored on Scoping, Assessment Matrix, AI Defense Matrix, Model Comparator, both MCP checklists, Maturity Crosswalk and Changelog (F66-07); recorded-snapshot and current-set fields widened with wrapping; MCP introduction rows given proper height; the Dashboard shared-configuration label shortened (full explanation remains in column C).</t>
  </si>
  <si>
    <t>v0.6.6</t>
  </si>
  <si>
    <t>Comparator sourcing gate narrowed to shared configuration (review finding R65-1): a dedicated Dashboard counter (B27) aggregates only configuration-relevant row flags (override values, criticality, floors, de-scope/downgrade reviews). Operational answers, evidence, exemption bookkeeping and Likelihood/Impact no longer affect sourcing verdicts; an unrelated operational exemption cannot invalidate a completed comparison.</t>
  </si>
  <si>
    <t>Rejected exclusions now require re-answering (R65-2): on the Comparator and both MCP checklists a rejected exclusion holds the verdict at "INCOMPLETE - re-answer rejected exclusions" until the row is answered Yes / Partial / No. The zero-credit scoring path for rejected exclusions is removed; rejection requires the same reviewer and date metadata as approval.</t>
  </si>
  <si>
    <t>Reviews bound to their exclusion set (R65-3): each sheet displays the current justified-exclusion set (IDs and reasons) next to the review block, and an approval counts only while the recorded set matches it; adding, removing, swapping or re-reasoning an exclusion returns the verdict to PENDING REVIEW. This enforces current-state review coverage; it is not an append-only audit history, and the README says so.</t>
  </si>
  <si>
    <t>Protocol baseline validated as a real calendar date (reconstructed DATE must equal the input; 2026-02-31 no longer passes); pending-review counters no longer count rejected exclusions; the Blocker de-scope review now keys on the baseline criticality column, so a downgrade followed by de-scoping cannot avoid review.</t>
  </si>
  <si>
    <t>Review and governance cells formatted: real date formats on review dates, wrapped verdict and exclusion-summary cells, input fill on all new decision/reviewer/date/reviewed-set fields, clearer review-block labels.</t>
  </si>
  <si>
    <t>README: three distinct review decisions documented (applicability review, criticality variation, accepted unmet requirement); print-page estimate re-scoped to the version it was measured on; the workbook ships recalculated with cached values. Independent formula-level review is now a named release step.</t>
  </si>
  <si>
    <t>v0.6.5</t>
  </si>
  <si>
    <t>Comparator exclusion review enforced (review finding R1): justified exclusions now hold the verdict at PENDING REVIEW until the per-model review carries a decision plus reviewer and date; rejected exclusions re-enter the denominator and the open-blocker count; the exclusion summary shows proposed/approved/rejected state with weight share. Review decision and sign-off live in K8:N8 and the O6:Q11 block.</t>
  </si>
  <si>
    <t>Comparator gated on shared configuration validity (R2): open or invalid scoping, unjustified applicability overrides, or matrix integrity/floor violations now produce PROVISIONAL verdicts instead of a false Suitable. The Comparator deliberately still does not require completed operational answers.</t>
  </si>
  <si>
    <t>MCP checklists hardened (R3/R4): blank or unrecognized statuses on any applicable checkpoint hold the verdict at INCOMPLETE with the affected IDs listed; confirmed mandatory failures keep a visible NO-GO; excluding an applicable mandatory checkpoint via N/A now requires the on-sheet review (decision, reviewer, date) and rejected exclusions re-enter as open failures; declaring a side Required = No while S19 = Yes requires a de-scope reason; the protocol baseline must be a dated YYYY-MM-DD value; MS.16 stays applicable (fail-safe) until a valid transport is selected.</t>
  </si>
  <si>
    <t>Main-matrix governance (G1/G2): overriding an auto-applicable Blocker out of scope now requires exemption reference, approver and date; criticality downgrades from the new hidden baseline column (AD) require a rationale in Notes and an approver in Y. Both are flagged per row, counted on the Dashboard, and block completion until reviewed. Routine scoping-derived exclusions are unaffected.</t>
  </si>
  <si>
    <t>Dashboard truthfulness (G3+): the headline reads "INCOMPLETE - confirmed blocking issue present" when a blocker or a required-side MCP NO-GO is already known during an incomplete assessment; sign-off consistency no longer reports Consistent while owner/date are missing; scoping date is validated as a real date (2020-2100) and counted in the header integrity check; flag-location cells wrap.</t>
  </si>
  <si>
    <t>README corrected: domain 9 activates by capability, not by autonomy alone (9.4/9.5/9.7/9.11 have their own triggers); 5.4 added to the legal review routing; ownership pending review is not the same as not applicable; MCP auto-activation from S19 remains a v0.7 candidate (computed effective-required plus justified override, not a formula-defaulted input cell).</t>
  </si>
  <si>
    <t>v0.6.4</t>
  </si>
  <si>
    <t>Hygiene</t>
  </si>
  <si>
    <t>Shipped-state leftovers removed: control 1.1 carried an unjustified applicability override plus a test response, which permanently held the decision at INCOMPLETE ("integrity check open (1 flag)") and silently excluded 1.1 from the Model Comparator; the Dashboard Final decision cell shipped pre-filled "APPROVED", producing a false sign-off conflict. Shipped state is now verified empty before release. (Thales pilot feedback, v0.6.3 retest)</t>
  </si>
  <si>
    <t>Integrity flags are now locatable: the Dashboard lists the offending control IDs or blank scoping header fields next to each integrity counter (column D, rows 22-26), backed by hidden helper columns AA-AC on the Assessment Matrix. The recommendation reason text points to these locations. (Thales pilot feedback)</t>
  </si>
  <si>
    <t>Model Comparator Weight column (D) is now hidden, consistent with the Assessment Matrix, to avoid anchoring bias during model comparisons. (Thales pilot feedback)</t>
  </si>
  <si>
    <t>v0.6.3</t>
  </si>
  <si>
    <t>Blank-criticality guard: a cleared criticality on an applicable row is now flagged per row ("Invalid criticality: missing") and blocks completion. Previously a failed Blocker with a deleted criticality produced no gate, no flag, and a CONDITIONAL recommendation. (Retest finding 1)</t>
  </si>
  <si>
    <t>MCP Required switches now ship blank instead of Yes. A non-MCP assessment (S19 = No) no longer hits a false hard contradiction; with S19 = Yes each side must still be declared explicitly, and an explicit Required = Yes under S19 = No still blocks. (Retest finding 2)</t>
  </si>
  <si>
    <t>Comparator introduction spans a merged wide note area; exclusion summary cells wrap; the maturity introduction no longer calls Stage 0 an unassessed domain; sign-off and exemption dates must fall within 2020-2100 as well as being numeric.</t>
  </si>
  <si>
    <t>v0.6.2</t>
  </si>
  <si>
    <t>MCP verdict precedence fixed: open-mandatory, below-threshold, exclusion, and evidence flags are computed independently and selected by precedence, so removing evidence can no longer soften a NO-GO into a CONDITIONAL GO. Blocking results always outrank evidence-only conditions, on both checklists. (R01)</t>
  </si>
  <si>
    <t>Comparator value integrity: any non-empty answer outside Yes / Partial / No / N/A is counted per candidate (new metric row) and holds the verdict at INCOMPLETE; an invalid answer can no longer neutralize a Blocker. (R02)</t>
  </si>
  <si>
    <t>MCP scope redesigned: S16 now declares multi-agent use only, and a new S19 is the single authoritative MCP scope declaration. Each side requires an explicit valid Required Yes/No; blank or invalid selections, S19 = Yes with no required side, and S19 = No with a required side all hold the decision at INCOMPLETE. A required checklist is never silently ignored. (R03)</t>
  </si>
  <si>
    <t>Input validity beyond presence: scoping answers are checked against their actual lists (invalid counts as open); Likelihood/Impact must be integers 1-5 (validation plus per-row flags); criticality, status, response and override values are exact-checked per row; sign-off requires a valid decision value and a real date; exemption dates must be real dates. (R04)</t>
  </si>
  <si>
    <t>MCP completeness: the protocol version is part of the required context, context enums are validated, and applicable checkpoints excluded via N/A without a Notes reason are counted and hold the verdict. (R05)</t>
  </si>
  <si>
    <t>The 2.7 and 5.8 criticality floors now apply only when the control is applicable, so an out-of-scope 2.7 no longer blocks completion. (R06)</t>
  </si>
  <si>
    <t>Content</t>
  </si>
  <si>
    <t>Comparator exclusions are visible: justified N/A answers show count and share of applicable weight per candidate, and a review row above the reason columns separates proposed from reviewed exclusions. (Section 6)</t>
  </si>
  <si>
    <t>Dashboard lead row presents recommendation, reason and next action as separate wide wrapped fields. Matrix row heights are content-tiered again; MCP checkpoint rows are readable; detail column groups (scoring, computed, remediation, related/guidance, exemption) ship collapsed so the primary view is ID, question, answer, evidence, row check. Scoping header has a proper label/input layout in columns B/C. (R07)</t>
  </si>
  <si>
    <t>Exactly one _xlnm._FilterDatabase defined name for the Assessment Matrix (duplicate removed). Validation prompts updated to the revised workflow: Required = scope, Assessed = completion, X-Z = acceptance; the Status prompt and Dashboard annotations no longer cite an exemption reference in Evidence. (R08/R09)</t>
  </si>
  <si>
    <t>v0.6.1</t>
  </si>
  <si>
    <t>MCP verdicts now propagate as normalized per-side outcomes: each side has a Required switch (I2) distinct from the Assessed switch (I3); the decision reads the checklist verdict cells (NO-GO / CONDITIONAL GO / evidence / context), not just mandatory counts. S16 = Yes with no required side = INCOMPLETE; a required NO-GO side = BLOCKED; CONDITIONAL GO caps at conditional. Checklist verdicts stay INCOMPLETE until the context fields are filled. (F01/F05/F09)</t>
  </si>
  <si>
    <t>Exemption path hardened: reference, approver, and date moved to dedicated columns X-Z, separate from Evidence; the gate flag computes the stage-sensitive label first and appends (exempted); incomplete exemptions are flagged per row and block completion. (F04/F23)</t>
  </si>
  <si>
    <t>Sign-off checks fixed and split: consistency now reads the Conditions/exemption-references cell (B43, previously the Date cell), and a new completeness check covers decision, owner, date, and conditions. (F03)</t>
  </si>
  <si>
    <t>Model Comparator rebuilt on control-ID lookups (row order changes no longer break it); N/A on an applicable row requires a per-model justification column, otherwise the verdict holds at INCOMPLETE; header rows frozen again. (F16/F02/F11)</t>
  </si>
  <si>
    <t>Invalid-value hardening: out-of-list responses/overrides are flagged and fail safe; cleared Likelihood/Impact falls back to 3 in exposure math and is flagged; out-of-list MCP statuses on mandatory checkpoints count as open; 2.7 must be Blocker when S4 = Yes; 5.8 floor Major (both flagged per row). (F07/F08)</t>
  </si>
  <si>
    <t>Maturity Crosswalk: per-domain state (Not applicable / Unassessed / In progress / Assessed); stage shown only for fully assessed domains; pillar scores exclude not-applicable domains instead of dragging to Stage 0. (F12)</t>
  </si>
  <si>
    <t>8.3 rewritten to assess the residual-risk sign-off process before the decision (the authorization itself is tracked in the Dashboard sign-off block); 5.8 guidance distinguishes public/open weights (integrity, provenance) from proprietary weights (additionally confidentiality) and notes it complements 5.7; MS.16 now applies only to Streamable HTTP / Mixed transports; framework mappings in Guidance relabelled advisory and partial. (F13/F18/F20/F21)</t>
  </si>
  <si>
    <t>AutoFilter range corrected to A1:Z69 and filtering permitted under protection (sorting stays blocked); matrix row heights normalized; scoping contradiction hints classified hard (binding) vs soft (advisory); Dashboard leads with recommendation, principal driver, and next step; residual labelled as a weighted residual-exposure index; Lookups fallbacks derived from table extremes (strictest); print note: native Excel acceptance still pending. (F06/F10/F14/F15/F22/F24/F25)</t>
  </si>
  <si>
    <t>v0.6</t>
  </si>
  <si>
    <t>Exemption path wired: Status = Accepted Risk + exemption reference in Evidence turns the gate into BLOCK/ESCALATE (exempted), counted on the Dashboard; decision moves to CONDITIONAL, never to silent approval. README documents the procedure and that remediation closes gates by re-answer.</t>
  </si>
  <si>
    <t>Gate calibration: Blocker Partial = BLOCK in Production, ESCALATE in Pilot/PoC. Partial is now defined per control in the new Guidance column.</t>
  </si>
  <si>
    <t>Weight is now a live VLOOKUP on Criticality (the Lookups table is actually used; changing criticality updates weight). Likelihood/Impact documented as assessor inputs with 1-5 scales on Lookups.</t>
  </si>
  <si>
    <t>Dashboard splits open exposure (unanswered) from residual (answered); threshold count only covers answered rows. No more 4034/37 noise on a blank file.</t>
  </si>
  <si>
    <t>MCP checklists feed the decision when S16 = Yes (assessed side with open mandatory checkpoints = BLOCKED; no side assessed = INCOMPLETE). Context fields drive applicability: MS.14 needs Multi-tenant = Yes; MSC.11 needs local locality; MSC.17/MSC.20 need remote.</t>
  </si>
  <si>
    <t>Model Comparator respects Scoping (out-of-scope rows excluded), N/A no longer counts as an open blocker, thresholds come from Lookups instead of hardcoded 0.8/0.6.</t>
  </si>
  <si>
    <t>Integrity guard split into three named checks (N/A on applicable rows, override without reason, blank scoping header); per-row Row Check column names the reason. Sign-off consistency check compares the final decision with the recommendation and exemption references.</t>
  </si>
  <si>
    <t>New controls: 3.9 technical redaction before the trust boundary, 4.10 regression suite on every model/prompt change, 5.8 model-artefact protection (fills AI Model / Protect), 6.6 availability and degraded modes.</t>
  </si>
  <si>
    <t>2.7 rewritten against the company country-risk policy; base criticality Major, raised to Blocker for confidential/regulated data (guidance says when). 8.4 legal commentary moved from control text into Guidance.</t>
  </si>
  <si>
    <t>Related column scopes the overlapping pairs (3.6/4.2/4.9, 1.5/4.6/9.2/9.4, 6.4/9.10, 5.4/7.5, 2.2/2.7/7.3).</t>
  </si>
  <si>
    <t>MCP checklists pick up 2026-07-28 items: MS.16 routing-header validation; MSC.19 Client ID Metadata Documents (DCR deprecated); MSC.20 RFC 9207 issuer validation.</t>
  </si>
  <si>
    <t>Maturity Crosswalk: Model &amp; Provider -&gt; Govern, Monitoring &amp; Response -&gt; Protect, Utilize marked out of scope; unassessed domains show Stage 0 instead of Stage 1.</t>
  </si>
  <si>
    <t>Guidance column added to all 68 controls (what good looks like, evidence expectations, Partial definition, OWASP/ATLAS/AI Act mapping) - the open item from the v0 review.</t>
  </si>
  <si>
    <t>Stop-style validation alerts and input messages on all dropdowns; yellow input fill applied in the matrix; computed columns shaded and grouped (L:N, U collapsible); light sheet protection without password on formula columns.</t>
  </si>
  <si>
    <t>Template hygiene: shipped test answers and prefilled statuses removed; five late additions moved into their domains; tab colours; Lookups moved after Dashboard; file opens on README; landscape fit-to-width print setup with repeating headers (was 68 portrait A4 pages).</t>
  </si>
  <si>
    <t>README gained quick start with time budget, roles, glossary, L/I scales pointer, exemption/escalation procedure, and per-sheet usage. Original Review sheet replaced by this Changelog.</t>
  </si>
  <si>
    <t>v0.5.1</t>
  </si>
  <si>
    <t>-</t>
  </si>
  <si>
    <t>Previous version (baseline for the v0.6 review).</t>
  </si>
  <si>
    <t>v0.6.8-r1</t>
  </si>
  <si>
    <t>Input integrity</t>
  </si>
  <si>
    <t>Typed operational/configuration predicates, including criticality and all listed operational editable fields. Diagnostics no longer determine whether a row is valid.</t>
  </si>
  <si>
    <t>MCP evidence</t>
  </si>
  <si>
    <t>Per-checkpoint evidence availability and input-fault flags replace the whole-counter zero fallback. Mixed missing/error evidence cannot yield GO.</t>
  </si>
  <si>
    <t>MCP context / review</t>
  </si>
  <si>
    <t>Guarded context and review states, retained mandatory-failure visibility, and new cell/checkpoint guidance rows on both sides.</t>
  </si>
  <si>
    <t>Sourcing separation</t>
  </si>
  <si>
    <t>Configuration reviews are evaluated only when needed; unused operational exemption metadata does not invalidate sourcing.</t>
  </si>
  <si>
    <t>Comparator reviews</t>
  </si>
  <si>
    <t>One shared review-state predicate drives summary and verdict. Error-valued review metadata remains pending. Value-only, set-matched snapshots are retained.</t>
  </si>
  <si>
    <t>Diagnostics / layout</t>
  </si>
  <si>
    <t>Policy faults identify the affected Lookups cells. State-first Comparator summaries and clearer snapshot instructions. Original protection, inputs and frozen views preserved in final package.</t>
  </si>
  <si>
    <t>Verification</t>
  </si>
  <si>
    <t>See the accompanying validation notes and test results. Independent calculation is not native Excel interaction/print acceptance. Original assessment content and policy unchanged.</t>
  </si>
  <si>
    <t>v0.6.8-r2</t>
  </si>
  <si>
    <t>Gate flag (Matrix N) appends "(exempted)" only when the exemption is complete: reference, approver and a valid 2020-2100 date in X-Z, the same predicate the integrity check in AM uses. A Blocker with a partial exemption now stays an open BLOCK, keeps the "confirmed blocking issue" headline and is no longer counted as an exempted gate.</t>
  </si>
  <si>
    <t>Dashboard H2 evaluates required MCP sides from the checklist counters (context, Assessed switch, input faults, unjustified N/A, unanswered or invalid checkpoints, pending or rejected exclusion reviews) in addition to the verdict text. A required side with unanswered checkpoints and a confirmed mandatory failure now reads "INCOMPLETE - confirmed blocking issue present" instead of BLOCKED, consistent with the matrix; C3 names these conditions.</t>
  </si>
  <si>
    <t>MCP minimum compliance rate moved from a hard-coded 0.8 in both checklist verdicts to Lookups!B31 (unlocked, validated 0-1, named mcp_min_compliance, shown on the Dashboard threshold block). An invalid setting falls back to 1 in the verdict and holds the decision via the operational policy check (Lookups!E25/F25). Readiness minima and residual thresholds are now also checked for consistent ordering across Assist/Steer/Intervene, as the v0.6.8 entry already stated.</t>
  </si>
  <si>
    <t>Protocol version cells (MCP C3) are text-formatted so a retyped YYYY-MM-DD value is not converted into a date serial and rejected. Exemption date (Z), target date (R), Scoping date (C5) and sign-off date (B42) carry a yyyy-mm-dd format. Grey out-of-scope formatting extended to X:Z; Scoping blank-answer highlight covers S19; Dashboard integrity flag count no longer double counts N/A and override rows (B26 already includes them); print headers show the build version.</t>
  </si>
  <si>
    <t>README and the Status prompt state that every Status = Accepted Risk needs reference, approver and date in X-Z, while only unmet Blocker/Major gates become counted exemptions. Override prompt mentions the X-Z de-scope review for auto-applicable Blockers. MCP introductions describe Required (I2) plus Assessed (I3) and the Lookups compliance threshold. AI Defense Matrix counts Orchestration Tools in scope when S19 = Yes. Column AE marked unused.</t>
  </si>
  <si>
    <t>v0.6.8-r3</t>
  </si>
  <si>
    <t>Exemption eligibility in the gate flag (Matrix N2:N69) is now IFERROR(AND(Status = Accepted Risk, AM = 0), FALSE()), i.e. the AM integrity predicate decides whether an exemption is complete. An error value in X, Y, Z or S no longer clears the gate string: the BLOCK/ESCALATE stays visible, is counted in B11/B12, and the headline keeps "confirmed blocking issue present" while the integrity flag holds completion. (External review of r2, finding 1; the behaviour predates r2.)</t>
  </si>
  <si>
    <t>MCP checklist verdicts no longer fall back to a numeric minimum of 1. A blank, non-numeric or out-of-range Lookups!B31 gives the explicit verdict "INCOMPLETE - MCP policy invalid (Lookups!B31)" on both sides, placed after the open-mandatory NO-GO so a confirmed failure stays visible and before the compliance-rate test. The Dashboard reads it as an incomplete side; no spurious "insufficient compliance" NO-GO or blocking headline results from an invalid policy value. Lookups!C31 and the MCP introductions describe this state. (External review of r2, finding 2.)</t>
  </si>
  <si>
    <t>Lookups!B31 carries its own validation prompt (MCP minimum compliance) instead of the inherited Comparator cutoff prompt. Version stamps and print headers updated to r3.</t>
  </si>
  <si>
    <t>v0.6.8-r4</t>
  </si>
  <si>
    <t>MCP protocol-version check made locale-independent (external review feedback, R. Bertram): X2/X3 on both MCP checklists rebuild the C3 date from YEAR/MONTH/DAY with zero-padded numeric TEXT instead of TEXT(...,"YYYY-MM-DD"), whose format letters are language-dependent (German Excel reads JJJJ/TT), so a valid date no longer fails in non-English Excel and S19 = Yes workbooks no longer stick at INCOMPLETE despite a complete context.</t>
  </si>
  <si>
    <t>Exemption columns X-Z hardened at entry (external review feedback, R. Bertram): Z2:Z69 now carries stop-style date validation (real dates 2020-2100, displayed yyyy-mm-dd), X/Y/Z gained input prompts stating what an Accepted Risk or review entry needs, and the Row Check names the specific gap (reference X, approver Y, missing or invalid date Z) instead of one generic X-Z warning.</t>
  </si>
  <si>
    <t>Print/PDF export completed for sign-off: repeating header rows added on Scoping, Maturity Crosswalk and Changelog (Assessment Matrix, Model Comparator and both MCP checklists already had them), wrap enabled on Row Check (U) and exemption columns X-Z, and version stamps plus page headers updated to r4.</t>
  </si>
  <si>
    <t>Migration sheet added (external review feedback, R. Bertram): macro-free carry-over of entered data from a previous version. Old sheets are pasted as values into 'Old ...' sheets; staging blocks on 'Migration' match rows by control ID (Scoping, Assessment Matrix, Model Comparator, MCP checklists) and Assessment Matrix columns by header text, keep current values where no match exists, and are transferred with Paste Special &gt; Values + Skip blanks so formula columns stay untouched. Status lines report unmatched IDs and headers.</t>
  </si>
  <si>
    <t>Migration - carry entered data over from a previous version of this workbook</t>
  </si>
  <si>
    <t>Macro-free and ID-based: rows are matched by control ID, the Assessment Matrix columns by header text. Rows or columns that do not exist in the old file keep the current values of this workbook; the status lines below name them.</t>
  </si>
  <si>
    <t>Step 1  In the OLD workbook open each sheet listed below, click the select-all corner (above row 1), Ctrl+C. In THIS workbook open the matching 'Old ...' sheet, click A1, Paste Special &gt; Values (Inhalte einfügen &gt; Werte). Formulas must not be pasted.</t>
  </si>
  <si>
    <t>Step 2  Check the status lines of each block ('Old sheet', 'IDs found', 'not found'). Blue cells show what will be transferred.</t>
  </si>
  <si>
    <t>Step 3  Unprotect the target sheet (Review &gt; Unprotect Sheet; no password). Select the blue range named in the block, Ctrl+C, go to the named target cell, Paste Special &gt; Values with 'Skip blanks' (Werte + Leerzellen überspringen). Then Review &gt; Protect Sheet &gt; OK.</t>
  </si>
  <si>
    <t>Step 4  Repeat for every block you need. The 'Old ...' sheets can be cleared afterwards; the assessment logic never reads them.</t>
  </si>
  <si>
    <t>Notes   Skip blanks keeps formula columns inside a range untouched because their staging cells are empty. Cells that were empty in the old version arrive as empty text; the logic treats both the same. Template-owned cells (criticality baseline, MCP severity, lookups) are not migrated.</t>
  </si>
  <si>
    <t>1 - Scoping</t>
  </si>
  <si>
    <t>Source: paste the old sheet 'Scoping' into 'Old Scoping'.</t>
  </si>
  <si>
    <t>Transfer: copy C17:C41 -&gt; target 'Scoping'!C3 -&gt; Paste Special: Values + Skip blanks.</t>
  </si>
  <si>
    <t>Old sheet:</t>
  </si>
  <si>
    <t>Found:</t>
  </si>
  <si>
    <t>Not found (current values kept):</t>
  </si>
  <si>
    <t>Label / question (from this workbook)</t>
  </si>
  <si>
    <t>Answer -&gt; Scoping!C</t>
  </si>
  <si>
    <t>2 - Assessment Matrix</t>
  </si>
  <si>
    <t>Source: paste the old sheet 'Assessment Matrix' into 'Old Assessment Matrix'.</t>
  </si>
  <si>
    <t>Transfer: copy E54:Z121 -&gt; target 'Assessment Matrix'!E2 -&gt; Paste Special: Values + Skip blanks (expand the column groups on the target first; formula columns F, I, L-N, U-W stay untouched).</t>
  </si>
  <si>
    <t>IDs found:</t>
  </si>
  <si>
    <t>IDs not found (current values kept):</t>
  </si>
  <si>
    <t>Headers not found in the old sheet (current values kept):</t>
  </si>
  <si>
    <t>E</t>
  </si>
  <si>
    <t>F</t>
  </si>
  <si>
    <t>G</t>
  </si>
  <si>
    <t>H</t>
  </si>
  <si>
    <t>I</t>
  </si>
  <si>
    <t>J</t>
  </si>
  <si>
    <t>K</t>
  </si>
  <si>
    <t>L</t>
  </si>
  <si>
    <t>M</t>
  </si>
  <si>
    <t>N</t>
  </si>
  <si>
    <t>O</t>
  </si>
  <si>
    <t>P</t>
  </si>
  <si>
    <t>Q</t>
  </si>
  <si>
    <t>R</t>
  </si>
  <si>
    <t>S</t>
  </si>
  <si>
    <t>T</t>
  </si>
  <si>
    <t>U</t>
  </si>
  <si>
    <t>V</t>
  </si>
  <si>
    <t>W</t>
  </si>
  <si>
    <t>X</t>
  </si>
  <si>
    <t>Y</t>
  </si>
  <si>
    <t>Z</t>
  </si>
  <si>
    <t>Control (from this workbook, orientation only)</t>
  </si>
  <si>
    <t>(formula column - stays empty)</t>
  </si>
  <si>
    <t>old col</t>
  </si>
  <si>
    <t>missing</t>
  </si>
  <si>
    <t>3 - Dashboard sign-off</t>
  </si>
  <si>
    <t>Source: paste the old sheet 'Dashboard' into 'Old Dashboard'.</t>
  </si>
  <si>
    <t>Transfer: copy B131:B134 -&gt; target 'Dashboard'!B40 -&gt; Paste Special: Values + Skip blanks.</t>
  </si>
  <si>
    <t>Label (from this workbook)</t>
  </si>
  <si>
    <t>Value -&gt; Dashboard!B</t>
  </si>
  <si>
    <t>4 - Model Comparator</t>
  </si>
  <si>
    <t>Source: paste the old sheet 'Model Comparator' into 'Old Model Comparator'.</t>
  </si>
  <si>
    <t>Transfer: copy G144:N217 -&gt; target 'Model Comparator'!G4; copy P148:R151 -&gt; target 'Model Comparator'!P8; each with Paste Special: Values + Skip blanks.</t>
  </si>
  <si>
    <t>Rows 4 = model names, 8 = exclusion decisions (K-N) and reviews (P-R, rows 8-11), 10-77 = answers.</t>
  </si>
  <si>
    <t>Model A -&gt; G</t>
  </si>
  <si>
    <t>Model B -&gt; H</t>
  </si>
  <si>
    <t>Model C -&gt; I</t>
  </si>
  <si>
    <t>Model D -&gt; J</t>
  </si>
  <si>
    <t>N/A reason A -&gt; K</t>
  </si>
  <si>
    <t>N/A reason B -&gt; L</t>
  </si>
  <si>
    <t>N/A reason C -&gt; M</t>
  </si>
  <si>
    <t>N/A reason D -&gt; N</t>
  </si>
  <si>
    <t>Reviewer -&gt; P</t>
  </si>
  <si>
    <t>Date -&gt; Q</t>
  </si>
  <si>
    <t>Reviewed set -&gt; R</t>
  </si>
  <si>
    <t>target row 4: model names</t>
  </si>
  <si>
    <t>target row 8: exclusion decisions K-N; reviews P-R rows 8-11</t>
  </si>
  <si>
    <t>5 - MCP Server Checklist</t>
  </si>
  <si>
    <t>Source: paste the old sheet 'MCP Server Checklist' into 'Old MCP Server Checklist'.</t>
  </si>
  <si>
    <t>Transfer: copy I228 -&gt; target 'MCP Server Checklist'!I2; copy C229:I247 -&gt; target 'MCP Server Checklist'!C3; copy D251:F254 -&gt; target 'MCP Server Checklist'!D29; each with Paste Special: Values + Skip blanks.</t>
  </si>
  <si>
    <t>Severity differs in the old file (template-owned, not migrated):</t>
  </si>
  <si>
    <t>Category (orientation)</t>
  </si>
  <si>
    <t>Protocol version -&gt; C3</t>
  </si>
  <si>
    <t>Transport / Multi-tenant / Status -&gt; E</t>
  </si>
  <si>
    <t>Evidence -&gt; F</t>
  </si>
  <si>
    <t>Locality / Proxy / Notes -&gt; G</t>
  </si>
  <si>
    <t>Required? / Assessed? -&gt; I</t>
  </si>
  <si>
    <t>target row 2: I2 = Required for this system?</t>
  </si>
  <si>
    <t>target row 3: protocol version, transport, locality, assessed?</t>
  </si>
  <si>
    <t>target row 4: authorization, multi-tenant, proxy</t>
  </si>
  <si>
    <t>Mandatory-exclusion review</t>
  </si>
  <si>
    <t>Decision / de-scope reason / reviewed set -&gt; D</t>
  </si>
  <si>
    <t>Reviewer -&gt; E</t>
  </si>
  <si>
    <t>Date -&gt; F</t>
  </si>
  <si>
    <t>target row 29: decision, reviewer, date</t>
  </si>
  <si>
    <t>target row 30: de-scope reason</t>
  </si>
  <si>
    <t>target row 31: snapshot formula - stays empty</t>
  </si>
  <si>
    <t>target row 32: reviewed exclusion set</t>
  </si>
  <si>
    <t>6 - MCP Client Checklist</t>
  </si>
  <si>
    <t>Source: paste the old sheet 'MCP Client Checklist' into 'Old MCP Client Checklist'.</t>
  </si>
  <si>
    <t>Transfer: copy I265 -&gt; target 'MCP Client Checklist'!I2; copy C266:I288 -&gt; target 'MCP Client Checklist'!C3; copy D292:F295 -&gt; target 'MCP Client Checklist'!D34; each with Paste Special: Values + Skip blanks.</t>
  </si>
  <si>
    <t>target row 34: decision, reviewer, date</t>
  </si>
  <si>
    <t>target row 35: de-scope reason</t>
  </si>
  <si>
    <t>target row 36: snapshot formula - stays empty</t>
  </si>
  <si>
    <t>target row 37: reviewed exclusion set</t>
  </si>
  <si>
    <t>Paste the previous version's sheet 'Scoping' here: in the old file click the select-all corner (above row 1, left of column A), Ctrl+C, then click this cell A1 and use Paste Special &gt; Values (Inhalte einfügen &gt; Werte). This text is overwritten by the paste. Instructions: sheet 'Migration'.</t>
  </si>
  <si>
    <t>Paste the previous version's sheet 'Assessment Matrix' here: in the old file click the select-all corner (above row 1, left of column A), Ctrl+C, then click this cell A1 and use Paste Special &gt; Values (Inhalte einfügen &gt; Werte). This text is overwritten by the paste. Instructions: sheet 'Migration'.</t>
  </si>
  <si>
    <t>Paste the previous version's sheet 'Dashboard' here: in the old file click the select-all corner (above row 1, left of column A), Ctrl+C, then click this cell A1 and use Paste Special &gt; Values (Inhalte einfügen &gt; Werte). This text is overwritten by the paste. Instructions: sheet 'Migration'.</t>
  </si>
  <si>
    <t>Paste the previous version's sheet 'Model Comparator' here: in the old file click the select-all corner (above row 1, left of column A), Ctrl+C, then click this cell A1 and use Paste Special &gt; Values (Inhalte einfügen &gt; Werte). This text is overwritten by the paste. Instructions: sheet 'Migration'.</t>
  </si>
  <si>
    <t>Paste the previous version's sheet 'MCP Server Checklist' here: in the old file click the select-all corner (above row 1, left of column A), Ctrl+C, then click this cell A1 and use Paste Special &gt; Values (Inhalte einfügen &gt; Werte). This text is overwritten by the paste. Instructions: sheet 'Migration'.</t>
  </si>
  <si>
    <t>Paste the previous version's sheet 'MCP Client Checklist' here: in the old file click the select-all corner (above row 1, left of column A), Ctrl+C, then click this cell A1 and use Paste Special &gt; Values (Inhalte einfügen &gt; Werte). This text is overwritten by the paste. Instructions: sheet 'Migration'.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</si>
</sst>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x14ac:knownFonts="1">
    <font>
      <sz val="11"/>
      <color rgb="FF000000"/>
      <name val="Calibri"/>
      <charset val="1"/>
    </font>
    <font>
      <b/>
      <sz val="14"/>
      <color rgb="FFFFFFFF"/>
      <name val="Calibri"/>
      <charset val="1"/>
    </font>
    <font>
      <b/>
      <sz val="11"/>
      <name val="Calibri"/>
      <charset val="1"/>
    </font>
    <font>
      <sz val="11"/>
      <name val="Calibri"/>
      <charset val="1"/>
    </font>
    <font>
      <b/>
      <sz val="11"/>
      <color rgb="FF000000"/>
      <name val="Calibri"/>
      <charset val="1"/>
    </font>
    <font>
      <b/>
      <sz val="16"/>
      <color rgb="FFFFFFFF"/>
      <name val="Calibri"/>
      <charset val="1"/>
    </font>
    <font>
      <b/>
      <sz val="11"/>
      <color rgb="FFFFFFFF"/>
      <name val="Calibri"/>
      <charset val="1"/>
    </font>
    <font>
      <b/>
      <sz val="9"/>
      <name val="Calibri"/>
      <charset val="1"/>
    </font>
    <font>
      <sz val="11"/>
      <color rgb="FF0000FF"/>
      <name val="Calibri"/>
      <charset val="1"/>
    </font>
    <font>
      <sz val="10"/>
      <color rgb="FF595959"/>
      <name val="Calibri"/>
      <charset val="1"/>
    </font>
    <font>
      <sz val="9"/>
      <color rgb="FF7F7F7F"/>
      <name val="Calibri"/>
      <charset val="1"/>
    </font>
    <font>
      <sz val="11"/>
      <color rgb="FFC00000"/>
      <name val="Calibri"/>
      <charset val="1"/>
    </font>
    <font>
      <b/>
      <sz val="14"/>
      <color rgb="FF1F4E78"/>
      <name val="Calibri"/>
      <charset val="1"/>
    </font>
    <font>
      <i/>
      <sz val="11"/>
      <name val="Cambria"/>
      <charset val="1"/>
    </font>
    <font>
      <sz val="9"/>
      <name val="Calibri"/>
      <charset val="1"/>
    </font>
    <font>
      <b/>
      <sz val="11"/>
      <name val="Cambria"/>
      <charset val="1"/>
    </font>
    <font>
      <i/>
      <sz val="9"/>
      <color rgb="FF7F7F7F"/>
      <name val="Calibri"/>
      <charset val="1"/>
    </font>
    <font>
      <i/>
      <sz val="9"/>
      <name val="Calibri"/>
      <charset val="1"/>
    </font>
    <font>
      <i/>
      <sz val="10"/>
      <color rgb="FF595959"/>
      <name val="Calibri"/>
      <charset val="1"/>
    </font>
    <font>
      <i/>
      <sz val="10"/>
      <name val="Cambria"/>
      <charset val="1"/>
    </font>
    <font>
      <sz val="11"/>
      <name val="Cambria"/>
      <charset val="1"/>
    </font>
    <font>
      <b/>
      <sz val="13"/>
      <color rgb="FF1F4E78"/>
      <name val="Calibri"/>
      <charset val="1"/>
    </font>
    <font>
      <sz val="9"/>
      <color rgb="FF808080"/>
      <name val="Calibri"/>
      <charset val="1"/>
    </font>
  </fonts>
  <fills count="6">
    <fill>
      <patternFill patternType="none"/>
    </fill>
    <fill>
      <patternFill patternType="gray125"/>
    </fill>
    <fill>
      <patternFill patternType="solid">
        <fgColor rgb="FF1F4E78"/>
        <bgColor rgb="FF003366"/>
      </patternFill>
    </fill>
    <fill>
      <patternFill patternType="solid">
        <fgColor rgb="FFFFF2CC"/>
        <bgColor rgb="FFF2F2F2"/>
      </patternFill>
    </fill>
    <fill>
      <patternFill patternType="solid">
        <fgColor rgb="FFF2F2F2"/>
        <bgColor rgb="FFDDEBF7"/>
      </patternFill>
    </fill>
    <fill>
      <patternFill patternType="solid">
        <fgColor rgb="FFDDEBF7"/>
        <b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D0D0D0"/>
      </left>
      <right style="thin">
        <color rgb="FFD0D0D0"/>
      </right>
      <top style="thin">
        <color rgb="FFD0D0D0"/>
      </top>
      <bottom style="thin">
        <color rgb="FFD0D0D0"/>
      </bottom>
      <diagonal/>
    </border>
    <border>
      <left/>
      <right/>
      <top/>
      <bottom style="thin">
        <color rgb="FFD9D9D9"/>
      </bottom>
      <diagonal/>
    </border>
  </borders>
  <cellStyleXfs count="1">
    <xf numFmtId="0" fontId="0" fillId="0" borderId="0"/>
  </cellStyleXfs>
  <cellXfs count="98">
    <xf numFmtId="0" fontId="0" fillId="0" borderId="0" xfId="0"/>
    <xf numFmtId="0" fontId="4" fillId="0" borderId="0" xfId="0" applyFont="1" applyAlignment="1">
      <alignment wrapText="1"/>
    </xf>
    <xf numFmtId="0" fontId="15" fillId="0" borderId="0" xfId="0" applyFont="1"/>
    <xf numFmtId="0" fontId="18" fillId="0" borderId="0" xfId="0" applyFont="1" applyAlignment="1">
      <alignment vertical="top" wrapText="1"/>
    </xf>
    <xf numFmtId="0" fontId="15" fillId="0" borderId="0" xfId="0" applyFont="1" applyAlignment="1">
      <alignment wrapText="1"/>
    </xf>
    <xf numFmtId="0" fontId="6" fillId="2" borderId="0" xfId="0" applyFont="1" applyFill="1" applyAlignment="1">
      <alignment vertical="top" wrapText="1"/>
    </xf>
    <xf numFmtId="0" fontId="9" fillId="0" borderId="0" xfId="0" applyFont="1" applyAlignment="1">
      <alignment vertical="top" wrapText="1"/>
    </xf>
    <xf numFmtId="0" fontId="0" fillId="0" borderId="0" xfId="0" applyAlignment="1">
      <alignment wrapText="1"/>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0" fontId="2" fillId="0" borderId="0" xfId="0" applyFont="1"/>
    <xf numFmtId="0" fontId="2" fillId="3" borderId="1" xfId="0" applyFont="1" applyFill="1" applyBorder="1" applyProtection="1">
      <protection locked="0"/>
    </xf>
    <xf numFmtId="0" fontId="0" fillId="3" borderId="1" xfId="0" applyFill="1" applyBorder="1" applyAlignment="1" applyProtection="1">
      <alignment vertical="top" wrapText="1"/>
      <protection locked="0"/>
    </xf>
    <xf numFmtId="164" fontId="0" fillId="3" borderId="1" xfId="0" applyNumberFormat="1" applyFill="1" applyBorder="1" applyAlignment="1" applyProtection="1">
      <alignment vertical="top" wrapText="1"/>
      <protection locked="0"/>
    </xf>
    <xf numFmtId="0" fontId="7" fillId="0" borderId="0" xfId="0" applyFont="1"/>
    <xf numFmtId="0" fontId="8" fillId="3" borderId="2" xfId="0" applyFont="1" applyFill="1" applyBorder="1" applyAlignment="1" applyProtection="1">
      <alignment vertical="top"/>
      <protection locked="0"/>
    </xf>
    <xf numFmtId="0" fontId="10" fillId="0" borderId="0" xfId="0" applyFont="1" applyAlignment="1">
      <alignment horizontal="center"/>
    </xf>
    <xf numFmtId="0" fontId="8" fillId="3" borderId="1" xfId="0" applyFont="1" applyFill="1" applyBorder="1" applyAlignment="1" applyProtection="1">
      <alignment vertical="top" wrapText="1"/>
      <protection locked="0"/>
    </xf>
    <xf numFmtId="0" fontId="3" fillId="0" borderId="0" xfId="0" applyFont="1"/>
    <xf numFmtId="0" fontId="6" fillId="2" borderId="1" xfId="0" applyFont="1" applyFill="1" applyBorder="1" applyAlignment="1">
      <alignment vertical="top" wrapText="1"/>
    </xf>
    <xf numFmtId="0" fontId="4" fillId="0" borderId="0" xfId="0" applyFont="1"/>
    <xf numFmtId="49" fontId="0" fillId="0" borderId="2" xfId="0" applyNumberFormat="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3" borderId="2" xfId="0" applyFill="1" applyBorder="1" applyAlignment="1" applyProtection="1">
      <alignment vertical="top"/>
      <protection locked="0"/>
    </xf>
    <xf numFmtId="0" fontId="8" fillId="4" borderId="2" xfId="0" applyFont="1" applyFill="1" applyBorder="1" applyAlignment="1">
      <alignment vertical="top"/>
    </xf>
    <xf numFmtId="0" fontId="0" fillId="4" borderId="2" xfId="0" applyFill="1" applyBorder="1" applyAlignment="1">
      <alignment vertical="top"/>
    </xf>
    <xf numFmtId="164" fontId="0" fillId="3" borderId="2" xfId="0" applyNumberFormat="1" applyFill="1" applyBorder="1" applyAlignment="1" applyProtection="1">
      <alignment vertical="top"/>
      <protection locked="0"/>
    </xf>
    <xf numFmtId="0" fontId="0" fillId="4" borderId="2" xfId="0" applyFill="1" applyBorder="1" applyAlignment="1">
      <alignment vertical="top" wrapText="1"/>
    </xf>
    <xf numFmtId="0" fontId="12" fillId="0" borderId="0" xfId="0" applyFont="1"/>
    <xf numFmtId="0" fontId="12" fillId="0" borderId="0" xfId="0" applyFont="1" applyAlignment="1">
      <alignment wrapText="1"/>
    </xf>
    <xf numFmtId="0" fontId="6" fillId="2" borderId="0" xfId="0" applyFont="1" applyFill="1"/>
    <xf numFmtId="9" fontId="0" fillId="0" borderId="0" xfId="0" applyNumberFormat="1"/>
    <xf numFmtId="0" fontId="13" fillId="0" borderId="0" xfId="0" applyFont="1"/>
    <xf numFmtId="0" fontId="2" fillId="0" borderId="0" xfId="0" applyFont="1" applyAlignment="1">
      <alignment wrapText="1"/>
    </xf>
    <xf numFmtId="0" fontId="0" fillId="3" borderId="3" xfId="0" applyFill="1" applyBorder="1" applyProtection="1">
      <protection locked="0"/>
    </xf>
    <xf numFmtId="164" fontId="0" fillId="3" borderId="3" xfId="0" applyNumberFormat="1" applyFill="1" applyBorder="1" applyProtection="1">
      <protection locked="0"/>
    </xf>
    <xf numFmtId="0" fontId="8" fillId="0" borderId="0" xfId="0" applyFont="1"/>
    <xf numFmtId="9" fontId="8" fillId="0" borderId="0" xfId="0" applyNumberFormat="1" applyFont="1" applyProtection="1">
      <protection locked="0"/>
    </xf>
    <xf numFmtId="0" fontId="8" fillId="0" borderId="0" xfId="0" applyFont="1" applyProtection="1">
      <protection locked="0"/>
    </xf>
    <xf numFmtId="9" fontId="8" fillId="0" borderId="0" xfId="0" applyNumberFormat="1" applyFont="1"/>
    <xf numFmtId="0" fontId="0" fillId="0" borderId="0" xfId="0" applyProtection="1">
      <protection locked="0"/>
    </xf>
    <xf numFmtId="0" fontId="2" fillId="0" borderId="2" xfId="0" applyFont="1" applyBorder="1"/>
    <xf numFmtId="0" fontId="0" fillId="0" borderId="2" xfId="0" applyBorder="1" applyAlignment="1">
      <alignment horizontal="center"/>
    </xf>
    <xf numFmtId="49" fontId="0" fillId="0" borderId="2" xfId="0" applyNumberFormat="1" applyBorder="1"/>
    <xf numFmtId="0" fontId="3" fillId="0" borderId="2" xfId="0" applyFont="1" applyBorder="1" applyAlignment="1">
      <alignment vertical="top" wrapText="1"/>
    </xf>
    <xf numFmtId="0" fontId="3" fillId="0" borderId="2" xfId="0" applyFont="1" applyBorder="1"/>
    <xf numFmtId="0" fontId="0" fillId="0" borderId="2" xfId="0" applyBorder="1"/>
    <xf numFmtId="0" fontId="0" fillId="0" borderId="0" xfId="0" applyAlignment="1">
      <alignment vertical="top"/>
    </xf>
    <xf numFmtId="0" fontId="3" fillId="0" borderId="2" xfId="0" applyFont="1" applyBorder="1" applyAlignment="1">
      <alignment vertical="top"/>
    </xf>
    <xf numFmtId="0" fontId="16" fillId="0" borderId="0" xfId="0" applyFont="1"/>
    <xf numFmtId="0" fontId="17" fillId="3" borderId="1" xfId="0" applyFont="1" applyFill="1" applyBorder="1" applyAlignment="1" applyProtection="1">
      <alignment vertical="top" wrapText="1"/>
      <protection locked="0"/>
    </xf>
    <xf numFmtId="0" fontId="0" fillId="3" borderId="0" xfId="0" applyFill="1" applyProtection="1">
      <protection locked="0"/>
    </xf>
    <xf numFmtId="164" fontId="0" fillId="3" borderId="0" xfId="0" applyNumberFormat="1" applyFill="1" applyProtection="1">
      <protection locked="0"/>
    </xf>
    <xf numFmtId="0" fontId="0" fillId="3" borderId="0" xfId="0" applyFill="1" applyAlignment="1" applyProtection="1">
      <alignment vertical="top" wrapText="1"/>
      <protection locked="0"/>
    </xf>
    <xf numFmtId="0" fontId="1" fillId="2" borderId="0" xfId="0" applyFont="1" applyFill="1"/>
    <xf numFmtId="0" fontId="0" fillId="2" borderId="0" xfId="0" applyFill="1"/>
    <xf numFmtId="0" fontId="19" fillId="0" borderId="0" xfId="0" applyFont="1"/>
    <xf numFmtId="49" fontId="0" fillId="0" borderId="0" xfId="0" applyNumberFormat="1" applyProtection="1">
      <protection locked="0"/>
    </xf>
    <xf numFmtId="0" fontId="0" fillId="0" borderId="4" xfId="0" applyBorder="1"/>
    <xf numFmtId="0" fontId="0" fillId="0" borderId="4" xfId="0" applyBorder="1" applyAlignment="1">
      <alignment vertical="top" wrapText="1"/>
    </xf>
    <xf numFmtId="0" fontId="0" fillId="0" borderId="4" xfId="0" applyBorder="1" applyProtection="1">
      <protection locked="0"/>
    </xf>
    <xf numFmtId="0" fontId="0" fillId="0" borderId="4" xfId="0" applyBorder="1" applyAlignment="1">
      <alignment vertical="top"/>
    </xf>
    <xf numFmtId="0" fontId="0" fillId="4" borderId="0" xfId="0" applyFill="1"/>
    <xf numFmtId="9" fontId="20" fillId="0" borderId="0" xfId="0" applyNumberFormat="1" applyFont="1"/>
    <xf numFmtId="0" fontId="15" fillId="0" borderId="4" xfId="0" applyFont="1" applyBorder="1"/>
    <xf numFmtId="9" fontId="0" fillId="0" borderId="4" xfId="0" applyNumberFormat="1" applyBorder="1"/>
    <xf numFmtId="0" fontId="15" fillId="0" borderId="4" xfId="0" applyFont="1" applyBorder="1" applyAlignment="1">
      <alignment vertical="top"/>
    </xf>
    <xf numFmtId="9" fontId="15" fillId="0" borderId="0" xfId="0" applyNumberFormat="1" applyFont="1"/>
    <xf numFmtId="0" fontId="0" fillId="4" borderId="1" xfId="0" applyFill="1" applyBorder="1" applyAlignment="1">
      <alignment vertical="top" wrapText="1"/>
    </xf>
    <xf numFmtId="0" fontId="6" fillId="2" borderId="0" xfId="0" applyFont="1" applyFill="1" applyAlignment="1" applyProtection="1">
      <alignment vertical="top" wrapText="1"/>
      <protection locked="0"/>
    </xf>
    <xf numFmtId="0" fontId="12" fillId="2" borderId="0" xfId="0" applyFont="1" applyFill="1" applyAlignment="1">
      <alignment vertical="top" wrapText="1"/>
    </xf>
    <xf numFmtId="0" fontId="3" fillId="0" borderId="0" xfId="0" applyFont="1" applyAlignment="1">
      <alignment vertical="top"/>
    </xf>
    <xf numFmtId="0" fontId="21" fillId="0" borderId="0" xfId="0" applyFont="1"/>
    <xf numFmtId="0" fontId="6" fillId="2" borderId="0" xfId="0" applyFont="1" applyFill="1" applyAlignment="1">
      <alignment horizontal="center"/>
    </xf>
    <xf numFmtId="0" fontId="22" fillId="4" borderId="0" xfId="0" applyFont="1" applyFill="1" applyAlignment="1">
      <alignment vertical="top" wrapText="1"/>
    </xf>
    <xf numFmtId="0" fontId="2" fillId="5" borderId="0" xfId="0" applyFont="1" applyFill="1" applyAlignment="1">
      <alignment vertical="top" wrapText="1"/>
    </xf>
    <xf numFmtId="0" fontId="3" fillId="5" borderId="1" xfId="0" applyFont="1" applyFill="1" applyBorder="1"/>
    <xf numFmtId="0" fontId="22" fillId="0" borderId="0" xfId="0" applyFont="1"/>
    <xf numFmtId="164" fontId="3" fillId="5" borderId="1" xfId="0" applyNumberFormat="1" applyFont="1" applyFill="1" applyBorder="1"/>
    <xf numFmtId="0" fontId="2" fillId="4" borderId="0" xfId="0" applyFont="1" applyFill="1"/>
    <xf numFmtId="0" fontId="22" fillId="0" borderId="0" xfId="0" applyFont="1" applyAlignment="1">
      <alignment horizontal="center"/>
    </xf>
    <xf numFmtId="0" fontId="1" fillId="2" borderId="0" xfId="0" applyFont="1" applyFill="1" applyAlignment="1">
      <alignment horizontal="center"/>
    </xf>
    <xf numFmtId="0" fontId="5" fillId="2" borderId="0" xfId="0" applyFont="1" applyFill="1"/>
    <xf numFmtId="0" fontId="11" fillId="0" borderId="0" xfId="0" applyFont="1" applyAlignment="1">
      <alignment vertical="top" wrapText="1"/>
    </xf>
    <xf numFmtId="0" fontId="0" fillId="0" borderId="0" xfId="0" applyAlignment="1">
      <alignment wrapText="1"/>
    </xf>
    <xf numFmtId="0" fontId="0" fillId="0" borderId="0" xfId="0" applyAlignment="1">
      <alignment vertical="top" wrapText="1"/>
    </xf>
    <xf numFmtId="0" fontId="9" fillId="0" borderId="0" xfId="0" applyFont="1" applyAlignment="1">
      <alignment vertical="top" wrapText="1"/>
    </xf>
    <xf numFmtId="0" fontId="9" fillId="0" borderId="0" xfId="0" applyFont="1"/>
    <xf numFmtId="0" fontId="6" fillId="2" borderId="0" xfId="0" applyFont="1" applyFill="1" applyAlignment="1">
      <alignment vertical="top" wrapText="1"/>
    </xf>
    <xf numFmtId="0" fontId="14" fillId="0" borderId="0" xfId="0" applyFont="1" applyAlignment="1">
      <alignment vertical="top" wrapText="1"/>
    </xf>
    <xf numFmtId="0" fontId="15" fillId="0" borderId="0" xfId="0" applyFont="1" applyAlignment="1">
      <alignment wrapText="1"/>
    </xf>
    <xf numFmtId="0" fontId="4" fillId="0" borderId="0" xfId="0" applyFont="1" applyAlignment="1">
      <alignment wrapText="1"/>
    </xf>
    <xf numFmtId="0" fontId="18" fillId="0" borderId="0" xfId="0" applyFont="1" applyAlignment="1">
      <alignment vertical="top" wrapText="1"/>
    </xf>
    <xf numFmtId="0" fontId="20" fillId="0" borderId="0" xfId="0" applyFont="1"/>
    <xf numFmtId="0" fontId="15" fillId="0" borderId="0" xfId="0" applyFont="1"/>
    <xf numFmtId="0" fontId="2" fillId="0" borderId="0" xfId="0" applyFont="1"/>
  </cellXfs>
  <cellStyles count="1">
    <cellStyle name="Standard" xfId="0" builtinId="0"/>
  </cellStyles>
  <dxfs count="21">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A6A6A6"/>
      </font>
      <fill>
        <patternFill>
          <bgColor rgb="FFF2F2F2"/>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1F4E78"/>
      </font>
      <fill>
        <patternFill>
          <bgColor rgb="FFDDEBF7"/>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9C9C"/>
      </font>
    </dxf>
    <dxf>
      <fill>
        <patternFill>
          <bgColor rgb="FFFFF2C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A6A6A6"/>
      <rgbColor rgb="FF993366"/>
      <rgbColor rgb="FFFFF2CC"/>
      <rgbColor rgb="FFDDEB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2F2F2"/>
      <rgbColor rgb="FFC6EFCE"/>
      <rgbColor rgb="FFFFEB9C"/>
      <rgbColor rgb="FFD9D9D9"/>
      <rgbColor rgb="FFFF99CC"/>
      <rgbColor rgb="FFCC99FF"/>
      <rgbColor rgb="FFFFC7CE"/>
      <rgbColor rgb="FF3366FF"/>
      <rgbColor rgb="FF33CCCC"/>
      <rgbColor rgb="FF99CC00"/>
      <rgbColor rgb="FFFFCC00"/>
      <rgbColor rgb="FFBF8F00"/>
      <rgbColor rgb="FFFF6600"/>
      <rgbColor rgb="FF595959"/>
      <rgbColor rgb="FF9C9C9C"/>
      <rgbColor rgb="FF003366"/>
      <rgbColor rgb="FF7F7F7F"/>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B34"/>
  <sheetViews>
    <sheetView tabSelected="1" zoomScaleNormal="100" workbookViewId="0">
      <selection sqref="A1:B1"/>
    </sheetView>
  </sheetViews>
  <sheetFormatPr baseColWidth="10" defaultColWidth="9.109375" defaultRowHeight="14.4" x14ac:dyDescent="0.3"/>
  <cols>
    <col min="1" max="1" width="34" customWidth="1"/>
    <col min="2" max="2" width="150" customWidth="1"/>
  </cols>
  <sheetData>
    <row r="1" spans="1:2" ht="21" customHeight="1" x14ac:dyDescent="0.35">
      <c r="A1" s="83" t="s">
        <v>0</v>
      </c>
      <c r="B1" s="83"/>
    </row>
    <row r="3" spans="1:2" ht="15" customHeight="1" x14ac:dyDescent="0.3">
      <c r="A3" s="9" t="s">
        <v>1</v>
      </c>
      <c r="B3" s="10" t="s">
        <v>2</v>
      </c>
    </row>
    <row r="4" spans="1:2" ht="60" customHeight="1" x14ac:dyDescent="0.3">
      <c r="A4" s="9" t="s">
        <v>3</v>
      </c>
      <c r="B4" s="10" t="s">
        <v>4</v>
      </c>
    </row>
    <row r="5" spans="1:2" ht="45" customHeight="1" x14ac:dyDescent="0.3">
      <c r="A5" s="9" t="s">
        <v>5</v>
      </c>
      <c r="B5" s="10" t="s">
        <v>6</v>
      </c>
    </row>
    <row r="6" spans="1:2" ht="30" customHeight="1" x14ac:dyDescent="0.3">
      <c r="A6" s="9" t="s">
        <v>7</v>
      </c>
      <c r="B6" s="10" t="s">
        <v>8</v>
      </c>
    </row>
    <row r="7" spans="1:2" ht="30" customHeight="1" x14ac:dyDescent="0.3">
      <c r="A7" s="9" t="s">
        <v>9</v>
      </c>
      <c r="B7" s="10" t="s">
        <v>10</v>
      </c>
    </row>
    <row r="8" spans="1:2" ht="75" customHeight="1" x14ac:dyDescent="0.3">
      <c r="A8" s="9" t="s">
        <v>11</v>
      </c>
      <c r="B8" s="10" t="s">
        <v>12</v>
      </c>
    </row>
    <row r="9" spans="1:2" ht="30" customHeight="1" x14ac:dyDescent="0.3">
      <c r="A9" s="9" t="s">
        <v>13</v>
      </c>
      <c r="B9" s="10" t="s">
        <v>14</v>
      </c>
    </row>
    <row r="10" spans="1:2" ht="60" customHeight="1" x14ac:dyDescent="0.3">
      <c r="A10" s="9" t="s">
        <v>15</v>
      </c>
      <c r="B10" s="10" t="s">
        <v>16</v>
      </c>
    </row>
    <row r="11" spans="1:2" ht="45" customHeight="1" x14ac:dyDescent="0.3">
      <c r="A11" s="9" t="s">
        <v>17</v>
      </c>
      <c r="B11" s="10" t="s">
        <v>18</v>
      </c>
    </row>
    <row r="12" spans="1:2" ht="15" customHeight="1" x14ac:dyDescent="0.3">
      <c r="A12" s="9" t="s">
        <v>19</v>
      </c>
      <c r="B12" s="10" t="s">
        <v>20</v>
      </c>
    </row>
    <row r="13" spans="1:2" ht="30" customHeight="1" x14ac:dyDescent="0.3">
      <c r="A13" s="9" t="s">
        <v>21</v>
      </c>
      <c r="B13" s="10" t="s">
        <v>22</v>
      </c>
    </row>
    <row r="14" spans="1:2" ht="30" customHeight="1" x14ac:dyDescent="0.3">
      <c r="A14" s="9" t="s">
        <v>23</v>
      </c>
      <c r="B14" s="10" t="s">
        <v>24</v>
      </c>
    </row>
    <row r="15" spans="1:2" ht="15" customHeight="1" x14ac:dyDescent="0.3">
      <c r="A15" s="9" t="s">
        <v>25</v>
      </c>
      <c r="B15" s="10" t="s">
        <v>26</v>
      </c>
    </row>
    <row r="16" spans="1:2" ht="15" customHeight="1" x14ac:dyDescent="0.3">
      <c r="A16" s="9" t="s">
        <v>27</v>
      </c>
      <c r="B16" s="10" t="s">
        <v>28</v>
      </c>
    </row>
    <row r="17" spans="1:2" ht="15" customHeight="1" x14ac:dyDescent="0.3">
      <c r="A17" s="9" t="s">
        <v>29</v>
      </c>
      <c r="B17" s="10"/>
    </row>
    <row r="18" spans="1:2" ht="15" customHeight="1" x14ac:dyDescent="0.3">
      <c r="A18" s="9" t="s">
        <v>30</v>
      </c>
      <c r="B18" s="10" t="s">
        <v>31</v>
      </c>
    </row>
    <row r="19" spans="1:2" ht="15" customHeight="1" x14ac:dyDescent="0.3">
      <c r="A19" s="9" t="s">
        <v>32</v>
      </c>
      <c r="B19" s="10" t="s">
        <v>33</v>
      </c>
    </row>
    <row r="20" spans="1:2" ht="15" customHeight="1" x14ac:dyDescent="0.3">
      <c r="A20" s="9" t="s">
        <v>34</v>
      </c>
      <c r="B20" s="10" t="s">
        <v>35</v>
      </c>
    </row>
    <row r="21" spans="1:2" ht="15" customHeight="1" x14ac:dyDescent="0.3">
      <c r="A21" s="9" t="s">
        <v>36</v>
      </c>
      <c r="B21" s="10" t="s">
        <v>37</v>
      </c>
    </row>
    <row r="22" spans="1:2" ht="15" customHeight="1" x14ac:dyDescent="0.3">
      <c r="A22" s="9" t="s">
        <v>38</v>
      </c>
      <c r="B22" s="10" t="s">
        <v>39</v>
      </c>
    </row>
    <row r="23" spans="1:2" ht="15" customHeight="1" x14ac:dyDescent="0.3">
      <c r="A23" s="9" t="s">
        <v>40</v>
      </c>
      <c r="B23" s="10" t="s">
        <v>41</v>
      </c>
    </row>
    <row r="24" spans="1:2" ht="15" customHeight="1" x14ac:dyDescent="0.3">
      <c r="A24" s="9" t="s">
        <v>42</v>
      </c>
      <c r="B24" s="10" t="s">
        <v>43</v>
      </c>
    </row>
    <row r="25" spans="1:2" ht="15" customHeight="1" x14ac:dyDescent="0.3">
      <c r="A25" s="9" t="s">
        <v>44</v>
      </c>
      <c r="B25" s="10" t="s">
        <v>45</v>
      </c>
    </row>
    <row r="26" spans="1:2" ht="15" customHeight="1" x14ac:dyDescent="0.3">
      <c r="A26" s="9" t="s">
        <v>46</v>
      </c>
      <c r="B26" s="10" t="s">
        <v>47</v>
      </c>
    </row>
    <row r="27" spans="1:2" ht="14.25" customHeight="1" x14ac:dyDescent="0.3">
      <c r="A27" s="9" t="s">
        <v>48</v>
      </c>
      <c r="B27" s="10" t="s">
        <v>49</v>
      </c>
    </row>
    <row r="28" spans="1:2" ht="14.25" customHeight="1" x14ac:dyDescent="0.3">
      <c r="A28" s="9" t="s">
        <v>36</v>
      </c>
      <c r="B28" s="8" t="s">
        <v>50</v>
      </c>
    </row>
    <row r="29" spans="1:2" ht="14.25" customHeight="1" x14ac:dyDescent="0.3">
      <c r="A29" s="9" t="s">
        <v>51</v>
      </c>
      <c r="B29" s="8" t="s">
        <v>52</v>
      </c>
    </row>
    <row r="30" spans="1:2" ht="14.25" customHeight="1" x14ac:dyDescent="0.3">
      <c r="A30" s="9" t="s">
        <v>53</v>
      </c>
      <c r="B30" s="8" t="s">
        <v>54</v>
      </c>
    </row>
    <row r="31" spans="1:2" ht="111.75" customHeight="1" x14ac:dyDescent="0.3">
      <c r="A31" s="1" t="s">
        <v>55</v>
      </c>
      <c r="B31" s="7" t="s">
        <v>56</v>
      </c>
    </row>
    <row r="32" spans="1:2" ht="111.75" customHeight="1" x14ac:dyDescent="0.3">
      <c r="A32" s="1" t="s">
        <v>57</v>
      </c>
      <c r="B32" s="7" t="s">
        <v>58</v>
      </c>
    </row>
    <row r="33" spans="1:2" ht="111.75" customHeight="1" x14ac:dyDescent="0.3">
      <c r="A33" s="1" t="s">
        <v>59</v>
      </c>
      <c r="B33" s="7" t="s">
        <v>60</v>
      </c>
    </row>
    <row r="34" spans="1:2" ht="43.2" x14ac:dyDescent="0.3">
      <c r="A34" s="1" t="s">
        <v>61</v>
      </c>
      <c r="B34" s="7" t="s">
        <v>62</v>
      </c>
    </row>
  </sheetData>
  <mergeCells count="1">
    <mergeCell ref="A1:B1"/>
  </mergeCells>
  <pageMargins left="0.75" right="0.75" top="1" bottom="1" header="0.51180555555555596" footer="0.51180555555555596"/>
  <pageSetup paperSize="9" fitToHeight="0" orientation="landscape" horizontalDpi="300" verticalDpi="300"/>
  <headerFooter>
    <oddHeader>&amp;L&amp;A&amp;Rv0.6.8-r4 - &amp;D</oddHeader>
    <oddFooter>&amp;RPage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8"/>
  <sheetViews>
    <sheetView zoomScaleNormal="100" workbookViewId="0">
      <pane xSplit="2" ySplit="8" topLeftCell="C9" activePane="bottomRight" state="frozen"/>
      <selection pane="topRight" activeCell="C1" sqref="C1"/>
      <selection pane="bottomLeft" activeCell="A9" sqref="A9"/>
      <selection pane="bottomRight"/>
    </sheetView>
  </sheetViews>
  <sheetFormatPr baseColWidth="10" defaultColWidth="9.109375" defaultRowHeight="14.4" x14ac:dyDescent="0.3"/>
  <cols>
    <col min="1" max="1" width="6" customWidth="1"/>
    <col min="2" max="2" width="62" customWidth="1"/>
    <col min="3" max="3" width="40" customWidth="1"/>
    <col min="4" max="4" width="66" customWidth="1"/>
    <col min="5" max="5" width="10" customWidth="1"/>
  </cols>
  <sheetData>
    <row r="1" spans="1:5" ht="21" customHeight="1" x14ac:dyDescent="0.4">
      <c r="A1" s="84" t="s">
        <v>63</v>
      </c>
      <c r="B1" s="84"/>
      <c r="C1" s="84"/>
      <c r="D1" s="84"/>
    </row>
    <row r="3" spans="1:5" ht="15" customHeight="1" x14ac:dyDescent="0.3">
      <c r="A3" s="11"/>
      <c r="B3" s="12" t="s">
        <v>64</v>
      </c>
      <c r="C3" s="13"/>
    </row>
    <row r="4" spans="1:5" ht="15" customHeight="1" x14ac:dyDescent="0.3">
      <c r="A4" s="11"/>
      <c r="B4" s="12" t="s">
        <v>65</v>
      </c>
      <c r="C4" s="13"/>
    </row>
    <row r="5" spans="1:5" ht="15" customHeight="1" x14ac:dyDescent="0.3">
      <c r="A5" s="11"/>
      <c r="B5" s="12" t="s">
        <v>66</v>
      </c>
      <c r="C5" s="14"/>
    </row>
    <row r="6" spans="1:5" ht="15" customHeight="1" x14ac:dyDescent="0.3">
      <c r="A6" s="11"/>
      <c r="B6" s="12" t="s">
        <v>67</v>
      </c>
      <c r="C6" s="13"/>
    </row>
    <row r="8" spans="1:5" ht="15" customHeight="1" x14ac:dyDescent="0.3">
      <c r="A8" s="5" t="s">
        <v>68</v>
      </c>
      <c r="B8" s="5" t="s">
        <v>69</v>
      </c>
      <c r="C8" s="5" t="s">
        <v>70</v>
      </c>
      <c r="D8" s="5" t="s">
        <v>71</v>
      </c>
      <c r="E8" s="15" t="s">
        <v>72</v>
      </c>
    </row>
    <row r="9" spans="1:5" ht="15" customHeight="1" x14ac:dyDescent="0.3">
      <c r="A9" s="11" t="s">
        <v>73</v>
      </c>
      <c r="B9" s="10" t="s">
        <v>74</v>
      </c>
      <c r="C9" s="16"/>
      <c r="D9" s="6" t="s">
        <v>75</v>
      </c>
      <c r="E9" s="17" t="str">
        <f>IF(IFERROR(C9="",TRUE()),"blank",IF(IFERROR(OR(C9="External SaaS / API",C9="COTS (on-prem or managed)",C9="Self-hosted / open weights",C9="Internal development"),FALSE()),"valid","invalid"))</f>
        <v>blank</v>
      </c>
    </row>
    <row r="10" spans="1:5" ht="15" customHeight="1" x14ac:dyDescent="0.3">
      <c r="A10" s="11" t="s">
        <v>76</v>
      </c>
      <c r="B10" s="10" t="s">
        <v>77</v>
      </c>
      <c r="C10" s="16"/>
      <c r="D10" s="6" t="s">
        <v>78</v>
      </c>
      <c r="E10" s="17" t="str">
        <f>IF(IFERROR(C10="",TRUE()),"blank",IF(IFERROR(OR(C10="Pilot / PoC",C10="Production"),FALSE()),"valid","invalid"))</f>
        <v>blank</v>
      </c>
    </row>
    <row r="11" spans="1:5" ht="15" customHeight="1" x14ac:dyDescent="0.3">
      <c r="A11" s="11" t="s">
        <v>79</v>
      </c>
      <c r="B11" s="10" t="s">
        <v>80</v>
      </c>
      <c r="C11" s="16"/>
      <c r="D11" s="6" t="s">
        <v>81</v>
      </c>
      <c r="E11" s="17" t="str">
        <f>IF(IFERROR(C11="",TRUE()),"blank",IF(IFERROR(OR(C11="Yes",C11="No"),FALSE()),"valid","invalid"))</f>
        <v>blank</v>
      </c>
    </row>
    <row r="12" spans="1:5" ht="15" customHeight="1" x14ac:dyDescent="0.3">
      <c r="A12" s="11" t="s">
        <v>82</v>
      </c>
      <c r="B12" s="10" t="s">
        <v>83</v>
      </c>
      <c r="C12" s="16"/>
      <c r="D12" s="6" t="s">
        <v>84</v>
      </c>
      <c r="E12" s="17" t="str">
        <f>IF(IFERROR(C12="",TRUE()),"blank",IF(IFERROR(OR(C12="Yes",C12="No"),FALSE()),"valid","invalid"))</f>
        <v>blank</v>
      </c>
    </row>
    <row r="13" spans="1:5" ht="15" customHeight="1" x14ac:dyDescent="0.3">
      <c r="A13" s="11" t="s">
        <v>85</v>
      </c>
      <c r="B13" s="10" t="s">
        <v>86</v>
      </c>
      <c r="C13" s="16"/>
      <c r="D13" s="6" t="s">
        <v>87</v>
      </c>
      <c r="E13" s="17" t="str">
        <f>IF(IFERROR(C13="",TRUE()),"blank",IF(IFERROR(OR(C13="Yes",C13="No"),FALSE()),"valid","invalid"))</f>
        <v>blank</v>
      </c>
    </row>
    <row r="14" spans="1:5" ht="15" customHeight="1" x14ac:dyDescent="0.3">
      <c r="A14" s="11" t="s">
        <v>88</v>
      </c>
      <c r="B14" s="10" t="s">
        <v>89</v>
      </c>
      <c r="C14" s="16"/>
      <c r="D14" s="6" t="s">
        <v>90</v>
      </c>
      <c r="E14" s="17" t="str">
        <f>IF(IFERROR(C14="",TRUE()),"blank",IF(IFERROR(OR(C14="Internal (limited group)",C14="Internal (broad)",C14="External / public"),FALSE()),"valid","invalid"))</f>
        <v>blank</v>
      </c>
    </row>
    <row r="15" spans="1:5" ht="30" customHeight="1" x14ac:dyDescent="0.3">
      <c r="A15" s="11" t="s">
        <v>91</v>
      </c>
      <c r="B15" s="10" t="s">
        <v>92</v>
      </c>
      <c r="C15" s="16"/>
      <c r="D15" s="6" t="s">
        <v>93</v>
      </c>
      <c r="E15" s="17" t="str">
        <f>IF(IFERROR(C15="",TRUE()),"blank",IF(IFERROR(OR(C15="Yes",C15="No"),FALSE()),"valid","invalid"))</f>
        <v>blank</v>
      </c>
    </row>
    <row r="16" spans="1:5" ht="15" customHeight="1" x14ac:dyDescent="0.3">
      <c r="A16" s="11" t="s">
        <v>94</v>
      </c>
      <c r="B16" s="10" t="s">
        <v>95</v>
      </c>
      <c r="C16" s="16"/>
      <c r="D16" s="6" t="s">
        <v>96</v>
      </c>
      <c r="E16" s="17" t="str">
        <f>IF(IFERROR(C16="",TRUE()),"blank",IF(IFERROR(OR(C16="Yes",C16="No"),FALSE()),"valid","invalid"))</f>
        <v>blank</v>
      </c>
    </row>
    <row r="17" spans="1:5" ht="15" customHeight="1" x14ac:dyDescent="0.3">
      <c r="A17" s="11" t="s">
        <v>97</v>
      </c>
      <c r="B17" s="10" t="s">
        <v>98</v>
      </c>
      <c r="C17" s="16"/>
      <c r="D17" s="6" t="s">
        <v>99</v>
      </c>
      <c r="E17" s="17" t="str">
        <f>IF(IFERROR(C17="",TRUE()),"blank",IF(IFERROR(OR(C17="Yes",C17="No"),FALSE()),"valid","invalid"))</f>
        <v>blank</v>
      </c>
    </row>
    <row r="18" spans="1:5" ht="15" customHeight="1" x14ac:dyDescent="0.3">
      <c r="A18" s="11" t="s">
        <v>100</v>
      </c>
      <c r="B18" s="10" t="s">
        <v>101</v>
      </c>
      <c r="C18" s="16"/>
      <c r="D18" s="6" t="s">
        <v>102</v>
      </c>
      <c r="E18" s="17" t="str">
        <f>IF(IFERROR(C18="",TRUE()),"blank",IF(IFERROR(OR(C18="Yes",C18="No"),FALSE()),"valid","invalid"))</f>
        <v>blank</v>
      </c>
    </row>
    <row r="19" spans="1:5" ht="15" customHeight="1" x14ac:dyDescent="0.3">
      <c r="A19" s="11" t="s">
        <v>103</v>
      </c>
      <c r="B19" s="10" t="s">
        <v>104</v>
      </c>
      <c r="C19" s="16"/>
      <c r="D19" s="6" t="s">
        <v>105</v>
      </c>
      <c r="E19" s="17" t="str">
        <f>IF(IFERROR(C19="",TRUE()),"blank",IF(IFERROR(OR(C19="Yes",C19="No"),FALSE()),"valid","invalid"))</f>
        <v>blank</v>
      </c>
    </row>
    <row r="20" spans="1:5" ht="15" customHeight="1" x14ac:dyDescent="0.3">
      <c r="A20" s="11" t="s">
        <v>106</v>
      </c>
      <c r="B20" s="10" t="s">
        <v>107</v>
      </c>
      <c r="C20" s="16"/>
      <c r="D20" s="6" t="s">
        <v>108</v>
      </c>
      <c r="E20" s="17" t="str">
        <f>IF(IFERROR(C20="",TRUE()),"blank",IF(IFERROR(OR(C20="None (chat or single completions)",C20="Assisted (human approves every action)",C20="Supervised (human approves material actions)",C20="Autonomous (acts without per-action approval)"),FALSE()),"valid","invalid"))</f>
        <v>blank</v>
      </c>
    </row>
    <row r="21" spans="1:5" ht="30" customHeight="1" x14ac:dyDescent="0.3">
      <c r="A21" s="11" t="s">
        <v>109</v>
      </c>
      <c r="B21" s="10" t="s">
        <v>110</v>
      </c>
      <c r="C21" s="16"/>
      <c r="D21" s="6" t="s">
        <v>111</v>
      </c>
      <c r="E21" s="17" t="str">
        <f>IF(IFERROR(C21="",TRUE()),"blank",IF(IFERROR(OR(C21="Yes",C21="No"),FALSE()),"valid","invalid"))</f>
        <v>blank</v>
      </c>
    </row>
    <row r="22" spans="1:5" ht="15" customHeight="1" x14ac:dyDescent="0.3">
      <c r="A22" s="11" t="s">
        <v>112</v>
      </c>
      <c r="B22" s="10" t="s">
        <v>113</v>
      </c>
      <c r="C22" s="16"/>
      <c r="D22" s="6" t="s">
        <v>114</v>
      </c>
      <c r="E22" s="17" t="str">
        <f>IF(IFERROR(C22="",TRUE()),"blank",IF(IFERROR(OR(C22="Yes",C22="No"),FALSE()),"valid","invalid"))</f>
        <v>blank</v>
      </c>
    </row>
    <row r="23" spans="1:5" ht="15" customHeight="1" x14ac:dyDescent="0.3">
      <c r="A23" s="11" t="s">
        <v>115</v>
      </c>
      <c r="B23" s="10" t="s">
        <v>116</v>
      </c>
      <c r="C23" s="16"/>
      <c r="D23" s="6" t="s">
        <v>117</v>
      </c>
      <c r="E23" s="17" t="str">
        <f>IF(IFERROR(C23="",TRUE()),"blank",IF(IFERROR(OR(C23="Yes",C23="No"),FALSE()),"valid","invalid"))</f>
        <v>blank</v>
      </c>
    </row>
    <row r="24" spans="1:5" ht="15" customHeight="1" x14ac:dyDescent="0.3">
      <c r="A24" s="11" t="s">
        <v>118</v>
      </c>
      <c r="B24" s="10" t="s">
        <v>119</v>
      </c>
      <c r="C24" s="16"/>
      <c r="D24" s="6" t="s">
        <v>120</v>
      </c>
      <c r="E24" s="17" t="str">
        <f>IF(IFERROR(C24="",TRUE()),"blank",IF(IFERROR(OR(C24="Yes",C24="No"),FALSE()),"valid","invalid"))</f>
        <v>blank</v>
      </c>
    </row>
    <row r="25" spans="1:5" ht="25.5" customHeight="1" x14ac:dyDescent="0.3">
      <c r="A25" s="11" t="s">
        <v>121</v>
      </c>
      <c r="B25" s="10" t="s">
        <v>122</v>
      </c>
      <c r="C25" s="16"/>
      <c r="D25" s="6" t="s">
        <v>123</v>
      </c>
      <c r="E25" s="17" t="str">
        <f>IF(IFERROR(C25="",TRUE()),"blank",IF(IFERROR(OR(C25="End user client / endpoint",C25="Cloud or SaaS tenant",C25="Own data center / servers",C25="Network or gateway (inline)",C25="Production / OT proximity"),FALSE()),"valid","invalid"))</f>
        <v>blank</v>
      </c>
    </row>
    <row r="26" spans="1:5" ht="25.5" customHeight="1" x14ac:dyDescent="0.3">
      <c r="A26" s="11" t="s">
        <v>124</v>
      </c>
      <c r="B26" s="10" t="s">
        <v>125</v>
      </c>
      <c r="C26" s="16"/>
      <c r="D26" s="6" t="s">
        <v>126</v>
      </c>
      <c r="E26" s="17" t="str">
        <f>IF(IFERROR(C26="",TRUE()),"blank",IF(IFERROR(OR(C26="Assist (informs a human)",C26="Steer (controls or prioritizes a process)",C26="Intervene (executes changes in systems or the physical world)"),FALSE()),"valid","invalid"))</f>
        <v>blank</v>
      </c>
    </row>
    <row r="27" spans="1:5" ht="27" customHeight="1" x14ac:dyDescent="0.3">
      <c r="A27" s="11" t="s">
        <v>127</v>
      </c>
      <c r="B27" s="10" t="s">
        <v>128</v>
      </c>
      <c r="C27" s="18"/>
      <c r="D27" s="6" t="s">
        <v>129</v>
      </c>
      <c r="E27" s="17" t="str">
        <f>IF(IFERROR(C27="",TRUE()),"blank",IF(IFERROR(OR(C27="Yes",C27="No"),FALSE()),"valid","invalid"))</f>
        <v>blank</v>
      </c>
    </row>
    <row r="28" spans="1:5" ht="15" customHeight="1" x14ac:dyDescent="0.3">
      <c r="B28" s="11" t="s">
        <v>130</v>
      </c>
      <c r="C28" s="19">
        <f>COUNTIF($E$9:$E$27,"blank")+COUNTIF($E$9:$E$27,"invalid")</f>
        <v>19</v>
      </c>
    </row>
    <row r="29" spans="1:5" ht="15" customHeight="1" x14ac:dyDescent="0.3">
      <c r="B29" s="11" t="s">
        <v>131</v>
      </c>
      <c r="C29" s="85" t="str">
        <f>IFERROR(IF(AND($C$20="None (chat or single completions)",OR($C$21="Yes",$C$22="Yes",$C$24="Yes")),"Check S12: background operation, local access, or multi-agent answered Yes although autonomy is None.",""),"")</f>
        <v/>
      </c>
      <c r="D29" s="85"/>
    </row>
    <row r="30" spans="1:5" ht="14.25" customHeight="1" x14ac:dyDescent="0.3">
      <c r="B30" t="s">
        <v>131</v>
      </c>
      <c r="C30" t="str">
        <f>IFERROR(IF(AND($C$19="No",$C$20&lt;&gt;"None (chat or single completions)",$C$20&lt;&gt;""),"Check S11/S12: autonomy above None usually implies tool use, but S11 = No.",""),"")</f>
        <v/>
      </c>
    </row>
    <row r="31" spans="1:5" ht="14.25" customHeight="1" x14ac:dyDescent="0.3">
      <c r="B31" t="s">
        <v>131</v>
      </c>
      <c r="C31" t="str">
        <f>IFERROR(IF(AND($C$24="Yes",$C$19="No"),"Check S16/S11: multi-agent or MCP setups use tools or function calling, but S11 = No.",""),"")</f>
        <v/>
      </c>
    </row>
    <row r="32" spans="1:5" ht="14.25" customHeight="1" x14ac:dyDescent="0.3">
      <c r="B32" t="s">
        <v>131</v>
      </c>
      <c r="C32" t="str">
        <f>IFERROR(IF(AND($C$25="Production / OT proximity",$C$26="Assist (informs a human)"),"Check S17/S18: OT-adjacent deployment whose output only informs a human.",""),"")</f>
        <v/>
      </c>
    </row>
    <row r="33" spans="1:3" ht="14.25" customHeight="1" x14ac:dyDescent="0.3">
      <c r="B33" t="s">
        <v>132</v>
      </c>
      <c r="C33" t="str">
        <f>IFERROR(IF(AND($C$27="Yes",'MCP Server Checklist'!$I$2="No",'MCP Client Checklist'!$I$2="No"),"S19 = Yes but neither MCP side is marked Required: the decision stays INCOMPLETE. Mark at least one side Required and assess it, or set S19 = No.",""),"")</f>
        <v/>
      </c>
    </row>
    <row r="34" spans="1:3" ht="14.25" customHeight="1" x14ac:dyDescent="0.3">
      <c r="B34" t="s">
        <v>132</v>
      </c>
      <c r="C34" t="str">
        <f>IFERROR(IF(AND($C$27="No",OR('MCP Server Checklist'!$I$2="Yes",'MCP Client Checklist'!$I$2="Yes")),"S19 = No but an MCP side is marked Required: the decision stays INCOMPLETE. A required checklist is never silently ignored: set the side to Required = No or answer S19 = Yes.",""),"")</f>
        <v/>
      </c>
    </row>
    <row r="35" spans="1:3" ht="14.25" customHeight="1" x14ac:dyDescent="0.3">
      <c r="B35" t="s">
        <v>131</v>
      </c>
      <c r="C35" t="str">
        <f>IFERROR(IF(AND($C$24="Yes",$C$27="No"),"Check S16/S19: multi-agent setups often use MCP; confirm no agent connects to MCP servers or clients.",""),"")</f>
        <v/>
      </c>
    </row>
    <row r="36" spans="1:3" ht="14.25" customHeight="1" x14ac:dyDescent="0.3">
      <c r="B36" s="8" t="s">
        <v>131</v>
      </c>
      <c r="C36" t="str">
        <f>IF(COUNTIF($E$9:$E$27,"invalid")&gt;0,"One or more scoping answers are outside the allowed lists; they count as open questions.","")</f>
        <v/>
      </c>
    </row>
    <row r="38" spans="1:3" ht="57" customHeight="1" x14ac:dyDescent="0.3">
      <c r="A38" t="s">
        <v>133</v>
      </c>
      <c r="B38" s="8" t="s">
        <v>134</v>
      </c>
    </row>
  </sheetData>
  <sheetProtection sheet="1" formatCells="0" formatColumns="0" formatRows="0"/>
  <mergeCells count="2">
    <mergeCell ref="A1:D1"/>
    <mergeCell ref="C29:D29"/>
  </mergeCells>
  <conditionalFormatting sqref="C9:C27">
    <cfRule type="expression" dxfId="20" priority="2">
      <formula>C9=""</formula>
    </cfRule>
  </conditionalFormatting>
  <dataValidations count="9">
    <dataValidation type="list" allowBlank="1" showInputMessage="1" showErrorMessage="1" errorTitle="Invalid entry" error="Please choose a value from the dropdown list." promptTitle="Scoping answer" prompt="Switches: Provider, contract, and supply-chain controls (2.2, 2.3, 2.5, 2.7, 3.9, 5.2, 5.6, 5.8, 7.2, 7.3)." sqref="C9" xr:uid="{00000000-0002-0000-0100-000000000000}">
      <formula1>"External SaaS / API,COTS (on-prem or managed),Self-hosted / open weights,Internal development"</formula1>
      <formula2>0</formula2>
    </dataValidation>
    <dataValidation type="list" allowBlank="1" showInputMessage="1" showErrorMessage="1" errorTitle="Invalid entry" error="Please choose a value from the dropdown list." promptTitle="Scoping answer" prompt="Switches: Production-only operations controls (2.4, 2.6, 5.1, 5.3, 6.1, 6.4, 6.5, 6.6, 8.2, 8.5)." sqref="C10" xr:uid="{00000000-0002-0000-0100-000001000000}">
      <formula1>"Pilot / PoC,Production"</formula1>
      <formula2>0</formula2>
    </dataValidation>
    <dataValidation type="list" allowBlank="1" showInputMessage="1" showErrorMessage="1" errorTitle="Invalid entry" error="Please choose a value from the dropdown list." promptTitle="Scoping answer" prompt="Switches: Privacy controls (4.5, 6.1, 7.1, 7.2)." sqref="C11:C13 C15:C19 C21:C24" xr:uid="{00000000-0002-0000-0100-000002000000}">
      <formula1>"Yes,No"</formula1>
      <formula2>0</formula2>
    </dataValidation>
    <dataValidation type="list" allowBlank="1" showInputMessage="1" showErrorMessage="1" errorTitle="Invalid entry" error="Please choose a value from the dropdown list." promptTitle="Scoping answer" prompt="Switches: Abuse, volume, and external-exposure controls (4.4, 6.3)." sqref="C14" xr:uid="{00000000-0002-0000-0100-000003000000}">
      <formula1>"Internal (limited group),Internal (broad),External / public"</formula1>
      <formula2>0</formula2>
    </dataValidation>
    <dataValidation type="list" allowBlank="1" showInputMessage="1" showErrorMessage="1" errorTitle="Invalid entry" error="Please choose a value from the dropdown list." promptTitle="Scoping answer" prompt="Switches: Activates domain 9 Agentic AI and control 1.5. None = chat/completions only." sqref="C20" xr:uid="{00000000-0002-0000-0100-000004000000}">
      <formula1>"None (chat or single completions),Assisted (human approves every action),Supervised (human approves material actions),Autonomous (acts without per-action approval)"</formula1>
      <formula2>0</formula2>
    </dataValidation>
    <dataValidation type="list" allowBlank="1" showInputMessage="1" showErrorMessage="1" errorTitle="Invalid entry" error="Please choose a value from the dropdown list." promptTitle="Scoping answer" prompt="Switches: Positions the system in the AI Defense Matrix; Production / OT proximity activates control 3.7." sqref="C25" xr:uid="{00000000-0002-0000-0100-000005000000}">
      <formula1>"End user client / endpoint,Cloud or SaaS tenant,Own data center / servers,Network or gateway (inline),Production / OT proximity"</formula1>
      <formula2>0</formula2>
    </dataValidation>
    <dataValidation type="list" allowBlank="1" showInputMessage="1" showErrorMessage="1" errorTitle="Invalid entry" error="Please choose a value from the dropdown list." promptTitle="Scoping answer" prompt="Switches: Sets verdict strictness (readiness minimum and residual threshold, see Lookups); Steer/Intervene keeps human-oversight control 1.4 applicable." sqref="C26" xr:uid="{00000000-0002-0000-0100-000006000000}">
      <formula1>"Assist (informs a human),Steer (controls or prioritizes a process),Intervene (executes changes in systems or the physical world)"</formula1>
      <formula2>0</formula2>
    </dataValidation>
    <dataValidation type="list" showErrorMessage="1" errorTitle="Invalid value" error="Choose Yes or No." sqref="C27" xr:uid="{00000000-0002-0000-0100-000007000000}">
      <formula1>"Yes,No"</formula1>
      <formula2>0</formula2>
    </dataValidation>
    <dataValidation type="date" allowBlank="1" showErrorMessage="1" sqref="C5" xr:uid="{00000000-0002-0000-0100-000008000000}">
      <formula1>DATE(2020,1,1)</formula1>
      <formula2>DATE(2100,12,31)</formula2>
    </dataValidation>
  </dataValidations>
  <pageMargins left="0.75" right="0.75" top="1" bottom="1" header="0.51180555555555596" footer="0.51180555555555596"/>
  <pageSetup paperSize="9" fitToHeight="0" orientation="landscape" horizontalDpi="300" verticalDpi="300"/>
  <headerFooter>
    <oddHeader>&amp;L&amp;A&amp;Rv0.6.8-r4 - &amp;D</oddHeader>
    <oddFooter>&amp;RPage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W69"/>
  <sheetViews>
    <sheetView zoomScaleNormal="100" workbookViewId="0">
      <pane xSplit="4" ySplit="1" topLeftCell="E2" activePane="bottomRight" state="frozen"/>
      <selection pane="topRight" activeCell="E1" sqref="E1"/>
      <selection pane="bottomLeft" activeCell="A2" sqref="A2"/>
      <selection pane="bottomRight"/>
    </sheetView>
  </sheetViews>
  <sheetFormatPr baseColWidth="10" defaultColWidth="9.109375" defaultRowHeight="14.4" outlineLevelCol="1" x14ac:dyDescent="0.3"/>
  <cols>
    <col min="1" max="1" width="7" customWidth="1"/>
    <col min="2" max="2" width="22" customWidth="1"/>
    <col min="3" max="3" width="30" customWidth="1"/>
    <col min="4" max="4" width="58" customWidth="1"/>
    <col min="5" max="5" width="11" customWidth="1"/>
    <col min="6" max="6" width="8" hidden="1" customWidth="1" outlineLevel="1"/>
    <col min="7" max="7" width="11" hidden="1" customWidth="1" outlineLevel="1"/>
    <col min="8" max="8" width="9" hidden="1" customWidth="1" outlineLevel="1"/>
    <col min="9" max="9" width="11" customWidth="1"/>
    <col min="10" max="10" width="10" customWidth="1"/>
    <col min="11" max="11" width="11" customWidth="1"/>
    <col min="12" max="14" width="13" hidden="1" customWidth="1" outlineLevel="1"/>
    <col min="15" max="15" width="28" customWidth="1"/>
    <col min="16" max="16" width="16" hidden="1" customWidth="1" outlineLevel="1"/>
    <col min="17" max="17" width="30" hidden="1" customWidth="1" outlineLevel="1"/>
    <col min="18" max="18" width="12" hidden="1" customWidth="1" outlineLevel="1"/>
    <col min="19" max="19" width="16" hidden="1" customWidth="1" outlineLevel="1"/>
    <col min="20" max="20" width="28" hidden="1" customWidth="1" outlineLevel="1"/>
    <col min="21" max="21" width="16" customWidth="1" outlineLevel="1"/>
    <col min="22" max="22" width="34" hidden="1" customWidth="1" outlineLevel="1"/>
    <col min="23" max="23" width="80" hidden="1" customWidth="1" outlineLevel="1"/>
    <col min="24" max="26" width="20" hidden="1" customWidth="1" outlineLevel="1"/>
    <col min="27" max="30" width="10" hidden="1" customWidth="1"/>
    <col min="31" max="31" width="16" hidden="1" customWidth="1"/>
    <col min="32" max="34" width="14" hidden="1" customWidth="1"/>
    <col min="35" max="49" width="12" hidden="1" customWidth="1"/>
  </cols>
  <sheetData>
    <row r="1" spans="1:49" ht="45" customHeight="1" x14ac:dyDescent="0.3">
      <c r="A1" s="5" t="s">
        <v>68</v>
      </c>
      <c r="B1" s="5" t="s">
        <v>135</v>
      </c>
      <c r="C1" s="5" t="s">
        <v>136</v>
      </c>
      <c r="D1" s="5" t="s">
        <v>137</v>
      </c>
      <c r="E1" s="5" t="s">
        <v>138</v>
      </c>
      <c r="F1" s="5" t="s">
        <v>139</v>
      </c>
      <c r="G1" s="5" t="s">
        <v>140</v>
      </c>
      <c r="H1" s="5" t="s">
        <v>141</v>
      </c>
      <c r="I1" s="5" t="s">
        <v>142</v>
      </c>
      <c r="J1" s="5" t="s">
        <v>143</v>
      </c>
      <c r="K1" s="5" t="s">
        <v>144</v>
      </c>
      <c r="L1" s="5" t="s">
        <v>145</v>
      </c>
      <c r="M1" s="5" t="s">
        <v>146</v>
      </c>
      <c r="N1" s="5" t="s">
        <v>147</v>
      </c>
      <c r="O1" s="5" t="s">
        <v>148</v>
      </c>
      <c r="P1" s="5" t="s">
        <v>149</v>
      </c>
      <c r="Q1" s="5" t="s">
        <v>150</v>
      </c>
      <c r="R1" s="5" t="s">
        <v>151</v>
      </c>
      <c r="S1" s="5" t="s">
        <v>152</v>
      </c>
      <c r="T1" s="5" t="s">
        <v>153</v>
      </c>
      <c r="U1" s="5" t="s">
        <v>154</v>
      </c>
      <c r="V1" s="5" t="s">
        <v>155</v>
      </c>
      <c r="W1" s="5" t="s">
        <v>156</v>
      </c>
      <c r="X1" s="20" t="s">
        <v>157</v>
      </c>
      <c r="Y1" s="20" t="s">
        <v>158</v>
      </c>
      <c r="Z1" s="20" t="s">
        <v>159</v>
      </c>
      <c r="AA1" t="s">
        <v>160</v>
      </c>
      <c r="AB1" t="s">
        <v>161</v>
      </c>
      <c r="AC1" t="s">
        <v>162</v>
      </c>
      <c r="AD1" t="s">
        <v>163</v>
      </c>
      <c r="AE1" t="s">
        <v>164</v>
      </c>
      <c r="AF1" t="s">
        <v>165</v>
      </c>
      <c r="AG1" t="s">
        <v>166</v>
      </c>
      <c r="AH1" t="s">
        <v>167</v>
      </c>
      <c r="AI1" s="21" t="s">
        <v>168</v>
      </c>
      <c r="AJ1" s="21" t="s">
        <v>169</v>
      </c>
      <c r="AK1" s="21" t="s">
        <v>170</v>
      </c>
      <c r="AL1" s="21" t="s">
        <v>171</v>
      </c>
      <c r="AM1" s="21" t="s">
        <v>172</v>
      </c>
      <c r="AN1" s="21" t="s">
        <v>173</v>
      </c>
      <c r="AO1" s="21" t="s">
        <v>174</v>
      </c>
      <c r="AP1" s="21" t="s">
        <v>175</v>
      </c>
      <c r="AQ1" s="21" t="s">
        <v>176</v>
      </c>
      <c r="AR1" s="21" t="s">
        <v>177</v>
      </c>
      <c r="AS1" s="21" t="s">
        <v>178</v>
      </c>
      <c r="AT1" s="21" t="s">
        <v>179</v>
      </c>
      <c r="AU1" s="21" t="s">
        <v>180</v>
      </c>
      <c r="AV1" s="21" t="s">
        <v>181</v>
      </c>
      <c r="AW1" s="21" t="s">
        <v>182</v>
      </c>
    </row>
    <row r="2" spans="1:49" ht="45" customHeight="1" x14ac:dyDescent="0.3">
      <c r="A2" s="22" t="s">
        <v>183</v>
      </c>
      <c r="B2" s="23" t="s">
        <v>184</v>
      </c>
      <c r="C2" s="24" t="s">
        <v>185</v>
      </c>
      <c r="D2" s="24" t="s">
        <v>186</v>
      </c>
      <c r="E2" s="25" t="s">
        <v>187</v>
      </c>
      <c r="F2" s="26">
        <f>IFERROR(IF($E2="Blocker",Lookups!$B$8,IF($E2="Major",Lookups!$B$9,IF($E2="Moderate",Lookups!$B$10,IF($E2="Minor",Lookups!$B$11,0)))),0)</f>
        <v>4</v>
      </c>
      <c r="G2" s="16">
        <v>3</v>
      </c>
      <c r="H2" s="16">
        <v>3</v>
      </c>
      <c r="I2" s="27" t="str">
        <f>IFERROR(IF(OR($J2="Yes",$J2="No"),$J2,"Yes"),"Yes")</f>
        <v>Yes</v>
      </c>
      <c r="J2" s="25"/>
      <c r="K2" s="25"/>
      <c r="L2" s="27" t="str">
        <f t="shared" ref="L2:L33" si="0">IFERROR(IF(OR($I2="No",$K2="N/A"),"",IF($K2="Yes",1,IF($K2="Partial",0.5,IF($K2="No",0,"")))),"")</f>
        <v/>
      </c>
      <c r="M2" s="27">
        <f t="shared" ref="M2:M33" si="1">IFERROR(IF(OR($I2="No",$K2="N/A"),"",$F2*IF(OR($G2="",NOT(ISNUMBER($G2))),3,$G2)*IF(OR($H2="",NOT(ISNUMBER($H2))),3,$H2)*IF($K2="",1,1-$L2)),"")</f>
        <v>36</v>
      </c>
      <c r="N2" s="27" t="str">
        <f t="shared" ref="N2:N33" si="2">IFERROR(IF(OR($I2="No",$K2="N/A",$K2=""),"",IF(AND(IFERROR(AND($S2="Accepted Risk",$AM2=0),FALSE()),OR(AND($E2="Blocker",OR($K2="No",$K2="Partial")),AND($E2="Major",$K2="No"))),IF(AND($E2="Blocker",$K2="No"),"BLOCK",IF(AND($E2="Blocker",$K2="Partial"),IF(p_stage="Pilot / PoC","ESCALATE","BLOCK"),IF(AND($E2="Major",$K2="No"),"ESCALATE","")))&amp;" (exempted)",IF(AND($E2="Blocker",$K2="No"),"BLOCK",IF(AND($E2="Blocker",$K2="Partial"),IF(p_stage="Pilot / PoC","ESCALATE","BLOCK"),IF(AND($E2="Major",$K2="No"),"ESCALATE",""))))),"")</f>
        <v/>
      </c>
      <c r="O2" s="25"/>
      <c r="P2" s="25"/>
      <c r="Q2" s="25"/>
      <c r="R2" s="28"/>
      <c r="S2" s="25"/>
      <c r="T2" s="25"/>
      <c r="U2" s="29" t="str">
        <f t="shared" ref="U2:U33" si="3">_xlfn.TEXTJOIN("; ",TRUE(),$AV2,$AW2,IF($AP2&gt;0,"Evidence missing or unusable",""))</f>
        <v/>
      </c>
      <c r="V2" s="24"/>
      <c r="W2" s="24" t="s">
        <v>188</v>
      </c>
      <c r="X2" s="13"/>
      <c r="Y2" s="13"/>
      <c r="Z2" s="14"/>
      <c r="AA2" t="str">
        <f t="shared" ref="AA2:AA33" si="4">IF($AN2&gt;0,$A2,"")</f>
        <v/>
      </c>
      <c r="AB2" t="str">
        <f t="shared" ref="AB2:AB33" si="5">IF($AO2&gt;0,$A2,"")</f>
        <v/>
      </c>
      <c r="AC2" t="str">
        <f t="shared" ref="AC2:AC33" si="6">IF($AQ2&gt;0,$A2&amp;" ("&amp;$U2&amp;")","")</f>
        <v/>
      </c>
      <c r="AD2" t="s">
        <v>187</v>
      </c>
      <c r="AF2">
        <f>IF(OR(IFERROR(NOT(OR($J2="",$J2="Yes",$J2="No")),TRUE()),IFERROR(IF($E2="",$I2="Yes",NOT(OR($E2="Blocker",$E2="Major",$E2="Moderate",$E2="Minor"))),TRUE()),IFERROR(IF($J2&lt;&gt;"",$T2="",FALSE()),TRUE()),IFERROR(IF(AND($A2="2.7",$I2="Yes",p_confidential="Yes"),$E2&lt;&gt;"Blocker",FALSE()),TRUE()),IFERROR(IF(AND($A2="5.8",$I2="Yes"),OR($E2="Moderate",$E2="Minor"),FALSE()),TRUE()),IF(IFERROR(AND($J2="No",$AI2="Yes",OR($AD2="Blocker",AND($A2="2.7",p_confidential="Yes"))),FALSE()),NOT(AND(IFERROR($X2&lt;&gt;"",FALSE()),IFERROR($Y2&lt;&gt;"",FALSE()),IFERROR(AND(ISNUMBER($Z2),$Z2&gt;=DATE(2020,1,1),$Z2&lt;=DATE(2100,12,31)),FALSE()))),FALSE()),IF(IFERROR(IF(OR($E2="Blocker",$E2="Major",$E2="Moderate",$E2="Minor"),$F2&lt;IF($AD2="Blocker",Lookups!$B$8,IF($AD2="Major",Lookups!$B$9,IF($AD2="Moderate",Lookups!$B$10,Lookups!$B$11))),FALSE()),FALSE()),NOT(AND(IFERROR($T2&lt;&gt;"",FALSE()),IFERROR($Y2&lt;&gt;"",FALSE()),IF(IFERROR($Z2&lt;&gt;"",FALSE()),IFERROR(AND(ISNUMBER($Z2),$Z2&gt;=DATE(2020,1,1),$Z2&lt;=DATE(2100,12,31)),FALSE()),NOT(ISERROR($Z2))))),FALSE())),1,0)</f>
        <v>0</v>
      </c>
      <c r="AG2">
        <f t="shared" ref="AG2:AG33" si="7">IF(OR(ISERROR($E2),ISERROR($G2),ISERROR($H2),ISERROR($J2),ISERROR($K2),ISERROR($O2),ISERROR($P2),ISERROR($Q2),ISERROR($R2),ISERROR($S2),ISERROR($T2),ISERROR($X2),ISERROR($Y2),ISERROR($Z2)),1,0)</f>
        <v>0</v>
      </c>
      <c r="AH2" t="str">
        <f t="shared" ref="AH2:AH33" si="8">IF($AF2&gt;0,$A2&amp;" ("&amp;$AV2&amp;")","")</f>
        <v/>
      </c>
      <c r="AI2" t="str">
        <f>IFERROR("Yes","Yes")</f>
        <v>Yes</v>
      </c>
      <c r="AJ2">
        <f t="shared" ref="AJ2:AJ33" si="9">IF(IFERROR(NOT(OR($K2="",$K2="Yes",$K2="Partial",$K2="No",$K2="N/A")),TRUE()),1,0)</f>
        <v>0</v>
      </c>
      <c r="AK2">
        <f t="shared" ref="AK2:AK33" si="10">IF(OR(IFERROR(IF($G2="",AND($I2="Yes",$K2&lt;&gt;""),IF(ISNUMBER($G2),OR($G2&lt;1,$G2&gt;5,$G2&lt;&gt;INT($G2)),TRUE())),TRUE()),IFERROR(IF($H2="",AND($I2="Yes",$K2&lt;&gt;""),IF(ISNUMBER($H2),OR($H2&lt;1,$H2&gt;5,$H2&lt;&gt;INT($H2)),TRUE())),TRUE())),1,0)</f>
        <v>0</v>
      </c>
      <c r="AL2">
        <f t="shared" ref="AL2:AL33" si="11">IF(IFERROR(NOT(OR($S2="",$S2="Open",$S2="In progress",$S2="Remediated",$S2="Accepted Risk",$S2="Not applicable")),TRUE()),1,0)</f>
        <v>0</v>
      </c>
      <c r="AM2">
        <f t="shared" ref="AM2:AM33" si="12">IF(OR(IFERROR(IF($S2="Accepted Risk",OR($X2="",$Y2="",$Z2=""),FALSE()),TRUE()),IF(IFERROR($Z2&lt;&gt;"",FALSE()),NOT(IFERROR(AND(ISNUMBER($Z2),$Z2&gt;=DATE(2020,1,1),$Z2&lt;=DATE(2100,12,31)),FALSE())),ISERROR($Z2))),1,0)</f>
        <v>0</v>
      </c>
      <c r="AN2">
        <f t="shared" ref="AN2:AN33" si="13">IF(IFERROR(AND($I2="Yes",$K2="N/A"),FALSE()),1,0)</f>
        <v>0</v>
      </c>
      <c r="AO2">
        <f t="shared" ref="AO2:AO33" si="14">IF(IFERROR(IF($J2&lt;&gt;"",$T2="",FALSE()),TRUE()),1,0)</f>
        <v>0</v>
      </c>
      <c r="AP2">
        <f t="shared" ref="AP2:AP33" si="15">IF(IFERROR(IF($I2="Yes",IF(OR($K2="Yes",$K2="Partial"),IF(ISERROR($O2),TRUE(),$O2=""),FALSE()),FALSE()),FALSE()),1,0)</f>
        <v>0</v>
      </c>
      <c r="AQ2">
        <f t="shared" ref="AQ2:AQ33" si="16">IF(OR($AF2&gt;0,$AG2&gt;0,$AJ2&gt;0,$AK2&gt;0,$AL2&gt;0,$AM2&gt;0,$AN2&gt;0,$AO2&gt;0),1,0)</f>
        <v>0</v>
      </c>
      <c r="AR2">
        <f t="shared" ref="AR2:AR33" si="17">IF(IFERROR(AND($I2="Yes",OR($K2="Yes",$K2="Partial",$K2="No")),FALSE()),1,0)</f>
        <v>0</v>
      </c>
      <c r="AS2">
        <f t="shared" ref="AS2:AS33" si="18">IFERROR(IF($AR2=1,$F2*$L2,0),0)</f>
        <v>0</v>
      </c>
      <c r="AT2">
        <f t="shared" ref="AT2:AT33" si="19">IFERROR(IF($AR2=1,$F2,0),0)</f>
        <v>0</v>
      </c>
      <c r="AU2" t="str">
        <f>_xlfn.TEXTJOIN(", ",TRUE(),IF(ISERROR($E2),"E2",""),IF(ISERROR($G2),"G2",""),IF(ISERROR($H2),"H2",""),IF(ISERROR($J2),"J2",""),IF(ISERROR($K2),"K2",""),IF(ISERROR($O2),"O2",""),IF(ISERROR($P2),"P2",""),IF(ISERROR($Q2),"Q2",""),IF(ISERROR($R2),"R2",""),IF(ISERROR($S2),"S2",""),IF(ISERROR($T2),"T2",""),IF(ISERROR($X2),"X2",""),IF(ISERROR($Y2),"Y2",""),IF(ISERROR($Z2),"Z2",""))</f>
        <v/>
      </c>
      <c r="AV2" t="str">
        <f>_xlfn.TEXTJOIN("; ",TRUE(),IF(IFERROR(NOT(OR($J2="",$J2="Yes",$J2="No")),TRUE()),"Invalid override value (J)",""),IF(IFERROR(IF($E2="",$I2="Yes",NOT(OR($E2="Blocker",$E2="Major",$E2="Moderate",$E2="Minor"))),TRUE()),"Invalid or missing criticality (E)",""),IF(IFERROR(IF($J2&lt;&gt;"",$T2="",FALSE()),TRUE()),"Override rationale missing / invalid (T)",""),IF(IFERROR(IF(AND($A2="2.7",$I2="Yes",p_confidential="Yes"),$E2&lt;&gt;"Blocker",FALSE()),TRUE()),"2.7 must be Blocker when S4 = Yes",""),IF(IFERROR(IF(AND($A2="5.8",$I2="Yes"),OR($E2="Moderate",$E2="Minor"),FALSE()),TRUE()),"5.8 should be at least Major",""),IF(IF(IFERROR(AND($J2="No",$AI2="Yes",OR($AD2="Blocker",AND($A2="2.7",p_confidential="Yes"))),FALSE()),NOT(AND(IFERROR($X2&lt;&gt;"",FALSE()),IFERROR($Y2&lt;&gt;"",FALSE()),IFERROR(AND(ISNUMBER($Z2),$Z2&gt;=DATE(2020,1,1),$Z2&lt;=DATE(2100,12,31)),FALSE()))),FALSE()),"Blocker de-scope review missing / invalid (X-Z)",""),IF(IF(IFERROR(IF(OR($E2="Blocker",$E2="Major",$E2="Moderate",$E2="Minor"),$F2&lt;IF($AD2="Blocker",Lookups!$B$8,IF($AD2="Major",Lookups!$B$9,IF($AD2="Moderate",Lookups!$B$10,Lookups!$B$11))),FALSE()),FALSE()),NOT(AND(IFERROR($T2&lt;&gt;"",FALSE()),IFERROR($Y2&lt;&gt;"",FALSE()),IF(IFERROR($Z2&lt;&gt;"",FALSE()),IFERROR(AND(ISNUMBER($Z2),$Z2&gt;=DATE(2020,1,1),$Z2&lt;=DATE(2100,12,31)),FALSE()),NOT(ISERROR($Z2))))),FALSE()),"Criticality below baseline: review missing / invalid (T,Y,Z)",""))</f>
        <v/>
      </c>
      <c r="AW2" t="str">
        <f t="shared" ref="AW2:AW33" si="20">_xlfn.TEXTJOIN("; ",TRUE(),IF($AJ2&gt;0,"Invalid response value (K)",""),IF($AK2&gt;0,"Likelihood/Impact missing or not integer 1-5 (G,H)",""),IF($AL2&gt;0,"Invalid status value (S)",""),IF($AM2&gt;0,_xlfn.TEXTJOIN("; ",TRUE(),IF(IFERROR(AND($S2="Accepted Risk",$X2=""),FALSE()),"Exemption reference (X) missing",""),IF(IFERROR(AND($S2="Accepted Risk",$Y2=""),FALSE()),"Exemption approver (Y) missing",""),IF(IFERROR(AND($S2="Accepted Risk",$Z2=""),FALSE()),"Exemption date (Z) missing",""),IF(ISERROR($Z2),"Exemption date (Z) invalid - error value",IF(IFERROR(AND($Z2&lt;&gt;"",NOT(AND(ISNUMBER($Z2),$Z2&gt;=DATE(2020,1,1),$Z2&lt;=DATE(2100,12,31)))),FALSE()),"Exemption date (Z) invalid - enter a real date","")),IF(OR(ISERROR($S2),ISERROR($X2),ISERROR($Y2)),"Exemption inputs contain an error value (S,X,Y)","")),""),IF($AG2&gt;0,"Input/calculation fault at "&amp;$AU2,""),IF($AN2&gt;0,"N/A on applicable row",""))</f>
        <v/>
      </c>
    </row>
    <row r="3" spans="1:49" ht="45" customHeight="1" x14ac:dyDescent="0.3">
      <c r="A3" s="22" t="s">
        <v>189</v>
      </c>
      <c r="B3" s="23" t="s">
        <v>184</v>
      </c>
      <c r="C3" s="24" t="s">
        <v>185</v>
      </c>
      <c r="D3" s="24" t="s">
        <v>190</v>
      </c>
      <c r="E3" s="25" t="s">
        <v>191</v>
      </c>
      <c r="F3" s="26">
        <f>IFERROR(IF($E3="Blocker",Lookups!$B$8,IF($E3="Major",Lookups!$B$9,IF($E3="Moderate",Lookups!$B$10,IF($E3="Minor",Lookups!$B$11,0)))),0)</f>
        <v>5</v>
      </c>
      <c r="G3" s="16">
        <v>4</v>
      </c>
      <c r="H3" s="16">
        <v>5</v>
      </c>
      <c r="I3" s="27" t="str">
        <f>IFERROR(IF(OR($J3="Yes",$J3="No"),$J3,"Yes"),"Yes")</f>
        <v>Yes</v>
      </c>
      <c r="J3" s="25"/>
      <c r="K3" s="25"/>
      <c r="L3" s="27" t="str">
        <f t="shared" si="0"/>
        <v/>
      </c>
      <c r="M3" s="27">
        <f t="shared" si="1"/>
        <v>100</v>
      </c>
      <c r="N3" s="27" t="str">
        <f t="shared" si="2"/>
        <v/>
      </c>
      <c r="O3" s="25"/>
      <c r="P3" s="25"/>
      <c r="Q3" s="25"/>
      <c r="R3" s="28"/>
      <c r="S3" s="25"/>
      <c r="T3" s="25"/>
      <c r="U3" s="29" t="str">
        <f t="shared" si="3"/>
        <v/>
      </c>
      <c r="V3" s="24"/>
      <c r="W3" s="24" t="s">
        <v>192</v>
      </c>
      <c r="X3" s="13"/>
      <c r="Y3" s="13"/>
      <c r="Z3" s="14"/>
      <c r="AA3" t="str">
        <f t="shared" si="4"/>
        <v/>
      </c>
      <c r="AB3" t="str">
        <f t="shared" si="5"/>
        <v/>
      </c>
      <c r="AC3" t="str">
        <f t="shared" si="6"/>
        <v/>
      </c>
      <c r="AD3" t="s">
        <v>191</v>
      </c>
      <c r="AF3">
        <f>IF(OR(IFERROR(NOT(OR($J3="",$J3="Yes",$J3="No")),TRUE()),IFERROR(IF($E3="",$I3="Yes",NOT(OR($E3="Blocker",$E3="Major",$E3="Moderate",$E3="Minor"))),TRUE()),IFERROR(IF($J3&lt;&gt;"",$T3="",FALSE()),TRUE()),IFERROR(IF(AND($A3="2.7",$I3="Yes",p_confidential="Yes"),$E3&lt;&gt;"Blocker",FALSE()),TRUE()),IFERROR(IF(AND($A3="5.8",$I3="Yes"),OR($E3="Moderate",$E3="Minor"),FALSE()),TRUE()),IF(IFERROR(AND($J3="No",$AI3="Yes",OR($AD3="Blocker",AND($A3="2.7",p_confidential="Yes"))),FALSE()),NOT(AND(IFERROR($X3&lt;&gt;"",FALSE()),IFERROR($Y3&lt;&gt;"",FALSE()),IFERROR(AND(ISNUMBER($Z3),$Z3&gt;=DATE(2020,1,1),$Z3&lt;=DATE(2100,12,31)),FALSE()))),FALSE()),IF(IFERROR(IF(OR($E3="Blocker",$E3="Major",$E3="Moderate",$E3="Minor"),$F3&lt;IF($AD3="Blocker",Lookups!$B$8,IF($AD3="Major",Lookups!$B$9,IF($AD3="Moderate",Lookups!$B$10,Lookups!$B$11))),FALSE()),FALSE()),NOT(AND(IFERROR($T3&lt;&gt;"",FALSE()),IFERROR($Y3&lt;&gt;"",FALSE()),IF(IFERROR($Z3&lt;&gt;"",FALSE()),IFERROR(AND(ISNUMBER($Z3),$Z3&gt;=DATE(2020,1,1),$Z3&lt;=DATE(2100,12,31)),FALSE()),NOT(ISERROR($Z3))))),FALSE())),1,0)</f>
        <v>0</v>
      </c>
      <c r="AG3">
        <f t="shared" si="7"/>
        <v>0</v>
      </c>
      <c r="AH3" t="str">
        <f t="shared" si="8"/>
        <v/>
      </c>
      <c r="AI3" t="str">
        <f>IFERROR("Yes","Yes")</f>
        <v>Yes</v>
      </c>
      <c r="AJ3">
        <f t="shared" si="9"/>
        <v>0</v>
      </c>
      <c r="AK3">
        <f t="shared" si="10"/>
        <v>0</v>
      </c>
      <c r="AL3">
        <f t="shared" si="11"/>
        <v>0</v>
      </c>
      <c r="AM3">
        <f t="shared" si="12"/>
        <v>0</v>
      </c>
      <c r="AN3">
        <f t="shared" si="13"/>
        <v>0</v>
      </c>
      <c r="AO3">
        <f t="shared" si="14"/>
        <v>0</v>
      </c>
      <c r="AP3">
        <f t="shared" si="15"/>
        <v>0</v>
      </c>
      <c r="AQ3">
        <f t="shared" si="16"/>
        <v>0</v>
      </c>
      <c r="AR3">
        <f t="shared" si="17"/>
        <v>0</v>
      </c>
      <c r="AS3">
        <f t="shared" si="18"/>
        <v>0</v>
      </c>
      <c r="AT3">
        <f t="shared" si="19"/>
        <v>0</v>
      </c>
      <c r="AU3" t="str">
        <f>_xlfn.TEXTJOIN(", ",TRUE(),IF(ISERROR($E3),"E3",""),IF(ISERROR($G3),"G3",""),IF(ISERROR($H3),"H3",""),IF(ISERROR($J3),"J3",""),IF(ISERROR($K3),"K3",""),IF(ISERROR($O3),"O3",""),IF(ISERROR($P3),"P3",""),IF(ISERROR($Q3),"Q3",""),IF(ISERROR($R3),"R3",""),IF(ISERROR($S3),"S3",""),IF(ISERROR($T3),"T3",""),IF(ISERROR($X3),"X3",""),IF(ISERROR($Y3),"Y3",""),IF(ISERROR($Z3),"Z3",""))</f>
        <v/>
      </c>
      <c r="AV3" t="str">
        <f>_xlfn.TEXTJOIN("; ",TRUE(),IF(IFERROR(NOT(OR($J3="",$J3="Yes",$J3="No")),TRUE()),"Invalid override value (J)",""),IF(IFERROR(IF($E3="",$I3="Yes",NOT(OR($E3="Blocker",$E3="Major",$E3="Moderate",$E3="Minor"))),TRUE()),"Invalid or missing criticality (E)",""),IF(IFERROR(IF($J3&lt;&gt;"",$T3="",FALSE()),TRUE()),"Override rationale missing / invalid (T)",""),IF(IFERROR(IF(AND($A3="2.7",$I3="Yes",p_confidential="Yes"),$E3&lt;&gt;"Blocker",FALSE()),TRUE()),"2.7 must be Blocker when S4 = Yes",""),IF(IFERROR(IF(AND($A3="5.8",$I3="Yes"),OR($E3="Moderate",$E3="Minor"),FALSE()),TRUE()),"5.8 should be at least Major",""),IF(IF(IFERROR(AND($J3="No",$AI3="Yes",OR($AD3="Blocker",AND($A3="2.7",p_confidential="Yes"))),FALSE()),NOT(AND(IFERROR($X3&lt;&gt;"",FALSE()),IFERROR($Y3&lt;&gt;"",FALSE()),IFERROR(AND(ISNUMBER($Z3),$Z3&gt;=DATE(2020,1,1),$Z3&lt;=DATE(2100,12,31)),FALSE()))),FALSE()),"Blocker de-scope review missing / invalid (X-Z)",""),IF(IF(IFERROR(IF(OR($E3="Blocker",$E3="Major",$E3="Moderate",$E3="Minor"),$F3&lt;IF($AD3="Blocker",Lookups!$B$8,IF($AD3="Major",Lookups!$B$9,IF($AD3="Moderate",Lookups!$B$10,Lookups!$B$11))),FALSE()),FALSE()),NOT(AND(IFERROR($T3&lt;&gt;"",FALSE()),IFERROR($Y3&lt;&gt;"",FALSE()),IF(IFERROR($Z3&lt;&gt;"",FALSE()),IFERROR(AND(ISNUMBER($Z3),$Z3&gt;=DATE(2020,1,1),$Z3&lt;=DATE(2100,12,31)),FALSE()),NOT(ISERROR($Z3))))),FALSE()),"Criticality below baseline: review missing / invalid (T,Y,Z)",""))</f>
        <v/>
      </c>
      <c r="AW3" t="str">
        <f t="shared" si="20"/>
        <v/>
      </c>
    </row>
    <row r="4" spans="1:49" ht="45" customHeight="1" x14ac:dyDescent="0.3">
      <c r="A4" s="22" t="s">
        <v>193</v>
      </c>
      <c r="B4" s="23" t="s">
        <v>184</v>
      </c>
      <c r="C4" s="24" t="s">
        <v>194</v>
      </c>
      <c r="D4" s="24" t="s">
        <v>195</v>
      </c>
      <c r="E4" s="25" t="s">
        <v>191</v>
      </c>
      <c r="F4" s="26">
        <f>IFERROR(IF($E4="Blocker",Lookups!$B$8,IF($E4="Major",Lookups!$B$9,IF($E4="Moderate",Lookups!$B$10,IF($E4="Minor",Lookups!$B$11,0)))),0)</f>
        <v>5</v>
      </c>
      <c r="G4" s="16">
        <v>3</v>
      </c>
      <c r="H4" s="16">
        <v>5</v>
      </c>
      <c r="I4" s="27" t="str">
        <f>IFERROR(IF(OR($J4="Yes",$J4="No"),$J4,IF(p_eu="No","No","Yes")),"Yes")</f>
        <v>Yes</v>
      </c>
      <c r="J4" s="25"/>
      <c r="K4" s="25"/>
      <c r="L4" s="27" t="str">
        <f t="shared" si="0"/>
        <v/>
      </c>
      <c r="M4" s="27">
        <f t="shared" si="1"/>
        <v>75</v>
      </c>
      <c r="N4" s="27" t="str">
        <f t="shared" si="2"/>
        <v/>
      </c>
      <c r="O4" s="25"/>
      <c r="P4" s="25"/>
      <c r="Q4" s="25"/>
      <c r="R4" s="28"/>
      <c r="S4" s="25"/>
      <c r="T4" s="25"/>
      <c r="U4" s="29" t="str">
        <f t="shared" si="3"/>
        <v/>
      </c>
      <c r="V4" s="24"/>
      <c r="W4" s="24" t="s">
        <v>196</v>
      </c>
      <c r="X4" s="13"/>
      <c r="Y4" s="13"/>
      <c r="Z4" s="14"/>
      <c r="AA4" t="str">
        <f t="shared" si="4"/>
        <v/>
      </c>
      <c r="AB4" t="str">
        <f t="shared" si="5"/>
        <v/>
      </c>
      <c r="AC4" t="str">
        <f t="shared" si="6"/>
        <v/>
      </c>
      <c r="AD4" t="s">
        <v>191</v>
      </c>
      <c r="AF4">
        <f>IF(OR(IFERROR(NOT(OR($J4="",$J4="Yes",$J4="No")),TRUE()),IFERROR(IF($E4="",$I4="Yes",NOT(OR($E4="Blocker",$E4="Major",$E4="Moderate",$E4="Minor"))),TRUE()),IFERROR(IF($J4&lt;&gt;"",$T4="",FALSE()),TRUE()),IFERROR(IF(AND($A4="2.7",$I4="Yes",p_confidential="Yes"),$E4&lt;&gt;"Blocker",FALSE()),TRUE()),IFERROR(IF(AND($A4="5.8",$I4="Yes"),OR($E4="Moderate",$E4="Minor"),FALSE()),TRUE()),IF(IFERROR(AND($J4="No",$AI4="Yes",OR($AD4="Blocker",AND($A4="2.7",p_confidential="Yes"))),FALSE()),NOT(AND(IFERROR($X4&lt;&gt;"",FALSE()),IFERROR($Y4&lt;&gt;"",FALSE()),IFERROR(AND(ISNUMBER($Z4),$Z4&gt;=DATE(2020,1,1),$Z4&lt;=DATE(2100,12,31)),FALSE()))),FALSE()),IF(IFERROR(IF(OR($E4="Blocker",$E4="Major",$E4="Moderate",$E4="Minor"),$F4&lt;IF($AD4="Blocker",Lookups!$B$8,IF($AD4="Major",Lookups!$B$9,IF($AD4="Moderate",Lookups!$B$10,Lookups!$B$11))),FALSE()),FALSE()),NOT(AND(IFERROR($T4&lt;&gt;"",FALSE()),IFERROR($Y4&lt;&gt;"",FALSE()),IF(IFERROR($Z4&lt;&gt;"",FALSE()),IFERROR(AND(ISNUMBER($Z4),$Z4&gt;=DATE(2020,1,1),$Z4&lt;=DATE(2100,12,31)),FALSE()),NOT(ISERROR($Z4))))),FALSE())),1,0)</f>
        <v>0</v>
      </c>
      <c r="AG4">
        <f t="shared" si="7"/>
        <v>0</v>
      </c>
      <c r="AH4" t="str">
        <f t="shared" si="8"/>
        <v/>
      </c>
      <c r="AI4" t="str">
        <f>IFERROR(IF(p_eu="No","No","Yes"),"Yes")</f>
        <v>Yes</v>
      </c>
      <c r="AJ4">
        <f t="shared" si="9"/>
        <v>0</v>
      </c>
      <c r="AK4">
        <f t="shared" si="10"/>
        <v>0</v>
      </c>
      <c r="AL4">
        <f t="shared" si="11"/>
        <v>0</v>
      </c>
      <c r="AM4">
        <f t="shared" si="12"/>
        <v>0</v>
      </c>
      <c r="AN4">
        <f t="shared" si="13"/>
        <v>0</v>
      </c>
      <c r="AO4">
        <f t="shared" si="14"/>
        <v>0</v>
      </c>
      <c r="AP4">
        <f t="shared" si="15"/>
        <v>0</v>
      </c>
      <c r="AQ4">
        <f t="shared" si="16"/>
        <v>0</v>
      </c>
      <c r="AR4">
        <f t="shared" si="17"/>
        <v>0</v>
      </c>
      <c r="AS4">
        <f t="shared" si="18"/>
        <v>0</v>
      </c>
      <c r="AT4">
        <f t="shared" si="19"/>
        <v>0</v>
      </c>
      <c r="AU4" t="str">
        <f>_xlfn.TEXTJOIN(", ",TRUE(),IF(ISERROR($E4),"E4",""),IF(ISERROR($G4),"G4",""),IF(ISERROR($H4),"H4",""),IF(ISERROR($J4),"J4",""),IF(ISERROR($K4),"K4",""),IF(ISERROR($O4),"O4",""),IF(ISERROR($P4),"P4",""),IF(ISERROR($Q4),"Q4",""),IF(ISERROR($R4),"R4",""),IF(ISERROR($S4),"S4",""),IF(ISERROR($T4),"T4",""),IF(ISERROR($X4),"X4",""),IF(ISERROR($Y4),"Y4",""),IF(ISERROR($Z4),"Z4",""))</f>
        <v/>
      </c>
      <c r="AV4" t="str">
        <f>_xlfn.TEXTJOIN("; ",TRUE(),IF(IFERROR(NOT(OR($J4="",$J4="Yes",$J4="No")),TRUE()),"Invalid override value (J)",""),IF(IFERROR(IF($E4="",$I4="Yes",NOT(OR($E4="Blocker",$E4="Major",$E4="Moderate",$E4="Minor"))),TRUE()),"Invalid or missing criticality (E)",""),IF(IFERROR(IF($J4&lt;&gt;"",$T4="",FALSE()),TRUE()),"Override rationale missing / invalid (T)",""),IF(IFERROR(IF(AND($A4="2.7",$I4="Yes",p_confidential="Yes"),$E4&lt;&gt;"Blocker",FALSE()),TRUE()),"2.7 must be Blocker when S4 = Yes",""),IF(IFERROR(IF(AND($A4="5.8",$I4="Yes"),OR($E4="Moderate",$E4="Minor"),FALSE()),TRUE()),"5.8 should be at least Major",""),IF(IF(IFERROR(AND($J4="No",$AI4="Yes",OR($AD4="Blocker",AND($A4="2.7",p_confidential="Yes"))),FALSE()),NOT(AND(IFERROR($X4&lt;&gt;"",FALSE()),IFERROR($Y4&lt;&gt;"",FALSE()),IFERROR(AND(ISNUMBER($Z4),$Z4&gt;=DATE(2020,1,1),$Z4&lt;=DATE(2100,12,31)),FALSE()))),FALSE()),"Blocker de-scope review missing / invalid (X-Z)",""),IF(IF(IFERROR(IF(OR($E4="Blocker",$E4="Major",$E4="Moderate",$E4="Minor"),$F4&lt;IF($AD4="Blocker",Lookups!$B$8,IF($AD4="Major",Lookups!$B$9,IF($AD4="Moderate",Lookups!$B$10,Lookups!$B$11))),FALSE()),FALSE()),NOT(AND(IFERROR($T4&lt;&gt;"",FALSE()),IFERROR($Y4&lt;&gt;"",FALSE()),IF(IFERROR($Z4&lt;&gt;"",FALSE()),IFERROR(AND(ISNUMBER($Z4),$Z4&gt;=DATE(2020,1,1),$Z4&lt;=DATE(2100,12,31)),FALSE()),NOT(ISERROR($Z4))))),FALSE()),"Criticality below baseline: review missing / invalid (T,Y,Z)",""))</f>
        <v/>
      </c>
      <c r="AW4" t="str">
        <f t="shared" si="20"/>
        <v/>
      </c>
    </row>
    <row r="5" spans="1:49" ht="45" customHeight="1" x14ac:dyDescent="0.3">
      <c r="A5" s="22" t="s">
        <v>197</v>
      </c>
      <c r="B5" s="23" t="s">
        <v>184</v>
      </c>
      <c r="C5" s="24" t="s">
        <v>198</v>
      </c>
      <c r="D5" s="24" t="s">
        <v>199</v>
      </c>
      <c r="E5" s="25" t="s">
        <v>187</v>
      </c>
      <c r="F5" s="26">
        <f>IFERROR(IF($E5="Blocker",Lookups!$B$8,IF($E5="Major",Lookups!$B$9,IF($E5="Moderate",Lookups!$B$10,IF($E5="Minor",Lookups!$B$11,0)))),0)</f>
        <v>4</v>
      </c>
      <c r="G5" s="16">
        <v>3</v>
      </c>
      <c r="H5" s="16">
        <v>5</v>
      </c>
      <c r="I5" s="27" t="str">
        <f>IFERROR(IF(OR($J5="Yes",$J5="No"),$J5,IF(AND(p_decisions="No",p_role="Assist (informs a human)"),"No","Yes")),"Yes")</f>
        <v>Yes</v>
      </c>
      <c r="J5" s="25"/>
      <c r="K5" s="25"/>
      <c r="L5" s="27" t="str">
        <f t="shared" si="0"/>
        <v/>
      </c>
      <c r="M5" s="27">
        <f t="shared" si="1"/>
        <v>60</v>
      </c>
      <c r="N5" s="27" t="str">
        <f t="shared" si="2"/>
        <v/>
      </c>
      <c r="O5" s="25"/>
      <c r="P5" s="25"/>
      <c r="Q5" s="25"/>
      <c r="R5" s="28"/>
      <c r="S5" s="25"/>
      <c r="T5" s="25"/>
      <c r="U5" s="29" t="str">
        <f t="shared" si="3"/>
        <v/>
      </c>
      <c r="V5" s="24"/>
      <c r="W5" s="24" t="s">
        <v>200</v>
      </c>
      <c r="X5" s="13"/>
      <c r="Y5" s="13"/>
      <c r="Z5" s="14"/>
      <c r="AA5" t="str">
        <f t="shared" si="4"/>
        <v/>
      </c>
      <c r="AB5" t="str">
        <f t="shared" si="5"/>
        <v/>
      </c>
      <c r="AC5" t="str">
        <f t="shared" si="6"/>
        <v/>
      </c>
      <c r="AD5" t="s">
        <v>187</v>
      </c>
      <c r="AF5">
        <f>IF(OR(IFERROR(NOT(OR($J5="",$J5="Yes",$J5="No")),TRUE()),IFERROR(IF($E5="",$I5="Yes",NOT(OR($E5="Blocker",$E5="Major",$E5="Moderate",$E5="Minor"))),TRUE()),IFERROR(IF($J5&lt;&gt;"",$T5="",FALSE()),TRUE()),IFERROR(IF(AND($A5="2.7",$I5="Yes",p_confidential="Yes"),$E5&lt;&gt;"Blocker",FALSE()),TRUE()),IFERROR(IF(AND($A5="5.8",$I5="Yes"),OR($E5="Moderate",$E5="Minor"),FALSE()),TRUE()),IF(IFERROR(AND($J5="No",$AI5="Yes",OR($AD5="Blocker",AND($A5="2.7",p_confidential="Yes"))),FALSE()),NOT(AND(IFERROR($X5&lt;&gt;"",FALSE()),IFERROR($Y5&lt;&gt;"",FALSE()),IFERROR(AND(ISNUMBER($Z5),$Z5&gt;=DATE(2020,1,1),$Z5&lt;=DATE(2100,12,31)),FALSE()))),FALSE()),IF(IFERROR(IF(OR($E5="Blocker",$E5="Major",$E5="Moderate",$E5="Minor"),$F5&lt;IF($AD5="Blocker",Lookups!$B$8,IF($AD5="Major",Lookups!$B$9,IF($AD5="Moderate",Lookups!$B$10,Lookups!$B$11))),FALSE()),FALSE()),NOT(AND(IFERROR($T5&lt;&gt;"",FALSE()),IFERROR($Y5&lt;&gt;"",FALSE()),IF(IFERROR($Z5&lt;&gt;"",FALSE()),IFERROR(AND(ISNUMBER($Z5),$Z5&gt;=DATE(2020,1,1),$Z5&lt;=DATE(2100,12,31)),FALSE()),NOT(ISERROR($Z5))))),FALSE())),1,0)</f>
        <v>0</v>
      </c>
      <c r="AG5">
        <f t="shared" si="7"/>
        <v>0</v>
      </c>
      <c r="AH5" t="str">
        <f t="shared" si="8"/>
        <v/>
      </c>
      <c r="AI5" t="str">
        <f>IFERROR(IF(AND(p_decisions="No",p_role="Assist (informs a human)"),"No","Yes"),"Yes")</f>
        <v>Yes</v>
      </c>
      <c r="AJ5">
        <f t="shared" si="9"/>
        <v>0</v>
      </c>
      <c r="AK5">
        <f t="shared" si="10"/>
        <v>0</v>
      </c>
      <c r="AL5">
        <f t="shared" si="11"/>
        <v>0</v>
      </c>
      <c r="AM5">
        <f t="shared" si="12"/>
        <v>0</v>
      </c>
      <c r="AN5">
        <f t="shared" si="13"/>
        <v>0</v>
      </c>
      <c r="AO5">
        <f t="shared" si="14"/>
        <v>0</v>
      </c>
      <c r="AP5">
        <f t="shared" si="15"/>
        <v>0</v>
      </c>
      <c r="AQ5">
        <f t="shared" si="16"/>
        <v>0</v>
      </c>
      <c r="AR5">
        <f t="shared" si="17"/>
        <v>0</v>
      </c>
      <c r="AS5">
        <f t="shared" si="18"/>
        <v>0</v>
      </c>
      <c r="AT5">
        <f t="shared" si="19"/>
        <v>0</v>
      </c>
      <c r="AU5" t="str">
        <f>_xlfn.TEXTJOIN(", ",TRUE(),IF(ISERROR($E5),"E5",""),IF(ISERROR($G5),"G5",""),IF(ISERROR($H5),"H5",""),IF(ISERROR($J5),"J5",""),IF(ISERROR($K5),"K5",""),IF(ISERROR($O5),"O5",""),IF(ISERROR($P5),"P5",""),IF(ISERROR($Q5),"Q5",""),IF(ISERROR($R5),"R5",""),IF(ISERROR($S5),"S5",""),IF(ISERROR($T5),"T5",""),IF(ISERROR($X5),"X5",""),IF(ISERROR($Y5),"Y5",""),IF(ISERROR($Z5),"Z5",""))</f>
        <v/>
      </c>
      <c r="AV5" t="str">
        <f>_xlfn.TEXTJOIN("; ",TRUE(),IF(IFERROR(NOT(OR($J5="",$J5="Yes",$J5="No")),TRUE()),"Invalid override value (J)",""),IF(IFERROR(IF($E5="",$I5="Yes",NOT(OR($E5="Blocker",$E5="Major",$E5="Moderate",$E5="Minor"))),TRUE()),"Invalid or missing criticality (E)",""),IF(IFERROR(IF($J5&lt;&gt;"",$T5="",FALSE()),TRUE()),"Override rationale missing / invalid (T)",""),IF(IFERROR(IF(AND($A5="2.7",$I5="Yes",p_confidential="Yes"),$E5&lt;&gt;"Blocker",FALSE()),TRUE()),"2.7 must be Blocker when S4 = Yes",""),IF(IFERROR(IF(AND($A5="5.8",$I5="Yes"),OR($E5="Moderate",$E5="Minor"),FALSE()),TRUE()),"5.8 should be at least Major",""),IF(IF(IFERROR(AND($J5="No",$AI5="Yes",OR($AD5="Blocker",AND($A5="2.7",p_confidential="Yes"))),FALSE()),NOT(AND(IFERROR($X5&lt;&gt;"",FALSE()),IFERROR($Y5&lt;&gt;"",FALSE()),IFERROR(AND(ISNUMBER($Z5),$Z5&gt;=DATE(2020,1,1),$Z5&lt;=DATE(2100,12,31)),FALSE()))),FALSE()),"Blocker de-scope review missing / invalid (X-Z)",""),IF(IF(IFERROR(IF(OR($E5="Blocker",$E5="Major",$E5="Moderate",$E5="Minor"),$F5&lt;IF($AD5="Blocker",Lookups!$B$8,IF($AD5="Major",Lookups!$B$9,IF($AD5="Moderate",Lookups!$B$10,Lookups!$B$11))),FALSE()),FALSE()),NOT(AND(IFERROR($T5&lt;&gt;"",FALSE()),IFERROR($Y5&lt;&gt;"",FALSE()),IF(IFERROR($Z5&lt;&gt;"",FALSE()),IFERROR(AND(ISNUMBER($Z5),$Z5&gt;=DATE(2020,1,1),$Z5&lt;=DATE(2100,12,31)),FALSE()),NOT(ISERROR($Z5))))),FALSE()),"Criticality below baseline: review missing / invalid (T,Y,Z)",""))</f>
        <v/>
      </c>
      <c r="AW5" t="str">
        <f t="shared" si="20"/>
        <v/>
      </c>
    </row>
    <row r="6" spans="1:49" ht="45" customHeight="1" x14ac:dyDescent="0.3">
      <c r="A6" s="22" t="s">
        <v>201</v>
      </c>
      <c r="B6" s="23" t="s">
        <v>184</v>
      </c>
      <c r="C6" s="24" t="s">
        <v>202</v>
      </c>
      <c r="D6" s="24" t="s">
        <v>203</v>
      </c>
      <c r="E6" s="25" t="s">
        <v>191</v>
      </c>
      <c r="F6" s="26">
        <f>IFERROR(IF($E6="Blocker",Lookups!$B$8,IF($E6="Major",Lookups!$B$9,IF($E6="Moderate",Lookups!$B$10,IF($E6="Minor",Lookups!$B$11,0)))),0)</f>
        <v>5</v>
      </c>
      <c r="G6" s="16">
        <v>3</v>
      </c>
      <c r="H6" s="16">
        <v>5</v>
      </c>
      <c r="I6" s="27" t="str">
        <f>IFERROR(IF(OR($J6="Yes",$J6="No"),$J6,IF(p_autonomy="None (chat or single completions)","No","Yes")),"Yes")</f>
        <v>Yes</v>
      </c>
      <c r="J6" s="25"/>
      <c r="K6" s="25"/>
      <c r="L6" s="27" t="str">
        <f t="shared" si="0"/>
        <v/>
      </c>
      <c r="M6" s="27">
        <f t="shared" si="1"/>
        <v>75</v>
      </c>
      <c r="N6" s="27" t="str">
        <f t="shared" si="2"/>
        <v/>
      </c>
      <c r="O6" s="25"/>
      <c r="P6" s="25"/>
      <c r="Q6" s="25"/>
      <c r="R6" s="28"/>
      <c r="S6" s="25"/>
      <c r="T6" s="25"/>
      <c r="U6" s="29" t="str">
        <f t="shared" si="3"/>
        <v/>
      </c>
      <c r="V6" s="24" t="s">
        <v>204</v>
      </c>
      <c r="W6" s="24" t="s">
        <v>205</v>
      </c>
      <c r="X6" s="13"/>
      <c r="Y6" s="13"/>
      <c r="Z6" s="14"/>
      <c r="AA6" t="str">
        <f t="shared" si="4"/>
        <v/>
      </c>
      <c r="AB6" t="str">
        <f t="shared" si="5"/>
        <v/>
      </c>
      <c r="AC6" t="str">
        <f t="shared" si="6"/>
        <v/>
      </c>
      <c r="AD6" t="s">
        <v>191</v>
      </c>
      <c r="AF6">
        <f>IF(OR(IFERROR(NOT(OR($J6="",$J6="Yes",$J6="No")),TRUE()),IFERROR(IF($E6="",$I6="Yes",NOT(OR($E6="Blocker",$E6="Major",$E6="Moderate",$E6="Minor"))),TRUE()),IFERROR(IF($J6&lt;&gt;"",$T6="",FALSE()),TRUE()),IFERROR(IF(AND($A6="2.7",$I6="Yes",p_confidential="Yes"),$E6&lt;&gt;"Blocker",FALSE()),TRUE()),IFERROR(IF(AND($A6="5.8",$I6="Yes"),OR($E6="Moderate",$E6="Minor"),FALSE()),TRUE()),IF(IFERROR(AND($J6="No",$AI6="Yes",OR($AD6="Blocker",AND($A6="2.7",p_confidential="Yes"))),FALSE()),NOT(AND(IFERROR($X6&lt;&gt;"",FALSE()),IFERROR($Y6&lt;&gt;"",FALSE()),IFERROR(AND(ISNUMBER($Z6),$Z6&gt;=DATE(2020,1,1),$Z6&lt;=DATE(2100,12,31)),FALSE()))),FALSE()),IF(IFERROR(IF(OR($E6="Blocker",$E6="Major",$E6="Moderate",$E6="Minor"),$F6&lt;IF($AD6="Blocker",Lookups!$B$8,IF($AD6="Major",Lookups!$B$9,IF($AD6="Moderate",Lookups!$B$10,Lookups!$B$11))),FALSE()),FALSE()),NOT(AND(IFERROR($T6&lt;&gt;"",FALSE()),IFERROR($Y6&lt;&gt;"",FALSE()),IF(IFERROR($Z6&lt;&gt;"",FALSE()),IFERROR(AND(ISNUMBER($Z6),$Z6&gt;=DATE(2020,1,1),$Z6&lt;=DATE(2100,12,31)),FALSE()),NOT(ISERROR($Z6))))),FALSE())),1,0)</f>
        <v>0</v>
      </c>
      <c r="AG6">
        <f t="shared" si="7"/>
        <v>0</v>
      </c>
      <c r="AH6" t="str">
        <f t="shared" si="8"/>
        <v/>
      </c>
      <c r="AI6" t="str">
        <f>IFERROR(IF(p_autonomy="None (chat or single completions)","No","Yes"),"Yes")</f>
        <v>Yes</v>
      </c>
      <c r="AJ6">
        <f t="shared" si="9"/>
        <v>0</v>
      </c>
      <c r="AK6">
        <f t="shared" si="10"/>
        <v>0</v>
      </c>
      <c r="AL6">
        <f t="shared" si="11"/>
        <v>0</v>
      </c>
      <c r="AM6">
        <f t="shared" si="12"/>
        <v>0</v>
      </c>
      <c r="AN6">
        <f t="shared" si="13"/>
        <v>0</v>
      </c>
      <c r="AO6">
        <f t="shared" si="14"/>
        <v>0</v>
      </c>
      <c r="AP6">
        <f t="shared" si="15"/>
        <v>0</v>
      </c>
      <c r="AQ6">
        <f t="shared" si="16"/>
        <v>0</v>
      </c>
      <c r="AR6">
        <f t="shared" si="17"/>
        <v>0</v>
      </c>
      <c r="AS6">
        <f t="shared" si="18"/>
        <v>0</v>
      </c>
      <c r="AT6">
        <f t="shared" si="19"/>
        <v>0</v>
      </c>
      <c r="AU6" t="str">
        <f>_xlfn.TEXTJOIN(", ",TRUE(),IF(ISERROR($E6),"E6",""),IF(ISERROR($G6),"G6",""),IF(ISERROR($H6),"H6",""),IF(ISERROR($J6),"J6",""),IF(ISERROR($K6),"K6",""),IF(ISERROR($O6),"O6",""),IF(ISERROR($P6),"P6",""),IF(ISERROR($Q6),"Q6",""),IF(ISERROR($R6),"R6",""),IF(ISERROR($S6),"S6",""),IF(ISERROR($T6),"T6",""),IF(ISERROR($X6),"X6",""),IF(ISERROR($Y6),"Y6",""),IF(ISERROR($Z6),"Z6",""))</f>
        <v/>
      </c>
      <c r="AV6" t="str">
        <f>_xlfn.TEXTJOIN("; ",TRUE(),IF(IFERROR(NOT(OR($J6="",$J6="Yes",$J6="No")),TRUE()),"Invalid override value (J)",""),IF(IFERROR(IF($E6="",$I6="Yes",NOT(OR($E6="Blocker",$E6="Major",$E6="Moderate",$E6="Minor"))),TRUE()),"Invalid or missing criticality (E)",""),IF(IFERROR(IF($J6&lt;&gt;"",$T6="",FALSE()),TRUE()),"Override rationale missing / invalid (T)",""),IF(IFERROR(IF(AND($A6="2.7",$I6="Yes",p_confidential="Yes"),$E6&lt;&gt;"Blocker",FALSE()),TRUE()),"2.7 must be Blocker when S4 = Yes",""),IF(IFERROR(IF(AND($A6="5.8",$I6="Yes"),OR($E6="Moderate",$E6="Minor"),FALSE()),TRUE()),"5.8 should be at least Major",""),IF(IF(IFERROR(AND($J6="No",$AI6="Yes",OR($AD6="Blocker",AND($A6="2.7",p_confidential="Yes"))),FALSE()),NOT(AND(IFERROR($X6&lt;&gt;"",FALSE()),IFERROR($Y6&lt;&gt;"",FALSE()),IFERROR(AND(ISNUMBER($Z6),$Z6&gt;=DATE(2020,1,1),$Z6&lt;=DATE(2100,12,31)),FALSE()))),FALSE()),"Blocker de-scope review missing / invalid (X-Z)",""),IF(IF(IFERROR(IF(OR($E6="Blocker",$E6="Major",$E6="Moderate",$E6="Minor"),$F6&lt;IF($AD6="Blocker",Lookups!$B$8,IF($AD6="Major",Lookups!$B$9,IF($AD6="Moderate",Lookups!$B$10,Lookups!$B$11))),FALSE()),FALSE()),NOT(AND(IFERROR($T6&lt;&gt;"",FALSE()),IFERROR($Y6&lt;&gt;"",FALSE()),IF(IFERROR($Z6&lt;&gt;"",FALSE()),IFERROR(AND(ISNUMBER($Z6),$Z6&gt;=DATE(2020,1,1),$Z6&lt;=DATE(2100,12,31)),FALSE()),NOT(ISERROR($Z6))))),FALSE()),"Criticality below baseline: review missing / invalid (T,Y,Z)",""))</f>
        <v/>
      </c>
      <c r="AW6" t="str">
        <f t="shared" si="20"/>
        <v/>
      </c>
    </row>
    <row r="7" spans="1:49" ht="30" customHeight="1" x14ac:dyDescent="0.3">
      <c r="A7" s="22" t="s">
        <v>206</v>
      </c>
      <c r="B7" s="23" t="s">
        <v>207</v>
      </c>
      <c r="C7" s="24" t="s">
        <v>185</v>
      </c>
      <c r="D7" s="24" t="s">
        <v>208</v>
      </c>
      <c r="E7" s="25" t="s">
        <v>187</v>
      </c>
      <c r="F7" s="26">
        <f>IFERROR(IF($E7="Blocker",Lookups!$B$8,IF($E7="Major",Lookups!$B$9,IF($E7="Moderate",Lookups!$B$10,IF($E7="Minor",Lookups!$B$11,0)))),0)</f>
        <v>4</v>
      </c>
      <c r="G7" s="16">
        <v>3</v>
      </c>
      <c r="H7" s="16">
        <v>4</v>
      </c>
      <c r="I7" s="27" t="str">
        <f>IFERROR(IF(OR($J7="Yes",$J7="No"),$J7,"Yes"),"Yes")</f>
        <v>Yes</v>
      </c>
      <c r="J7" s="25"/>
      <c r="K7" s="25"/>
      <c r="L7" s="27" t="str">
        <f t="shared" si="0"/>
        <v/>
      </c>
      <c r="M7" s="27">
        <f t="shared" si="1"/>
        <v>48</v>
      </c>
      <c r="N7" s="27" t="str">
        <f t="shared" si="2"/>
        <v/>
      </c>
      <c r="O7" s="25"/>
      <c r="P7" s="25"/>
      <c r="Q7" s="25"/>
      <c r="R7" s="28"/>
      <c r="S7" s="25"/>
      <c r="T7" s="25"/>
      <c r="U7" s="29" t="str">
        <f t="shared" si="3"/>
        <v/>
      </c>
      <c r="V7" s="24"/>
      <c r="W7" s="24" t="s">
        <v>209</v>
      </c>
      <c r="X7" s="13"/>
      <c r="Y7" s="13"/>
      <c r="Z7" s="14"/>
      <c r="AA7" t="str">
        <f t="shared" si="4"/>
        <v/>
      </c>
      <c r="AB7" t="str">
        <f t="shared" si="5"/>
        <v/>
      </c>
      <c r="AC7" t="str">
        <f t="shared" si="6"/>
        <v/>
      </c>
      <c r="AD7" t="s">
        <v>187</v>
      </c>
      <c r="AF7">
        <f>IF(OR(IFERROR(NOT(OR($J7="",$J7="Yes",$J7="No")),TRUE()),IFERROR(IF($E7="",$I7="Yes",NOT(OR($E7="Blocker",$E7="Major",$E7="Moderate",$E7="Minor"))),TRUE()),IFERROR(IF($J7&lt;&gt;"",$T7="",FALSE()),TRUE()),IFERROR(IF(AND($A7="2.7",$I7="Yes",p_confidential="Yes"),$E7&lt;&gt;"Blocker",FALSE()),TRUE()),IFERROR(IF(AND($A7="5.8",$I7="Yes"),OR($E7="Moderate",$E7="Minor"),FALSE()),TRUE()),IF(IFERROR(AND($J7="No",$AI7="Yes",OR($AD7="Blocker",AND($A7="2.7",p_confidential="Yes"))),FALSE()),NOT(AND(IFERROR($X7&lt;&gt;"",FALSE()),IFERROR($Y7&lt;&gt;"",FALSE()),IFERROR(AND(ISNUMBER($Z7),$Z7&gt;=DATE(2020,1,1),$Z7&lt;=DATE(2100,12,31)),FALSE()))),FALSE()),IF(IFERROR(IF(OR($E7="Blocker",$E7="Major",$E7="Moderate",$E7="Minor"),$F7&lt;IF($AD7="Blocker",Lookups!$B$8,IF($AD7="Major",Lookups!$B$9,IF($AD7="Moderate",Lookups!$B$10,Lookups!$B$11))),FALSE()),FALSE()),NOT(AND(IFERROR($T7&lt;&gt;"",FALSE()),IFERROR($Y7&lt;&gt;"",FALSE()),IF(IFERROR($Z7&lt;&gt;"",FALSE()),IFERROR(AND(ISNUMBER($Z7),$Z7&gt;=DATE(2020,1,1),$Z7&lt;=DATE(2100,12,31)),FALSE()),NOT(ISERROR($Z7))))),FALSE())),1,0)</f>
        <v>0</v>
      </c>
      <c r="AG7">
        <f t="shared" si="7"/>
        <v>0</v>
      </c>
      <c r="AH7" t="str">
        <f t="shared" si="8"/>
        <v/>
      </c>
      <c r="AI7" t="str">
        <f>IFERROR("Yes","Yes")</f>
        <v>Yes</v>
      </c>
      <c r="AJ7">
        <f t="shared" si="9"/>
        <v>0</v>
      </c>
      <c r="AK7">
        <f t="shared" si="10"/>
        <v>0</v>
      </c>
      <c r="AL7">
        <f t="shared" si="11"/>
        <v>0</v>
      </c>
      <c r="AM7">
        <f t="shared" si="12"/>
        <v>0</v>
      </c>
      <c r="AN7">
        <f t="shared" si="13"/>
        <v>0</v>
      </c>
      <c r="AO7">
        <f t="shared" si="14"/>
        <v>0</v>
      </c>
      <c r="AP7">
        <f t="shared" si="15"/>
        <v>0</v>
      </c>
      <c r="AQ7">
        <f t="shared" si="16"/>
        <v>0</v>
      </c>
      <c r="AR7">
        <f t="shared" si="17"/>
        <v>0</v>
      </c>
      <c r="AS7">
        <f t="shared" si="18"/>
        <v>0</v>
      </c>
      <c r="AT7">
        <f t="shared" si="19"/>
        <v>0</v>
      </c>
      <c r="AU7" t="str">
        <f>_xlfn.TEXTJOIN(", ",TRUE(),IF(ISERROR($E7),"E7",""),IF(ISERROR($G7),"G7",""),IF(ISERROR($H7),"H7",""),IF(ISERROR($J7),"J7",""),IF(ISERROR($K7),"K7",""),IF(ISERROR($O7),"O7",""),IF(ISERROR($P7),"P7",""),IF(ISERROR($Q7),"Q7",""),IF(ISERROR($R7),"R7",""),IF(ISERROR($S7),"S7",""),IF(ISERROR($T7),"T7",""),IF(ISERROR($X7),"X7",""),IF(ISERROR($Y7),"Y7",""),IF(ISERROR($Z7),"Z7",""))</f>
        <v/>
      </c>
      <c r="AV7" t="str">
        <f>_xlfn.TEXTJOIN("; ",TRUE(),IF(IFERROR(NOT(OR($J7="",$J7="Yes",$J7="No")),TRUE()),"Invalid override value (J)",""),IF(IFERROR(IF($E7="",$I7="Yes",NOT(OR($E7="Blocker",$E7="Major",$E7="Moderate",$E7="Minor"))),TRUE()),"Invalid or missing criticality (E)",""),IF(IFERROR(IF($J7&lt;&gt;"",$T7="",FALSE()),TRUE()),"Override rationale missing / invalid (T)",""),IF(IFERROR(IF(AND($A7="2.7",$I7="Yes",p_confidential="Yes"),$E7&lt;&gt;"Blocker",FALSE()),TRUE()),"2.7 must be Blocker when S4 = Yes",""),IF(IFERROR(IF(AND($A7="5.8",$I7="Yes"),OR($E7="Moderate",$E7="Minor"),FALSE()),TRUE()),"5.8 should be at least Major",""),IF(IF(IFERROR(AND($J7="No",$AI7="Yes",OR($AD7="Blocker",AND($A7="2.7",p_confidential="Yes"))),FALSE()),NOT(AND(IFERROR($X7&lt;&gt;"",FALSE()),IFERROR($Y7&lt;&gt;"",FALSE()),IFERROR(AND(ISNUMBER($Z7),$Z7&gt;=DATE(2020,1,1),$Z7&lt;=DATE(2100,12,31)),FALSE()))),FALSE()),"Blocker de-scope review missing / invalid (X-Z)",""),IF(IF(IFERROR(IF(OR($E7="Blocker",$E7="Major",$E7="Moderate",$E7="Minor"),$F7&lt;IF($AD7="Blocker",Lookups!$B$8,IF($AD7="Major",Lookups!$B$9,IF($AD7="Moderate",Lookups!$B$10,Lookups!$B$11))),FALSE()),FALSE()),NOT(AND(IFERROR($T7&lt;&gt;"",FALSE()),IFERROR($Y7&lt;&gt;"",FALSE()),IF(IFERROR($Z7&lt;&gt;"",FALSE()),IFERROR(AND(ISNUMBER($Z7),$Z7&gt;=DATE(2020,1,1),$Z7&lt;=DATE(2100,12,31)),FALSE()),NOT(ISERROR($Z7))))),FALSE()),"Criticality below baseline: review missing / invalid (T,Y,Z)",""))</f>
        <v/>
      </c>
      <c r="AW7" t="str">
        <f t="shared" si="20"/>
        <v/>
      </c>
    </row>
    <row r="8" spans="1:49" ht="30" customHeight="1" x14ac:dyDescent="0.3">
      <c r="A8" s="22" t="s">
        <v>210</v>
      </c>
      <c r="B8" s="23" t="s">
        <v>207</v>
      </c>
      <c r="C8" s="24" t="s">
        <v>211</v>
      </c>
      <c r="D8" s="24" t="s">
        <v>212</v>
      </c>
      <c r="E8" s="25" t="s">
        <v>187</v>
      </c>
      <c r="F8" s="26">
        <f>IFERROR(IF($E8="Blocker",Lookups!$B$8,IF($E8="Major",Lookups!$B$9,IF($E8="Moderate",Lookups!$B$10,IF($E8="Minor",Lookups!$B$11,0)))),0)</f>
        <v>4</v>
      </c>
      <c r="G8" s="16">
        <v>3</v>
      </c>
      <c r="H8" s="16">
        <v>4</v>
      </c>
      <c r="I8" s="27" t="str">
        <f>IFERROR(IF(OR($J8="Yes",$J8="No"),$J8,IF(OR(p_provider="Self-hosted / open weights",p_provider="Internal development"),"No","Yes")),"Yes")</f>
        <v>Yes</v>
      </c>
      <c r="J8" s="25"/>
      <c r="K8" s="25"/>
      <c r="L8" s="27" t="str">
        <f t="shared" si="0"/>
        <v/>
      </c>
      <c r="M8" s="27">
        <f t="shared" si="1"/>
        <v>48</v>
      </c>
      <c r="N8" s="27" t="str">
        <f t="shared" si="2"/>
        <v/>
      </c>
      <c r="O8" s="25"/>
      <c r="P8" s="25"/>
      <c r="Q8" s="25"/>
      <c r="R8" s="28"/>
      <c r="S8" s="25"/>
      <c r="T8" s="25"/>
      <c r="U8" s="29" t="str">
        <f t="shared" si="3"/>
        <v/>
      </c>
      <c r="V8" s="24" t="s">
        <v>213</v>
      </c>
      <c r="W8" s="24" t="s">
        <v>214</v>
      </c>
      <c r="X8" s="13"/>
      <c r="Y8" s="13"/>
      <c r="Z8" s="14"/>
      <c r="AA8" t="str">
        <f t="shared" si="4"/>
        <v/>
      </c>
      <c r="AB8" t="str">
        <f t="shared" si="5"/>
        <v/>
      </c>
      <c r="AC8" t="str">
        <f t="shared" si="6"/>
        <v/>
      </c>
      <c r="AD8" t="s">
        <v>187</v>
      </c>
      <c r="AF8">
        <f>IF(OR(IFERROR(NOT(OR($J8="",$J8="Yes",$J8="No")),TRUE()),IFERROR(IF($E8="",$I8="Yes",NOT(OR($E8="Blocker",$E8="Major",$E8="Moderate",$E8="Minor"))),TRUE()),IFERROR(IF($J8&lt;&gt;"",$T8="",FALSE()),TRUE()),IFERROR(IF(AND($A8="2.7",$I8="Yes",p_confidential="Yes"),$E8&lt;&gt;"Blocker",FALSE()),TRUE()),IFERROR(IF(AND($A8="5.8",$I8="Yes"),OR($E8="Moderate",$E8="Minor"),FALSE()),TRUE()),IF(IFERROR(AND($J8="No",$AI8="Yes",OR($AD8="Blocker",AND($A8="2.7",p_confidential="Yes"))),FALSE()),NOT(AND(IFERROR($X8&lt;&gt;"",FALSE()),IFERROR($Y8&lt;&gt;"",FALSE()),IFERROR(AND(ISNUMBER($Z8),$Z8&gt;=DATE(2020,1,1),$Z8&lt;=DATE(2100,12,31)),FALSE()))),FALSE()),IF(IFERROR(IF(OR($E8="Blocker",$E8="Major",$E8="Moderate",$E8="Minor"),$F8&lt;IF($AD8="Blocker",Lookups!$B$8,IF($AD8="Major",Lookups!$B$9,IF($AD8="Moderate",Lookups!$B$10,Lookups!$B$11))),FALSE()),FALSE()),NOT(AND(IFERROR($T8&lt;&gt;"",FALSE()),IFERROR($Y8&lt;&gt;"",FALSE()),IF(IFERROR($Z8&lt;&gt;"",FALSE()),IFERROR(AND(ISNUMBER($Z8),$Z8&gt;=DATE(2020,1,1),$Z8&lt;=DATE(2100,12,31)),FALSE()),NOT(ISERROR($Z8))))),FALSE())),1,0)</f>
        <v>0</v>
      </c>
      <c r="AG8">
        <f t="shared" si="7"/>
        <v>0</v>
      </c>
      <c r="AH8" t="str">
        <f t="shared" si="8"/>
        <v/>
      </c>
      <c r="AI8" t="str">
        <f>IFERROR(IF(OR(p_provider="Self-hosted / open weights",p_provider="Internal development"),"No","Yes"),"Yes")</f>
        <v>Yes</v>
      </c>
      <c r="AJ8">
        <f t="shared" si="9"/>
        <v>0</v>
      </c>
      <c r="AK8">
        <f t="shared" si="10"/>
        <v>0</v>
      </c>
      <c r="AL8">
        <f t="shared" si="11"/>
        <v>0</v>
      </c>
      <c r="AM8">
        <f t="shared" si="12"/>
        <v>0</v>
      </c>
      <c r="AN8">
        <f t="shared" si="13"/>
        <v>0</v>
      </c>
      <c r="AO8">
        <f t="shared" si="14"/>
        <v>0</v>
      </c>
      <c r="AP8">
        <f t="shared" si="15"/>
        <v>0</v>
      </c>
      <c r="AQ8">
        <f t="shared" si="16"/>
        <v>0</v>
      </c>
      <c r="AR8">
        <f t="shared" si="17"/>
        <v>0</v>
      </c>
      <c r="AS8">
        <f t="shared" si="18"/>
        <v>0</v>
      </c>
      <c r="AT8">
        <f t="shared" si="19"/>
        <v>0</v>
      </c>
      <c r="AU8" t="str">
        <f>_xlfn.TEXTJOIN(", ",TRUE(),IF(ISERROR($E8),"E8",""),IF(ISERROR($G8),"G8",""),IF(ISERROR($H8),"H8",""),IF(ISERROR($J8),"J8",""),IF(ISERROR($K8),"K8",""),IF(ISERROR($O8),"O8",""),IF(ISERROR($P8),"P8",""),IF(ISERROR($Q8),"Q8",""),IF(ISERROR($R8),"R8",""),IF(ISERROR($S8),"S8",""),IF(ISERROR($T8),"T8",""),IF(ISERROR($X8),"X8",""),IF(ISERROR($Y8),"Y8",""),IF(ISERROR($Z8),"Z8",""))</f>
        <v/>
      </c>
      <c r="AV8" t="str">
        <f>_xlfn.TEXTJOIN("; ",TRUE(),IF(IFERROR(NOT(OR($J8="",$J8="Yes",$J8="No")),TRUE()),"Invalid override value (J)",""),IF(IFERROR(IF($E8="",$I8="Yes",NOT(OR($E8="Blocker",$E8="Major",$E8="Moderate",$E8="Minor"))),TRUE()),"Invalid or missing criticality (E)",""),IF(IFERROR(IF($J8&lt;&gt;"",$T8="",FALSE()),TRUE()),"Override rationale missing / invalid (T)",""),IF(IFERROR(IF(AND($A8="2.7",$I8="Yes",p_confidential="Yes"),$E8&lt;&gt;"Blocker",FALSE()),TRUE()),"2.7 must be Blocker when S4 = Yes",""),IF(IFERROR(IF(AND($A8="5.8",$I8="Yes"),OR($E8="Moderate",$E8="Minor"),FALSE()),TRUE()),"5.8 should be at least Major",""),IF(IF(IFERROR(AND($J8="No",$AI8="Yes",OR($AD8="Blocker",AND($A8="2.7",p_confidential="Yes"))),FALSE()),NOT(AND(IFERROR($X8&lt;&gt;"",FALSE()),IFERROR($Y8&lt;&gt;"",FALSE()),IFERROR(AND(ISNUMBER($Z8),$Z8&gt;=DATE(2020,1,1),$Z8&lt;=DATE(2100,12,31)),FALSE()))),FALSE()),"Blocker de-scope review missing / invalid (X-Z)",""),IF(IF(IFERROR(IF(OR($E8="Blocker",$E8="Major",$E8="Moderate",$E8="Minor"),$F8&lt;IF($AD8="Blocker",Lookups!$B$8,IF($AD8="Major",Lookups!$B$9,IF($AD8="Moderate",Lookups!$B$10,Lookups!$B$11))),FALSE()),FALSE()),NOT(AND(IFERROR($T8&lt;&gt;"",FALSE()),IFERROR($Y8&lt;&gt;"",FALSE()),IF(IFERROR($Z8&lt;&gt;"",FALSE()),IFERROR(AND(ISNUMBER($Z8),$Z8&gt;=DATE(2020,1,1),$Z8&lt;=DATE(2100,12,31)),FALSE()),NOT(ISERROR($Z8))))),FALSE()),"Criticality below baseline: review missing / invalid (T,Y,Z)",""))</f>
        <v/>
      </c>
      <c r="AW8" t="str">
        <f t="shared" si="20"/>
        <v/>
      </c>
    </row>
    <row r="9" spans="1:49" ht="30" customHeight="1" x14ac:dyDescent="0.3">
      <c r="A9" s="22" t="s">
        <v>215</v>
      </c>
      <c r="B9" s="23" t="s">
        <v>207</v>
      </c>
      <c r="C9" s="24" t="s">
        <v>211</v>
      </c>
      <c r="D9" s="24" t="s">
        <v>216</v>
      </c>
      <c r="E9" s="25" t="s">
        <v>217</v>
      </c>
      <c r="F9" s="26">
        <f>IFERROR(IF($E9="Blocker",Lookups!$B$8,IF($E9="Major",Lookups!$B$9,IF($E9="Moderate",Lookups!$B$10,IF($E9="Minor",Lookups!$B$11,0)))),0)</f>
        <v>3</v>
      </c>
      <c r="G9" s="16">
        <v>3</v>
      </c>
      <c r="H9" s="16">
        <v>4</v>
      </c>
      <c r="I9" s="27" t="str">
        <f>IFERROR(IF(OR($J9="Yes",$J9="No"),$J9,IF(OR(p_provider="Self-hosted / open weights",p_provider="Internal development"),"No","Yes")),"Yes")</f>
        <v>Yes</v>
      </c>
      <c r="J9" s="25"/>
      <c r="K9" s="25"/>
      <c r="L9" s="27" t="str">
        <f t="shared" si="0"/>
        <v/>
      </c>
      <c r="M9" s="27">
        <f t="shared" si="1"/>
        <v>36</v>
      </c>
      <c r="N9" s="27" t="str">
        <f t="shared" si="2"/>
        <v/>
      </c>
      <c r="O9" s="25"/>
      <c r="P9" s="25"/>
      <c r="Q9" s="25"/>
      <c r="R9" s="28"/>
      <c r="S9" s="25"/>
      <c r="T9" s="25"/>
      <c r="U9" s="29" t="str">
        <f t="shared" si="3"/>
        <v/>
      </c>
      <c r="V9" s="24"/>
      <c r="W9" s="24" t="s">
        <v>218</v>
      </c>
      <c r="X9" s="13"/>
      <c r="Y9" s="13"/>
      <c r="Z9" s="14"/>
      <c r="AA9" t="str">
        <f t="shared" si="4"/>
        <v/>
      </c>
      <c r="AB9" t="str">
        <f t="shared" si="5"/>
        <v/>
      </c>
      <c r="AC9" t="str">
        <f t="shared" si="6"/>
        <v/>
      </c>
      <c r="AD9" t="s">
        <v>217</v>
      </c>
      <c r="AF9">
        <f>IF(OR(IFERROR(NOT(OR($J9="",$J9="Yes",$J9="No")),TRUE()),IFERROR(IF($E9="",$I9="Yes",NOT(OR($E9="Blocker",$E9="Major",$E9="Moderate",$E9="Minor"))),TRUE()),IFERROR(IF($J9&lt;&gt;"",$T9="",FALSE()),TRUE()),IFERROR(IF(AND($A9="2.7",$I9="Yes",p_confidential="Yes"),$E9&lt;&gt;"Blocker",FALSE()),TRUE()),IFERROR(IF(AND($A9="5.8",$I9="Yes"),OR($E9="Moderate",$E9="Minor"),FALSE()),TRUE()),IF(IFERROR(AND($J9="No",$AI9="Yes",OR($AD9="Blocker",AND($A9="2.7",p_confidential="Yes"))),FALSE()),NOT(AND(IFERROR($X9&lt;&gt;"",FALSE()),IFERROR($Y9&lt;&gt;"",FALSE()),IFERROR(AND(ISNUMBER($Z9),$Z9&gt;=DATE(2020,1,1),$Z9&lt;=DATE(2100,12,31)),FALSE()))),FALSE()),IF(IFERROR(IF(OR($E9="Blocker",$E9="Major",$E9="Moderate",$E9="Minor"),$F9&lt;IF($AD9="Blocker",Lookups!$B$8,IF($AD9="Major",Lookups!$B$9,IF($AD9="Moderate",Lookups!$B$10,Lookups!$B$11))),FALSE()),FALSE()),NOT(AND(IFERROR($T9&lt;&gt;"",FALSE()),IFERROR($Y9&lt;&gt;"",FALSE()),IF(IFERROR($Z9&lt;&gt;"",FALSE()),IFERROR(AND(ISNUMBER($Z9),$Z9&gt;=DATE(2020,1,1),$Z9&lt;=DATE(2100,12,31)),FALSE()),NOT(ISERROR($Z9))))),FALSE())),1,0)</f>
        <v>0</v>
      </c>
      <c r="AG9">
        <f t="shared" si="7"/>
        <v>0</v>
      </c>
      <c r="AH9" t="str">
        <f t="shared" si="8"/>
        <v/>
      </c>
      <c r="AI9" t="str">
        <f>IFERROR(IF(OR(p_provider="Self-hosted / open weights",p_provider="Internal development"),"No","Yes"),"Yes")</f>
        <v>Yes</v>
      </c>
      <c r="AJ9">
        <f t="shared" si="9"/>
        <v>0</v>
      </c>
      <c r="AK9">
        <f t="shared" si="10"/>
        <v>0</v>
      </c>
      <c r="AL9">
        <f t="shared" si="11"/>
        <v>0</v>
      </c>
      <c r="AM9">
        <f t="shared" si="12"/>
        <v>0</v>
      </c>
      <c r="AN9">
        <f t="shared" si="13"/>
        <v>0</v>
      </c>
      <c r="AO9">
        <f t="shared" si="14"/>
        <v>0</v>
      </c>
      <c r="AP9">
        <f t="shared" si="15"/>
        <v>0</v>
      </c>
      <c r="AQ9">
        <f t="shared" si="16"/>
        <v>0</v>
      </c>
      <c r="AR9">
        <f t="shared" si="17"/>
        <v>0</v>
      </c>
      <c r="AS9">
        <f t="shared" si="18"/>
        <v>0</v>
      </c>
      <c r="AT9">
        <f t="shared" si="19"/>
        <v>0</v>
      </c>
      <c r="AU9" t="str">
        <f>_xlfn.TEXTJOIN(", ",TRUE(),IF(ISERROR($E9),"E9",""),IF(ISERROR($G9),"G9",""),IF(ISERROR($H9),"H9",""),IF(ISERROR($J9),"J9",""),IF(ISERROR($K9),"K9",""),IF(ISERROR($O9),"O9",""),IF(ISERROR($P9),"P9",""),IF(ISERROR($Q9),"Q9",""),IF(ISERROR($R9),"R9",""),IF(ISERROR($S9),"S9",""),IF(ISERROR($T9),"T9",""),IF(ISERROR($X9),"X9",""),IF(ISERROR($Y9),"Y9",""),IF(ISERROR($Z9),"Z9",""))</f>
        <v/>
      </c>
      <c r="AV9" t="str">
        <f>_xlfn.TEXTJOIN("; ",TRUE(),IF(IFERROR(NOT(OR($J9="",$J9="Yes",$J9="No")),TRUE()),"Invalid override value (J)",""),IF(IFERROR(IF($E9="",$I9="Yes",NOT(OR($E9="Blocker",$E9="Major",$E9="Moderate",$E9="Minor"))),TRUE()),"Invalid or missing criticality (E)",""),IF(IFERROR(IF($J9&lt;&gt;"",$T9="",FALSE()),TRUE()),"Override rationale missing / invalid (T)",""),IF(IFERROR(IF(AND($A9="2.7",$I9="Yes",p_confidential="Yes"),$E9&lt;&gt;"Blocker",FALSE()),TRUE()),"2.7 must be Blocker when S4 = Yes",""),IF(IFERROR(IF(AND($A9="5.8",$I9="Yes"),OR($E9="Moderate",$E9="Minor"),FALSE()),TRUE()),"5.8 should be at least Major",""),IF(IF(IFERROR(AND($J9="No",$AI9="Yes",OR($AD9="Blocker",AND($A9="2.7",p_confidential="Yes"))),FALSE()),NOT(AND(IFERROR($X9&lt;&gt;"",FALSE()),IFERROR($Y9&lt;&gt;"",FALSE()),IFERROR(AND(ISNUMBER($Z9),$Z9&gt;=DATE(2020,1,1),$Z9&lt;=DATE(2100,12,31)),FALSE()))),FALSE()),"Blocker de-scope review missing / invalid (X-Z)",""),IF(IF(IFERROR(IF(OR($E9="Blocker",$E9="Major",$E9="Moderate",$E9="Minor"),$F9&lt;IF($AD9="Blocker",Lookups!$B$8,IF($AD9="Major",Lookups!$B$9,IF($AD9="Moderate",Lookups!$B$10,Lookups!$B$11))),FALSE()),FALSE()),NOT(AND(IFERROR($T9&lt;&gt;"",FALSE()),IFERROR($Y9&lt;&gt;"",FALSE()),IF(IFERROR($Z9&lt;&gt;"",FALSE()),IFERROR(AND(ISNUMBER($Z9),$Z9&gt;=DATE(2020,1,1),$Z9&lt;=DATE(2100,12,31)),FALSE()),NOT(ISERROR($Z9))))),FALSE()),"Criticality below baseline: review missing / invalid (T,Y,Z)",""))</f>
        <v/>
      </c>
      <c r="AW9" t="str">
        <f t="shared" si="20"/>
        <v/>
      </c>
    </row>
    <row r="10" spans="1:49" ht="30" customHeight="1" x14ac:dyDescent="0.3">
      <c r="A10" s="22" t="s">
        <v>219</v>
      </c>
      <c r="B10" s="23" t="s">
        <v>207</v>
      </c>
      <c r="C10" s="24" t="s">
        <v>220</v>
      </c>
      <c r="D10" s="24" t="s">
        <v>221</v>
      </c>
      <c r="E10" s="25" t="s">
        <v>187</v>
      </c>
      <c r="F10" s="26">
        <f>IFERROR(IF($E10="Blocker",Lookups!$B$8,IF($E10="Major",Lookups!$B$9,IF($E10="Moderate",Lookups!$B$10,IF($E10="Minor",Lookups!$B$11,0)))),0)</f>
        <v>4</v>
      </c>
      <c r="G10" s="16">
        <v>3</v>
      </c>
      <c r="H10" s="16">
        <v>4</v>
      </c>
      <c r="I10" s="27" t="str">
        <f>IFERROR(IF(OR($J10="Yes",$J10="No"),$J10,IF(p_stage="Pilot / PoC","No","Yes")),"Yes")</f>
        <v>Yes</v>
      </c>
      <c r="J10" s="25"/>
      <c r="K10" s="25"/>
      <c r="L10" s="27" t="str">
        <f t="shared" si="0"/>
        <v/>
      </c>
      <c r="M10" s="27">
        <f t="shared" si="1"/>
        <v>48</v>
      </c>
      <c r="N10" s="27" t="str">
        <f t="shared" si="2"/>
        <v/>
      </c>
      <c r="O10" s="25"/>
      <c r="P10" s="25"/>
      <c r="Q10" s="25"/>
      <c r="R10" s="28"/>
      <c r="S10" s="25"/>
      <c r="T10" s="25"/>
      <c r="U10" s="29" t="str">
        <f t="shared" si="3"/>
        <v/>
      </c>
      <c r="V10" s="24"/>
      <c r="W10" s="24" t="s">
        <v>222</v>
      </c>
      <c r="X10" s="13"/>
      <c r="Y10" s="13"/>
      <c r="Z10" s="14"/>
      <c r="AA10" t="str">
        <f t="shared" si="4"/>
        <v/>
      </c>
      <c r="AB10" t="str">
        <f t="shared" si="5"/>
        <v/>
      </c>
      <c r="AC10" t="str">
        <f t="shared" si="6"/>
        <v/>
      </c>
      <c r="AD10" t="s">
        <v>187</v>
      </c>
      <c r="AF10">
        <f>IF(OR(IFERROR(NOT(OR($J10="",$J10="Yes",$J10="No")),TRUE()),IFERROR(IF($E10="",$I10="Yes",NOT(OR($E10="Blocker",$E10="Major",$E10="Moderate",$E10="Minor"))),TRUE()),IFERROR(IF($J10&lt;&gt;"",$T10="",FALSE()),TRUE()),IFERROR(IF(AND($A10="2.7",$I10="Yes",p_confidential="Yes"),$E10&lt;&gt;"Blocker",FALSE()),TRUE()),IFERROR(IF(AND($A10="5.8",$I10="Yes"),OR($E10="Moderate",$E10="Minor"),FALSE()),TRUE()),IF(IFERROR(AND($J10="No",$AI10="Yes",OR($AD10="Blocker",AND($A10="2.7",p_confidential="Yes"))),FALSE()),NOT(AND(IFERROR($X10&lt;&gt;"",FALSE()),IFERROR($Y10&lt;&gt;"",FALSE()),IFERROR(AND(ISNUMBER($Z10),$Z10&gt;=DATE(2020,1,1),$Z10&lt;=DATE(2100,12,31)),FALSE()))),FALSE()),IF(IFERROR(IF(OR($E10="Blocker",$E10="Major",$E10="Moderate",$E10="Minor"),$F10&lt;IF($AD10="Blocker",Lookups!$B$8,IF($AD10="Major",Lookups!$B$9,IF($AD10="Moderate",Lookups!$B$10,Lookups!$B$11))),FALSE()),FALSE()),NOT(AND(IFERROR($T10&lt;&gt;"",FALSE()),IFERROR($Y10&lt;&gt;"",FALSE()),IF(IFERROR($Z10&lt;&gt;"",FALSE()),IFERROR(AND(ISNUMBER($Z10),$Z10&gt;=DATE(2020,1,1),$Z10&lt;=DATE(2100,12,31)),FALSE()),NOT(ISERROR($Z10))))),FALSE())),1,0)</f>
        <v>0</v>
      </c>
      <c r="AG10">
        <f t="shared" si="7"/>
        <v>0</v>
      </c>
      <c r="AH10" t="str">
        <f t="shared" si="8"/>
        <v/>
      </c>
      <c r="AI10" t="str">
        <f>IFERROR(IF(p_stage="Pilot / PoC","No","Yes"),"Yes")</f>
        <v>Yes</v>
      </c>
      <c r="AJ10">
        <f t="shared" si="9"/>
        <v>0</v>
      </c>
      <c r="AK10">
        <f t="shared" si="10"/>
        <v>0</v>
      </c>
      <c r="AL10">
        <f t="shared" si="11"/>
        <v>0</v>
      </c>
      <c r="AM10">
        <f t="shared" si="12"/>
        <v>0</v>
      </c>
      <c r="AN10">
        <f t="shared" si="13"/>
        <v>0</v>
      </c>
      <c r="AO10">
        <f t="shared" si="14"/>
        <v>0</v>
      </c>
      <c r="AP10">
        <f t="shared" si="15"/>
        <v>0</v>
      </c>
      <c r="AQ10">
        <f t="shared" si="16"/>
        <v>0</v>
      </c>
      <c r="AR10">
        <f t="shared" si="17"/>
        <v>0</v>
      </c>
      <c r="AS10">
        <f t="shared" si="18"/>
        <v>0</v>
      </c>
      <c r="AT10">
        <f t="shared" si="19"/>
        <v>0</v>
      </c>
      <c r="AU10" t="str">
        <f>_xlfn.TEXTJOIN(", ",TRUE(),IF(ISERROR($E10),"E10",""),IF(ISERROR($G10),"G10",""),IF(ISERROR($H10),"H10",""),IF(ISERROR($J10),"J10",""),IF(ISERROR($K10),"K10",""),IF(ISERROR($O10),"O10",""),IF(ISERROR($P10),"P10",""),IF(ISERROR($Q10),"Q10",""),IF(ISERROR($R10),"R10",""),IF(ISERROR($S10),"S10",""),IF(ISERROR($T10),"T10",""),IF(ISERROR($X10),"X10",""),IF(ISERROR($Y10),"Y10",""),IF(ISERROR($Z10),"Z10",""))</f>
        <v/>
      </c>
      <c r="AV10" t="str">
        <f>_xlfn.TEXTJOIN("; ",TRUE(),IF(IFERROR(NOT(OR($J10="",$J10="Yes",$J10="No")),TRUE()),"Invalid override value (J)",""),IF(IFERROR(IF($E10="",$I10="Yes",NOT(OR($E10="Blocker",$E10="Major",$E10="Moderate",$E10="Minor"))),TRUE()),"Invalid or missing criticality (E)",""),IF(IFERROR(IF($J10&lt;&gt;"",$T10="",FALSE()),TRUE()),"Override rationale missing / invalid (T)",""),IF(IFERROR(IF(AND($A10="2.7",$I10="Yes",p_confidential="Yes"),$E10&lt;&gt;"Blocker",FALSE()),TRUE()),"2.7 must be Blocker when S4 = Yes",""),IF(IFERROR(IF(AND($A10="5.8",$I10="Yes"),OR($E10="Moderate",$E10="Minor"),FALSE()),TRUE()),"5.8 should be at least Major",""),IF(IF(IFERROR(AND($J10="No",$AI10="Yes",OR($AD10="Blocker",AND($A10="2.7",p_confidential="Yes"))),FALSE()),NOT(AND(IFERROR($X10&lt;&gt;"",FALSE()),IFERROR($Y10&lt;&gt;"",FALSE()),IFERROR(AND(ISNUMBER($Z10),$Z10&gt;=DATE(2020,1,1),$Z10&lt;=DATE(2100,12,31)),FALSE()))),FALSE()),"Blocker de-scope review missing / invalid (X-Z)",""),IF(IF(IFERROR(IF(OR($E10="Blocker",$E10="Major",$E10="Moderate",$E10="Minor"),$F10&lt;IF($AD10="Blocker",Lookups!$B$8,IF($AD10="Major",Lookups!$B$9,IF($AD10="Moderate",Lookups!$B$10,Lookups!$B$11))),FALSE()),FALSE()),NOT(AND(IFERROR($T10&lt;&gt;"",FALSE()),IFERROR($Y10&lt;&gt;"",FALSE()),IF(IFERROR($Z10&lt;&gt;"",FALSE()),IFERROR(AND(ISNUMBER($Z10),$Z10&gt;=DATE(2020,1,1),$Z10&lt;=DATE(2100,12,31)),FALSE()),NOT(ISERROR($Z10))))),FALSE()),"Criticality below baseline: review missing / invalid (T,Y,Z)",""))</f>
        <v/>
      </c>
      <c r="AW10" t="str">
        <f t="shared" si="20"/>
        <v/>
      </c>
    </row>
    <row r="11" spans="1:49" ht="30" customHeight="1" x14ac:dyDescent="0.3">
      <c r="A11" s="22" t="s">
        <v>223</v>
      </c>
      <c r="B11" s="23" t="s">
        <v>207</v>
      </c>
      <c r="C11" s="24" t="s">
        <v>224</v>
      </c>
      <c r="D11" s="24" t="s">
        <v>225</v>
      </c>
      <c r="E11" s="25" t="s">
        <v>191</v>
      </c>
      <c r="F11" s="26">
        <f>IFERROR(IF($E11="Blocker",Lookups!$B$8,IF($E11="Major",Lookups!$B$9,IF($E11="Moderate",Lookups!$B$10,IF($E11="Minor",Lookups!$B$11,0)))),0)</f>
        <v>5</v>
      </c>
      <c r="G11" s="16">
        <v>3</v>
      </c>
      <c r="H11" s="16">
        <v>5</v>
      </c>
      <c r="I11" s="27" t="str">
        <f>IFERROR(IF(OR($J11="Yes",$J11="No"),$J11,IF(p_provider="Internal development","No","Yes")),"Yes")</f>
        <v>Yes</v>
      </c>
      <c r="J11" s="25"/>
      <c r="K11" s="25"/>
      <c r="L11" s="27" t="str">
        <f t="shared" si="0"/>
        <v/>
      </c>
      <c r="M11" s="27">
        <f t="shared" si="1"/>
        <v>75</v>
      </c>
      <c r="N11" s="27" t="str">
        <f t="shared" si="2"/>
        <v/>
      </c>
      <c r="O11" s="25"/>
      <c r="P11" s="25"/>
      <c r="Q11" s="25"/>
      <c r="R11" s="28"/>
      <c r="S11" s="25"/>
      <c r="T11" s="25"/>
      <c r="U11" s="29" t="str">
        <f t="shared" si="3"/>
        <v/>
      </c>
      <c r="V11" s="24"/>
      <c r="W11" s="24" t="s">
        <v>226</v>
      </c>
      <c r="X11" s="13"/>
      <c r="Y11" s="13"/>
      <c r="Z11" s="14"/>
      <c r="AA11" t="str">
        <f t="shared" si="4"/>
        <v/>
      </c>
      <c r="AB11" t="str">
        <f t="shared" si="5"/>
        <v/>
      </c>
      <c r="AC11" t="str">
        <f t="shared" si="6"/>
        <v/>
      </c>
      <c r="AD11" t="s">
        <v>191</v>
      </c>
      <c r="AF11">
        <f>IF(OR(IFERROR(NOT(OR($J11="",$J11="Yes",$J11="No")),TRUE()),IFERROR(IF($E11="",$I11="Yes",NOT(OR($E11="Blocker",$E11="Major",$E11="Moderate",$E11="Minor"))),TRUE()),IFERROR(IF($J11&lt;&gt;"",$T11="",FALSE()),TRUE()),IFERROR(IF(AND($A11="2.7",$I11="Yes",p_confidential="Yes"),$E11&lt;&gt;"Blocker",FALSE()),TRUE()),IFERROR(IF(AND($A11="5.8",$I11="Yes"),OR($E11="Moderate",$E11="Minor"),FALSE()),TRUE()),IF(IFERROR(AND($J11="No",$AI11="Yes",OR($AD11="Blocker",AND($A11="2.7",p_confidential="Yes"))),FALSE()),NOT(AND(IFERROR($X11&lt;&gt;"",FALSE()),IFERROR($Y11&lt;&gt;"",FALSE()),IFERROR(AND(ISNUMBER($Z11),$Z11&gt;=DATE(2020,1,1),$Z11&lt;=DATE(2100,12,31)),FALSE()))),FALSE()),IF(IFERROR(IF(OR($E11="Blocker",$E11="Major",$E11="Moderate",$E11="Minor"),$F11&lt;IF($AD11="Blocker",Lookups!$B$8,IF($AD11="Major",Lookups!$B$9,IF($AD11="Moderate",Lookups!$B$10,Lookups!$B$11))),FALSE()),FALSE()),NOT(AND(IFERROR($T11&lt;&gt;"",FALSE()),IFERROR($Y11&lt;&gt;"",FALSE()),IF(IFERROR($Z11&lt;&gt;"",FALSE()),IFERROR(AND(ISNUMBER($Z11),$Z11&gt;=DATE(2020,1,1),$Z11&lt;=DATE(2100,12,31)),FALSE()),NOT(ISERROR($Z11))))),FALSE())),1,0)</f>
        <v>0</v>
      </c>
      <c r="AG11">
        <f t="shared" si="7"/>
        <v>0</v>
      </c>
      <c r="AH11" t="str">
        <f t="shared" si="8"/>
        <v/>
      </c>
      <c r="AI11" t="str">
        <f>IFERROR(IF(p_provider="Internal development","No","Yes"),"Yes")</f>
        <v>Yes</v>
      </c>
      <c r="AJ11">
        <f t="shared" si="9"/>
        <v>0</v>
      </c>
      <c r="AK11">
        <f t="shared" si="10"/>
        <v>0</v>
      </c>
      <c r="AL11">
        <f t="shared" si="11"/>
        <v>0</v>
      </c>
      <c r="AM11">
        <f t="shared" si="12"/>
        <v>0</v>
      </c>
      <c r="AN11">
        <f t="shared" si="13"/>
        <v>0</v>
      </c>
      <c r="AO11">
        <f t="shared" si="14"/>
        <v>0</v>
      </c>
      <c r="AP11">
        <f t="shared" si="15"/>
        <v>0</v>
      </c>
      <c r="AQ11">
        <f t="shared" si="16"/>
        <v>0</v>
      </c>
      <c r="AR11">
        <f t="shared" si="17"/>
        <v>0</v>
      </c>
      <c r="AS11">
        <f t="shared" si="18"/>
        <v>0</v>
      </c>
      <c r="AT11">
        <f t="shared" si="19"/>
        <v>0</v>
      </c>
      <c r="AU11" t="str">
        <f>_xlfn.TEXTJOIN(", ",TRUE(),IF(ISERROR($E11),"E11",""),IF(ISERROR($G11),"G11",""),IF(ISERROR($H11),"H11",""),IF(ISERROR($J11),"J11",""),IF(ISERROR($K11),"K11",""),IF(ISERROR($O11),"O11",""),IF(ISERROR($P11),"P11",""),IF(ISERROR($Q11),"Q11",""),IF(ISERROR($R11),"R11",""),IF(ISERROR($S11),"S11",""),IF(ISERROR($T11),"T11",""),IF(ISERROR($X11),"X11",""),IF(ISERROR($Y11),"Y11",""),IF(ISERROR($Z11),"Z11",""))</f>
        <v/>
      </c>
      <c r="AV11" t="str">
        <f>_xlfn.TEXTJOIN("; ",TRUE(),IF(IFERROR(NOT(OR($J11="",$J11="Yes",$J11="No")),TRUE()),"Invalid override value (J)",""),IF(IFERROR(IF($E11="",$I11="Yes",NOT(OR($E11="Blocker",$E11="Major",$E11="Moderate",$E11="Minor"))),TRUE()),"Invalid or missing criticality (E)",""),IF(IFERROR(IF($J11&lt;&gt;"",$T11="",FALSE()),TRUE()),"Override rationale missing / invalid (T)",""),IF(IFERROR(IF(AND($A11="2.7",$I11="Yes",p_confidential="Yes"),$E11&lt;&gt;"Blocker",FALSE()),TRUE()),"2.7 must be Blocker when S4 = Yes",""),IF(IFERROR(IF(AND($A11="5.8",$I11="Yes"),OR($E11="Moderate",$E11="Minor"),FALSE()),TRUE()),"5.8 should be at least Major",""),IF(IF(IFERROR(AND($J11="No",$AI11="Yes",OR($AD11="Blocker",AND($A11="2.7",p_confidential="Yes"))),FALSE()),NOT(AND(IFERROR($X11&lt;&gt;"",FALSE()),IFERROR($Y11&lt;&gt;"",FALSE()),IFERROR(AND(ISNUMBER($Z11),$Z11&gt;=DATE(2020,1,1),$Z11&lt;=DATE(2100,12,31)),FALSE()))),FALSE()),"Blocker de-scope review missing / invalid (X-Z)",""),IF(IF(IFERROR(IF(OR($E11="Blocker",$E11="Major",$E11="Moderate",$E11="Minor"),$F11&lt;IF($AD11="Blocker",Lookups!$B$8,IF($AD11="Major",Lookups!$B$9,IF($AD11="Moderate",Lookups!$B$10,Lookups!$B$11))),FALSE()),FALSE()),NOT(AND(IFERROR($T11&lt;&gt;"",FALSE()),IFERROR($Y11&lt;&gt;"",FALSE()),IF(IFERROR($Z11&lt;&gt;"",FALSE()),IFERROR(AND(ISNUMBER($Z11),$Z11&gt;=DATE(2020,1,1),$Z11&lt;=DATE(2100,12,31)),FALSE()),NOT(ISERROR($Z11))))),FALSE()),"Criticality below baseline: review missing / invalid (T,Y,Z)",""))</f>
        <v/>
      </c>
      <c r="AW11" t="str">
        <f t="shared" si="20"/>
        <v/>
      </c>
    </row>
    <row r="12" spans="1:49" ht="30" customHeight="1" x14ac:dyDescent="0.3">
      <c r="A12" s="22" t="s">
        <v>227</v>
      </c>
      <c r="B12" s="23" t="s">
        <v>207</v>
      </c>
      <c r="C12" s="24" t="s">
        <v>220</v>
      </c>
      <c r="D12" s="24" t="s">
        <v>228</v>
      </c>
      <c r="E12" s="25" t="s">
        <v>187</v>
      </c>
      <c r="F12" s="26">
        <f>IFERROR(IF($E12="Blocker",Lookups!$B$8,IF($E12="Major",Lookups!$B$9,IF($E12="Moderate",Lookups!$B$10,IF($E12="Minor",Lookups!$B$11,0)))),0)</f>
        <v>4</v>
      </c>
      <c r="G12" s="16">
        <v>3</v>
      </c>
      <c r="H12" s="16">
        <v>4</v>
      </c>
      <c r="I12" s="27" t="str">
        <f>IFERROR(IF(OR($J12="Yes",$J12="No"),$J12,IF(p_stage="Pilot / PoC","No","Yes")),"Yes")</f>
        <v>Yes</v>
      </c>
      <c r="J12" s="25"/>
      <c r="K12" s="25"/>
      <c r="L12" s="27" t="str">
        <f t="shared" si="0"/>
        <v/>
      </c>
      <c r="M12" s="27">
        <f t="shared" si="1"/>
        <v>48</v>
      </c>
      <c r="N12" s="27" t="str">
        <f t="shared" si="2"/>
        <v/>
      </c>
      <c r="O12" s="25"/>
      <c r="P12" s="25"/>
      <c r="Q12" s="25"/>
      <c r="R12" s="28"/>
      <c r="S12" s="25"/>
      <c r="T12" s="25"/>
      <c r="U12" s="29" t="str">
        <f t="shared" si="3"/>
        <v/>
      </c>
      <c r="V12" s="24"/>
      <c r="W12" s="24" t="s">
        <v>229</v>
      </c>
      <c r="X12" s="13"/>
      <c r="Y12" s="13"/>
      <c r="Z12" s="14"/>
      <c r="AA12" t="str">
        <f t="shared" si="4"/>
        <v/>
      </c>
      <c r="AB12" t="str">
        <f t="shared" si="5"/>
        <v/>
      </c>
      <c r="AC12" t="str">
        <f t="shared" si="6"/>
        <v/>
      </c>
      <c r="AD12" t="s">
        <v>187</v>
      </c>
      <c r="AF12">
        <f>IF(OR(IFERROR(NOT(OR($J12="",$J12="Yes",$J12="No")),TRUE()),IFERROR(IF($E12="",$I12="Yes",NOT(OR($E12="Blocker",$E12="Major",$E12="Moderate",$E12="Minor"))),TRUE()),IFERROR(IF($J12&lt;&gt;"",$T12="",FALSE()),TRUE()),IFERROR(IF(AND($A12="2.7",$I12="Yes",p_confidential="Yes"),$E12&lt;&gt;"Blocker",FALSE()),TRUE()),IFERROR(IF(AND($A12="5.8",$I12="Yes"),OR($E12="Moderate",$E12="Minor"),FALSE()),TRUE()),IF(IFERROR(AND($J12="No",$AI12="Yes",OR($AD12="Blocker",AND($A12="2.7",p_confidential="Yes"))),FALSE()),NOT(AND(IFERROR($X12&lt;&gt;"",FALSE()),IFERROR($Y12&lt;&gt;"",FALSE()),IFERROR(AND(ISNUMBER($Z12),$Z12&gt;=DATE(2020,1,1),$Z12&lt;=DATE(2100,12,31)),FALSE()))),FALSE()),IF(IFERROR(IF(OR($E12="Blocker",$E12="Major",$E12="Moderate",$E12="Minor"),$F12&lt;IF($AD12="Blocker",Lookups!$B$8,IF($AD12="Major",Lookups!$B$9,IF($AD12="Moderate",Lookups!$B$10,Lookups!$B$11))),FALSE()),FALSE()),NOT(AND(IFERROR($T12&lt;&gt;"",FALSE()),IFERROR($Y12&lt;&gt;"",FALSE()),IF(IFERROR($Z12&lt;&gt;"",FALSE()),IFERROR(AND(ISNUMBER($Z12),$Z12&gt;=DATE(2020,1,1),$Z12&lt;=DATE(2100,12,31)),FALSE()),NOT(ISERROR($Z12))))),FALSE())),1,0)</f>
        <v>0</v>
      </c>
      <c r="AG12">
        <f t="shared" si="7"/>
        <v>0</v>
      </c>
      <c r="AH12" t="str">
        <f t="shared" si="8"/>
        <v/>
      </c>
      <c r="AI12" t="str">
        <f>IFERROR(IF(p_stage="Pilot / PoC","No","Yes"),"Yes")</f>
        <v>Yes</v>
      </c>
      <c r="AJ12">
        <f t="shared" si="9"/>
        <v>0</v>
      </c>
      <c r="AK12">
        <f t="shared" si="10"/>
        <v>0</v>
      </c>
      <c r="AL12">
        <f t="shared" si="11"/>
        <v>0</v>
      </c>
      <c r="AM12">
        <f t="shared" si="12"/>
        <v>0</v>
      </c>
      <c r="AN12">
        <f t="shared" si="13"/>
        <v>0</v>
      </c>
      <c r="AO12">
        <f t="shared" si="14"/>
        <v>0</v>
      </c>
      <c r="AP12">
        <f t="shared" si="15"/>
        <v>0</v>
      </c>
      <c r="AQ12">
        <f t="shared" si="16"/>
        <v>0</v>
      </c>
      <c r="AR12">
        <f t="shared" si="17"/>
        <v>0</v>
      </c>
      <c r="AS12">
        <f t="shared" si="18"/>
        <v>0</v>
      </c>
      <c r="AT12">
        <f t="shared" si="19"/>
        <v>0</v>
      </c>
      <c r="AU12" t="str">
        <f>_xlfn.TEXTJOIN(", ",TRUE(),IF(ISERROR($E12),"E12",""),IF(ISERROR($G12),"G12",""),IF(ISERROR($H12),"H12",""),IF(ISERROR($J12),"J12",""),IF(ISERROR($K12),"K12",""),IF(ISERROR($O12),"O12",""),IF(ISERROR($P12),"P12",""),IF(ISERROR($Q12),"Q12",""),IF(ISERROR($R12),"R12",""),IF(ISERROR($S12),"S12",""),IF(ISERROR($T12),"T12",""),IF(ISERROR($X12),"X12",""),IF(ISERROR($Y12),"Y12",""),IF(ISERROR($Z12),"Z12",""))</f>
        <v/>
      </c>
      <c r="AV12" t="str">
        <f>_xlfn.TEXTJOIN("; ",TRUE(),IF(IFERROR(NOT(OR($J12="",$J12="Yes",$J12="No")),TRUE()),"Invalid override value (J)",""),IF(IFERROR(IF($E12="",$I12="Yes",NOT(OR($E12="Blocker",$E12="Major",$E12="Moderate",$E12="Minor"))),TRUE()),"Invalid or missing criticality (E)",""),IF(IFERROR(IF($J12&lt;&gt;"",$T12="",FALSE()),TRUE()),"Override rationale missing / invalid (T)",""),IF(IFERROR(IF(AND($A12="2.7",$I12="Yes",p_confidential="Yes"),$E12&lt;&gt;"Blocker",FALSE()),TRUE()),"2.7 must be Blocker when S4 = Yes",""),IF(IFERROR(IF(AND($A12="5.8",$I12="Yes"),OR($E12="Moderate",$E12="Minor"),FALSE()),TRUE()),"5.8 should be at least Major",""),IF(IF(IFERROR(AND($J12="No",$AI12="Yes",OR($AD12="Blocker",AND($A12="2.7",p_confidential="Yes"))),FALSE()),NOT(AND(IFERROR($X12&lt;&gt;"",FALSE()),IFERROR($Y12&lt;&gt;"",FALSE()),IFERROR(AND(ISNUMBER($Z12),$Z12&gt;=DATE(2020,1,1),$Z12&lt;=DATE(2100,12,31)),FALSE()))),FALSE()),"Blocker de-scope review missing / invalid (X-Z)",""),IF(IF(IFERROR(IF(OR($E12="Blocker",$E12="Major",$E12="Moderate",$E12="Minor"),$F12&lt;IF($AD12="Blocker",Lookups!$B$8,IF($AD12="Major",Lookups!$B$9,IF($AD12="Moderate",Lookups!$B$10,Lookups!$B$11))),FALSE()),FALSE()),NOT(AND(IFERROR($T12&lt;&gt;"",FALSE()),IFERROR($Y12&lt;&gt;"",FALSE()),IF(IFERROR($Z12&lt;&gt;"",FALSE()),IFERROR(AND(ISNUMBER($Z12),$Z12&gt;=DATE(2020,1,1),$Z12&lt;=DATE(2100,12,31)),FALSE()),NOT(ISERROR($Z12))))),FALSE()),"Criticality below baseline: review missing / invalid (T,Y,Z)",""))</f>
        <v/>
      </c>
      <c r="AW12" t="str">
        <f t="shared" si="20"/>
        <v/>
      </c>
    </row>
    <row r="13" spans="1:49" ht="45" customHeight="1" x14ac:dyDescent="0.3">
      <c r="A13" s="22" t="s">
        <v>230</v>
      </c>
      <c r="B13" s="23" t="s">
        <v>207</v>
      </c>
      <c r="C13" s="24" t="s">
        <v>224</v>
      </c>
      <c r="D13" s="24" t="s">
        <v>231</v>
      </c>
      <c r="E13" s="25" t="s">
        <v>187</v>
      </c>
      <c r="F13" s="26">
        <f>IFERROR(IF($E13="Blocker",Lookups!$B$8,IF($E13="Major",Lookups!$B$9,IF($E13="Moderate",Lookups!$B$10,IF($E13="Minor",Lookups!$B$11,0)))),0)</f>
        <v>4</v>
      </c>
      <c r="G13" s="16">
        <v>3</v>
      </c>
      <c r="H13" s="16">
        <v>4</v>
      </c>
      <c r="I13" s="27" t="str">
        <f>IFERROR(IF(OR($J13="Yes",$J13="No"),$J13,IF(p_provider="Internal development","No","Yes")),"Yes")</f>
        <v>Yes</v>
      </c>
      <c r="J13" s="25"/>
      <c r="K13" s="25"/>
      <c r="L13" s="27" t="str">
        <f t="shared" si="0"/>
        <v/>
      </c>
      <c r="M13" s="27">
        <f t="shared" si="1"/>
        <v>48</v>
      </c>
      <c r="N13" s="27" t="str">
        <f t="shared" si="2"/>
        <v/>
      </c>
      <c r="O13" s="25"/>
      <c r="P13" s="25"/>
      <c r="Q13" s="25"/>
      <c r="R13" s="28"/>
      <c r="S13" s="25"/>
      <c r="T13" s="25"/>
      <c r="U13" s="29" t="str">
        <f t="shared" si="3"/>
        <v/>
      </c>
      <c r="V13" s="24" t="s">
        <v>232</v>
      </c>
      <c r="W13" s="24" t="s">
        <v>233</v>
      </c>
      <c r="X13" s="13"/>
      <c r="Y13" s="13"/>
      <c r="Z13" s="14"/>
      <c r="AA13" t="str">
        <f t="shared" si="4"/>
        <v/>
      </c>
      <c r="AB13" t="str">
        <f t="shared" si="5"/>
        <v/>
      </c>
      <c r="AC13" t="str">
        <f t="shared" si="6"/>
        <v/>
      </c>
      <c r="AD13" t="s">
        <v>187</v>
      </c>
      <c r="AF13">
        <f>IF(OR(IFERROR(NOT(OR($J13="",$J13="Yes",$J13="No")),TRUE()),IFERROR(IF($E13="",$I13="Yes",NOT(OR($E13="Blocker",$E13="Major",$E13="Moderate",$E13="Minor"))),TRUE()),IFERROR(IF($J13&lt;&gt;"",$T13="",FALSE()),TRUE()),IFERROR(IF(AND($A13="2.7",$I13="Yes",p_confidential="Yes"),$E13&lt;&gt;"Blocker",FALSE()),TRUE()),IFERROR(IF(AND($A13="5.8",$I13="Yes"),OR($E13="Moderate",$E13="Minor"),FALSE()),TRUE()),IF(IFERROR(AND($J13="No",$AI13="Yes",OR($AD13="Blocker",AND($A13="2.7",p_confidential="Yes"))),FALSE()),NOT(AND(IFERROR($X13&lt;&gt;"",FALSE()),IFERROR($Y13&lt;&gt;"",FALSE()),IFERROR(AND(ISNUMBER($Z13),$Z13&gt;=DATE(2020,1,1),$Z13&lt;=DATE(2100,12,31)),FALSE()))),FALSE()),IF(IFERROR(IF(OR($E13="Blocker",$E13="Major",$E13="Moderate",$E13="Minor"),$F13&lt;IF($AD13="Blocker",Lookups!$B$8,IF($AD13="Major",Lookups!$B$9,IF($AD13="Moderate",Lookups!$B$10,Lookups!$B$11))),FALSE()),FALSE()),NOT(AND(IFERROR($T13&lt;&gt;"",FALSE()),IFERROR($Y13&lt;&gt;"",FALSE()),IF(IFERROR($Z13&lt;&gt;"",FALSE()),IFERROR(AND(ISNUMBER($Z13),$Z13&gt;=DATE(2020,1,1),$Z13&lt;=DATE(2100,12,31)),FALSE()),NOT(ISERROR($Z13))))),FALSE())),1,0)</f>
        <v>0</v>
      </c>
      <c r="AG13">
        <f t="shared" si="7"/>
        <v>0</v>
      </c>
      <c r="AH13" t="str">
        <f t="shared" si="8"/>
        <v/>
      </c>
      <c r="AI13" t="str">
        <f>IFERROR(IF(p_provider="Internal development","No","Yes"),"Yes")</f>
        <v>Yes</v>
      </c>
      <c r="AJ13">
        <f t="shared" si="9"/>
        <v>0</v>
      </c>
      <c r="AK13">
        <f t="shared" si="10"/>
        <v>0</v>
      </c>
      <c r="AL13">
        <f t="shared" si="11"/>
        <v>0</v>
      </c>
      <c r="AM13">
        <f t="shared" si="12"/>
        <v>0</v>
      </c>
      <c r="AN13">
        <f t="shared" si="13"/>
        <v>0</v>
      </c>
      <c r="AO13">
        <f t="shared" si="14"/>
        <v>0</v>
      </c>
      <c r="AP13">
        <f t="shared" si="15"/>
        <v>0</v>
      </c>
      <c r="AQ13">
        <f t="shared" si="16"/>
        <v>0</v>
      </c>
      <c r="AR13">
        <f t="shared" si="17"/>
        <v>0</v>
      </c>
      <c r="AS13">
        <f t="shared" si="18"/>
        <v>0</v>
      </c>
      <c r="AT13">
        <f t="shared" si="19"/>
        <v>0</v>
      </c>
      <c r="AU13" t="str">
        <f>_xlfn.TEXTJOIN(", ",TRUE(),IF(ISERROR($E13),"E13",""),IF(ISERROR($G13),"G13",""),IF(ISERROR($H13),"H13",""),IF(ISERROR($J13),"J13",""),IF(ISERROR($K13),"K13",""),IF(ISERROR($O13),"O13",""),IF(ISERROR($P13),"P13",""),IF(ISERROR($Q13),"Q13",""),IF(ISERROR($R13),"R13",""),IF(ISERROR($S13),"S13",""),IF(ISERROR($T13),"T13",""),IF(ISERROR($X13),"X13",""),IF(ISERROR($Y13),"Y13",""),IF(ISERROR($Z13),"Z13",""))</f>
        <v/>
      </c>
      <c r="AV13" t="str">
        <f>_xlfn.TEXTJOIN("; ",TRUE(),IF(IFERROR(NOT(OR($J13="",$J13="Yes",$J13="No")),TRUE()),"Invalid override value (J)",""),IF(IFERROR(IF($E13="",$I13="Yes",NOT(OR($E13="Blocker",$E13="Major",$E13="Moderate",$E13="Minor"))),TRUE()),"Invalid or missing criticality (E)",""),IF(IFERROR(IF($J13&lt;&gt;"",$T13="",FALSE()),TRUE()),"Override rationale missing / invalid (T)",""),IF(IFERROR(IF(AND($A13="2.7",$I13="Yes",p_confidential="Yes"),$E13&lt;&gt;"Blocker",FALSE()),TRUE()),"2.7 must be Blocker when S4 = Yes",""),IF(IFERROR(IF(AND($A13="5.8",$I13="Yes"),OR($E13="Moderate",$E13="Minor"),FALSE()),TRUE()),"5.8 should be at least Major",""),IF(IF(IFERROR(AND($J13="No",$AI13="Yes",OR($AD13="Blocker",AND($A13="2.7",p_confidential="Yes"))),FALSE()),NOT(AND(IFERROR($X13&lt;&gt;"",FALSE()),IFERROR($Y13&lt;&gt;"",FALSE()),IFERROR(AND(ISNUMBER($Z13),$Z13&gt;=DATE(2020,1,1),$Z13&lt;=DATE(2100,12,31)),FALSE()))),FALSE()),"Blocker de-scope review missing / invalid (X-Z)",""),IF(IF(IFERROR(IF(OR($E13="Blocker",$E13="Major",$E13="Moderate",$E13="Minor"),$F13&lt;IF($AD13="Blocker",Lookups!$B$8,IF($AD13="Major",Lookups!$B$9,IF($AD13="Moderate",Lookups!$B$10,Lookups!$B$11))),FALSE()),FALSE()),NOT(AND(IFERROR($T13&lt;&gt;"",FALSE()),IFERROR($Y13&lt;&gt;"",FALSE()),IF(IFERROR($Z13&lt;&gt;"",FALSE()),IFERROR(AND(ISNUMBER($Z13),$Z13&gt;=DATE(2020,1,1),$Z13&lt;=DATE(2100,12,31)),FALSE()),NOT(ISERROR($Z13))))),FALSE()),"Criticality below baseline: review missing / invalid (T,Y,Z)",""))</f>
        <v/>
      </c>
      <c r="AW13" t="str">
        <f t="shared" si="20"/>
        <v/>
      </c>
    </row>
    <row r="14" spans="1:49" ht="30" customHeight="1" x14ac:dyDescent="0.3">
      <c r="A14" s="22" t="s">
        <v>234</v>
      </c>
      <c r="B14" s="23" t="s">
        <v>235</v>
      </c>
      <c r="C14" s="24" t="s">
        <v>185</v>
      </c>
      <c r="D14" s="24" t="s">
        <v>236</v>
      </c>
      <c r="E14" s="25" t="s">
        <v>187</v>
      </c>
      <c r="F14" s="26">
        <f>IFERROR(IF($E14="Blocker",Lookups!$B$8,IF($E14="Major",Lookups!$B$9,IF($E14="Moderate",Lookups!$B$10,IF($E14="Minor",Lookups!$B$11,0)))),0)</f>
        <v>4</v>
      </c>
      <c r="G14" s="16">
        <v>4</v>
      </c>
      <c r="H14" s="16">
        <v>4</v>
      </c>
      <c r="I14" s="27" t="str">
        <f>IFERROR(IF(OR($J14="Yes",$J14="No"),$J14,"Yes"),"Yes")</f>
        <v>Yes</v>
      </c>
      <c r="J14" s="25"/>
      <c r="K14" s="25"/>
      <c r="L14" s="27" t="str">
        <f t="shared" si="0"/>
        <v/>
      </c>
      <c r="M14" s="27">
        <f t="shared" si="1"/>
        <v>64</v>
      </c>
      <c r="N14" s="27" t="str">
        <f t="shared" si="2"/>
        <v/>
      </c>
      <c r="O14" s="25"/>
      <c r="P14" s="25"/>
      <c r="Q14" s="25"/>
      <c r="R14" s="28"/>
      <c r="S14" s="25"/>
      <c r="T14" s="25"/>
      <c r="U14" s="29" t="str">
        <f t="shared" si="3"/>
        <v/>
      </c>
      <c r="V14" s="24"/>
      <c r="W14" s="24" t="s">
        <v>237</v>
      </c>
      <c r="X14" s="13"/>
      <c r="Y14" s="13"/>
      <c r="Z14" s="14"/>
      <c r="AA14" t="str">
        <f t="shared" si="4"/>
        <v/>
      </c>
      <c r="AB14" t="str">
        <f t="shared" si="5"/>
        <v/>
      </c>
      <c r="AC14" t="str">
        <f t="shared" si="6"/>
        <v/>
      </c>
      <c r="AD14" t="s">
        <v>187</v>
      </c>
      <c r="AF14">
        <f>IF(OR(IFERROR(NOT(OR($J14="",$J14="Yes",$J14="No")),TRUE()),IFERROR(IF($E14="",$I14="Yes",NOT(OR($E14="Blocker",$E14="Major",$E14="Moderate",$E14="Minor"))),TRUE()),IFERROR(IF($J14&lt;&gt;"",$T14="",FALSE()),TRUE()),IFERROR(IF(AND($A14="2.7",$I14="Yes",p_confidential="Yes"),$E14&lt;&gt;"Blocker",FALSE()),TRUE()),IFERROR(IF(AND($A14="5.8",$I14="Yes"),OR($E14="Moderate",$E14="Minor"),FALSE()),TRUE()),IF(IFERROR(AND($J14="No",$AI14="Yes",OR($AD14="Blocker",AND($A14="2.7",p_confidential="Yes"))),FALSE()),NOT(AND(IFERROR($X14&lt;&gt;"",FALSE()),IFERROR($Y14&lt;&gt;"",FALSE()),IFERROR(AND(ISNUMBER($Z14),$Z14&gt;=DATE(2020,1,1),$Z14&lt;=DATE(2100,12,31)),FALSE()))),FALSE()),IF(IFERROR(IF(OR($E14="Blocker",$E14="Major",$E14="Moderate",$E14="Minor"),$F14&lt;IF($AD14="Blocker",Lookups!$B$8,IF($AD14="Major",Lookups!$B$9,IF($AD14="Moderate",Lookups!$B$10,Lookups!$B$11))),FALSE()),FALSE()),NOT(AND(IFERROR($T14&lt;&gt;"",FALSE()),IFERROR($Y14&lt;&gt;"",FALSE()),IF(IFERROR($Z14&lt;&gt;"",FALSE()),IFERROR(AND(ISNUMBER($Z14),$Z14&gt;=DATE(2020,1,1),$Z14&lt;=DATE(2100,12,31)),FALSE()),NOT(ISERROR($Z14))))),FALSE())),1,0)</f>
        <v>0</v>
      </c>
      <c r="AG14">
        <f t="shared" si="7"/>
        <v>0</v>
      </c>
      <c r="AH14" t="str">
        <f t="shared" si="8"/>
        <v/>
      </c>
      <c r="AI14" t="str">
        <f>IFERROR("Yes","Yes")</f>
        <v>Yes</v>
      </c>
      <c r="AJ14">
        <f t="shared" si="9"/>
        <v>0</v>
      </c>
      <c r="AK14">
        <f t="shared" si="10"/>
        <v>0</v>
      </c>
      <c r="AL14">
        <f t="shared" si="11"/>
        <v>0</v>
      </c>
      <c r="AM14">
        <f t="shared" si="12"/>
        <v>0</v>
      </c>
      <c r="AN14">
        <f t="shared" si="13"/>
        <v>0</v>
      </c>
      <c r="AO14">
        <f t="shared" si="14"/>
        <v>0</v>
      </c>
      <c r="AP14">
        <f t="shared" si="15"/>
        <v>0</v>
      </c>
      <c r="AQ14">
        <f t="shared" si="16"/>
        <v>0</v>
      </c>
      <c r="AR14">
        <f t="shared" si="17"/>
        <v>0</v>
      </c>
      <c r="AS14">
        <f t="shared" si="18"/>
        <v>0</v>
      </c>
      <c r="AT14">
        <f t="shared" si="19"/>
        <v>0</v>
      </c>
      <c r="AU14" t="str">
        <f>_xlfn.TEXTJOIN(", ",TRUE(),IF(ISERROR($E14),"E14",""),IF(ISERROR($G14),"G14",""),IF(ISERROR($H14),"H14",""),IF(ISERROR($J14),"J14",""),IF(ISERROR($K14),"K14",""),IF(ISERROR($O14),"O14",""),IF(ISERROR($P14),"P14",""),IF(ISERROR($Q14),"Q14",""),IF(ISERROR($R14),"R14",""),IF(ISERROR($S14),"S14",""),IF(ISERROR($T14),"T14",""),IF(ISERROR($X14),"X14",""),IF(ISERROR($Y14),"Y14",""),IF(ISERROR($Z14),"Z14",""))</f>
        <v/>
      </c>
      <c r="AV14" t="str">
        <f>_xlfn.TEXTJOIN("; ",TRUE(),IF(IFERROR(NOT(OR($J14="",$J14="Yes",$J14="No")),TRUE()),"Invalid override value (J)",""),IF(IFERROR(IF($E14="",$I14="Yes",NOT(OR($E14="Blocker",$E14="Major",$E14="Moderate",$E14="Minor"))),TRUE()),"Invalid or missing criticality (E)",""),IF(IFERROR(IF($J14&lt;&gt;"",$T14="",FALSE()),TRUE()),"Override rationale missing / invalid (T)",""),IF(IFERROR(IF(AND($A14="2.7",$I14="Yes",p_confidential="Yes"),$E14&lt;&gt;"Blocker",FALSE()),TRUE()),"2.7 must be Blocker when S4 = Yes",""),IF(IFERROR(IF(AND($A14="5.8",$I14="Yes"),OR($E14="Moderate",$E14="Minor"),FALSE()),TRUE()),"5.8 should be at least Major",""),IF(IF(IFERROR(AND($J14="No",$AI14="Yes",OR($AD14="Blocker",AND($A14="2.7",p_confidential="Yes"))),FALSE()),NOT(AND(IFERROR($X14&lt;&gt;"",FALSE()),IFERROR($Y14&lt;&gt;"",FALSE()),IFERROR(AND(ISNUMBER($Z14),$Z14&gt;=DATE(2020,1,1),$Z14&lt;=DATE(2100,12,31)),FALSE()))),FALSE()),"Blocker de-scope review missing / invalid (X-Z)",""),IF(IF(IFERROR(IF(OR($E14="Blocker",$E14="Major",$E14="Moderate",$E14="Minor"),$F14&lt;IF($AD14="Blocker",Lookups!$B$8,IF($AD14="Major",Lookups!$B$9,IF($AD14="Moderate",Lookups!$B$10,Lookups!$B$11))),FALSE()),FALSE()),NOT(AND(IFERROR($T14&lt;&gt;"",FALSE()),IFERROR($Y14&lt;&gt;"",FALSE()),IF(IFERROR($Z14&lt;&gt;"",FALSE()),IFERROR(AND(ISNUMBER($Z14),$Z14&gt;=DATE(2020,1,1),$Z14&lt;=DATE(2100,12,31)),FALSE()),NOT(ISERROR($Z14))))),FALSE()),"Criticality below baseline: review missing / invalid (T,Y,Z)",""))</f>
        <v/>
      </c>
      <c r="AW14" t="str">
        <f t="shared" si="20"/>
        <v/>
      </c>
    </row>
    <row r="15" spans="1:49" ht="30" customHeight="1" x14ac:dyDescent="0.3">
      <c r="A15" s="22" t="s">
        <v>238</v>
      </c>
      <c r="B15" s="23" t="s">
        <v>235</v>
      </c>
      <c r="C15" s="24" t="s">
        <v>239</v>
      </c>
      <c r="D15" s="24" t="s">
        <v>240</v>
      </c>
      <c r="E15" s="25" t="s">
        <v>191</v>
      </c>
      <c r="F15" s="26">
        <f>IFERROR(IF($E15="Blocker",Lookups!$B$8,IF($E15="Major",Lookups!$B$9,IF($E15="Moderate",Lookups!$B$10,IF($E15="Minor",Lookups!$B$11,0)))),0)</f>
        <v>5</v>
      </c>
      <c r="G15" s="16">
        <v>4</v>
      </c>
      <c r="H15" s="16">
        <v>5</v>
      </c>
      <c r="I15" s="27" t="str">
        <f>IFERROR(IF(OR($J15="Yes",$J15="No"),$J15,IF(AND(p_provider="External SaaS / API",p_tools="No",p_autonomy="None (chat or single completions)"),"No","Yes")),"Yes")</f>
        <v>Yes</v>
      </c>
      <c r="J15" s="25"/>
      <c r="K15" s="25"/>
      <c r="L15" s="27" t="str">
        <f t="shared" si="0"/>
        <v/>
      </c>
      <c r="M15" s="27">
        <f t="shared" si="1"/>
        <v>100</v>
      </c>
      <c r="N15" s="27" t="str">
        <f t="shared" si="2"/>
        <v/>
      </c>
      <c r="O15" s="25"/>
      <c r="P15" s="25"/>
      <c r="Q15" s="25"/>
      <c r="R15" s="28"/>
      <c r="S15" s="25"/>
      <c r="T15" s="25"/>
      <c r="U15" s="29" t="str">
        <f t="shared" si="3"/>
        <v/>
      </c>
      <c r="V15" s="24"/>
      <c r="W15" s="24" t="s">
        <v>241</v>
      </c>
      <c r="X15" s="13"/>
      <c r="Y15" s="13"/>
      <c r="Z15" s="14"/>
      <c r="AA15" t="str">
        <f t="shared" si="4"/>
        <v/>
      </c>
      <c r="AB15" t="str">
        <f t="shared" si="5"/>
        <v/>
      </c>
      <c r="AC15" t="str">
        <f t="shared" si="6"/>
        <v/>
      </c>
      <c r="AD15" t="s">
        <v>191</v>
      </c>
      <c r="AF15">
        <f>IF(OR(IFERROR(NOT(OR($J15="",$J15="Yes",$J15="No")),TRUE()),IFERROR(IF($E15="",$I15="Yes",NOT(OR($E15="Blocker",$E15="Major",$E15="Moderate",$E15="Minor"))),TRUE()),IFERROR(IF($J15&lt;&gt;"",$T15="",FALSE()),TRUE()),IFERROR(IF(AND($A15="2.7",$I15="Yes",p_confidential="Yes"),$E15&lt;&gt;"Blocker",FALSE()),TRUE()),IFERROR(IF(AND($A15="5.8",$I15="Yes"),OR($E15="Moderate",$E15="Minor"),FALSE()),TRUE()),IF(IFERROR(AND($J15="No",$AI15="Yes",OR($AD15="Blocker",AND($A15="2.7",p_confidential="Yes"))),FALSE()),NOT(AND(IFERROR($X15&lt;&gt;"",FALSE()),IFERROR($Y15&lt;&gt;"",FALSE()),IFERROR(AND(ISNUMBER($Z15),$Z15&gt;=DATE(2020,1,1),$Z15&lt;=DATE(2100,12,31)),FALSE()))),FALSE()),IF(IFERROR(IF(OR($E15="Blocker",$E15="Major",$E15="Moderate",$E15="Minor"),$F15&lt;IF($AD15="Blocker",Lookups!$B$8,IF($AD15="Major",Lookups!$B$9,IF($AD15="Moderate",Lookups!$B$10,Lookups!$B$11))),FALSE()),FALSE()),NOT(AND(IFERROR($T15&lt;&gt;"",FALSE()),IFERROR($Y15&lt;&gt;"",FALSE()),IF(IFERROR($Z15&lt;&gt;"",FALSE()),IFERROR(AND(ISNUMBER($Z15),$Z15&gt;=DATE(2020,1,1),$Z15&lt;=DATE(2100,12,31)),FALSE()),NOT(ISERROR($Z15))))),FALSE())),1,0)</f>
        <v>0</v>
      </c>
      <c r="AG15">
        <f t="shared" si="7"/>
        <v>0</v>
      </c>
      <c r="AH15" t="str">
        <f t="shared" si="8"/>
        <v/>
      </c>
      <c r="AI15" t="str">
        <f>IFERROR(IF(AND(p_provider="External SaaS / API",p_tools="No",p_autonomy="None (chat or single completions)"),"No","Yes"),"Yes")</f>
        <v>Yes</v>
      </c>
      <c r="AJ15">
        <f t="shared" si="9"/>
        <v>0</v>
      </c>
      <c r="AK15">
        <f t="shared" si="10"/>
        <v>0</v>
      </c>
      <c r="AL15">
        <f t="shared" si="11"/>
        <v>0</v>
      </c>
      <c r="AM15">
        <f t="shared" si="12"/>
        <v>0</v>
      </c>
      <c r="AN15">
        <f t="shared" si="13"/>
        <v>0</v>
      </c>
      <c r="AO15">
        <f t="shared" si="14"/>
        <v>0</v>
      </c>
      <c r="AP15">
        <f t="shared" si="15"/>
        <v>0</v>
      </c>
      <c r="AQ15">
        <f t="shared" si="16"/>
        <v>0</v>
      </c>
      <c r="AR15">
        <f t="shared" si="17"/>
        <v>0</v>
      </c>
      <c r="AS15">
        <f t="shared" si="18"/>
        <v>0</v>
      </c>
      <c r="AT15">
        <f t="shared" si="19"/>
        <v>0</v>
      </c>
      <c r="AU15" t="str">
        <f>_xlfn.TEXTJOIN(", ",TRUE(),IF(ISERROR($E15),"E15",""),IF(ISERROR($G15),"G15",""),IF(ISERROR($H15),"H15",""),IF(ISERROR($J15),"J15",""),IF(ISERROR($K15),"K15",""),IF(ISERROR($O15),"O15",""),IF(ISERROR($P15),"P15",""),IF(ISERROR($Q15),"Q15",""),IF(ISERROR($R15),"R15",""),IF(ISERROR($S15),"S15",""),IF(ISERROR($T15),"T15",""),IF(ISERROR($X15),"X15",""),IF(ISERROR($Y15),"Y15",""),IF(ISERROR($Z15),"Z15",""))</f>
        <v/>
      </c>
      <c r="AV15" t="str">
        <f>_xlfn.TEXTJOIN("; ",TRUE(),IF(IFERROR(NOT(OR($J15="",$J15="Yes",$J15="No")),TRUE()),"Invalid override value (J)",""),IF(IFERROR(IF($E15="",$I15="Yes",NOT(OR($E15="Blocker",$E15="Major",$E15="Moderate",$E15="Minor"))),TRUE()),"Invalid or missing criticality (E)",""),IF(IFERROR(IF($J15&lt;&gt;"",$T15="",FALSE()),TRUE()),"Override rationale missing / invalid (T)",""),IF(IFERROR(IF(AND($A15="2.7",$I15="Yes",p_confidential="Yes"),$E15&lt;&gt;"Blocker",FALSE()),TRUE()),"2.7 must be Blocker when S4 = Yes",""),IF(IFERROR(IF(AND($A15="5.8",$I15="Yes"),OR($E15="Moderate",$E15="Minor"),FALSE()),TRUE()),"5.8 should be at least Major",""),IF(IF(IFERROR(AND($J15="No",$AI15="Yes",OR($AD15="Blocker",AND($A15="2.7",p_confidential="Yes"))),FALSE()),NOT(AND(IFERROR($X15&lt;&gt;"",FALSE()),IFERROR($Y15&lt;&gt;"",FALSE()),IFERROR(AND(ISNUMBER($Z15),$Z15&gt;=DATE(2020,1,1),$Z15&lt;=DATE(2100,12,31)),FALSE()))),FALSE()),"Blocker de-scope review missing / invalid (X-Z)",""),IF(IF(IFERROR(IF(OR($E15="Blocker",$E15="Major",$E15="Moderate",$E15="Minor"),$F15&lt;IF($AD15="Blocker",Lookups!$B$8,IF($AD15="Major",Lookups!$B$9,IF($AD15="Moderate",Lookups!$B$10,Lookups!$B$11))),FALSE()),FALSE()),NOT(AND(IFERROR($T15&lt;&gt;"",FALSE()),IFERROR($Y15&lt;&gt;"",FALSE()),IF(IFERROR($Z15&lt;&gt;"",FALSE()),IFERROR(AND(ISNUMBER($Z15),$Z15&gt;=DATE(2020,1,1),$Z15&lt;=DATE(2100,12,31)),FALSE()),NOT(ISERROR($Z15))))),FALSE()),"Criticality below baseline: review missing / invalid (T,Y,Z)",""))</f>
        <v/>
      </c>
      <c r="AW15" t="str">
        <f t="shared" si="20"/>
        <v/>
      </c>
    </row>
    <row r="16" spans="1:49" ht="30" customHeight="1" x14ac:dyDescent="0.3">
      <c r="A16" s="22" t="s">
        <v>242</v>
      </c>
      <c r="B16" s="23" t="s">
        <v>235</v>
      </c>
      <c r="C16" s="24" t="s">
        <v>185</v>
      </c>
      <c r="D16" s="24" t="s">
        <v>243</v>
      </c>
      <c r="E16" s="25" t="s">
        <v>191</v>
      </c>
      <c r="F16" s="26">
        <f>IFERROR(IF($E16="Blocker",Lookups!$B$8,IF($E16="Major",Lookups!$B$9,IF($E16="Moderate",Lookups!$B$10,IF($E16="Minor",Lookups!$B$11,0)))),0)</f>
        <v>5</v>
      </c>
      <c r="G16" s="16">
        <v>4</v>
      </c>
      <c r="H16" s="16">
        <v>5</v>
      </c>
      <c r="I16" s="27" t="str">
        <f>IFERROR(IF(OR($J16="Yes",$J16="No"),$J16,"Yes"),"Yes")</f>
        <v>Yes</v>
      </c>
      <c r="J16" s="25"/>
      <c r="K16" s="25"/>
      <c r="L16" s="27" t="str">
        <f t="shared" si="0"/>
        <v/>
      </c>
      <c r="M16" s="27">
        <f t="shared" si="1"/>
        <v>100</v>
      </c>
      <c r="N16" s="27" t="str">
        <f t="shared" si="2"/>
        <v/>
      </c>
      <c r="O16" s="25"/>
      <c r="P16" s="25"/>
      <c r="Q16" s="25"/>
      <c r="R16" s="28"/>
      <c r="S16" s="25"/>
      <c r="T16" s="25"/>
      <c r="U16" s="29" t="str">
        <f t="shared" si="3"/>
        <v/>
      </c>
      <c r="V16" s="24"/>
      <c r="W16" s="24" t="s">
        <v>244</v>
      </c>
      <c r="X16" s="13"/>
      <c r="Y16" s="13"/>
      <c r="Z16" s="14"/>
      <c r="AA16" t="str">
        <f t="shared" si="4"/>
        <v/>
      </c>
      <c r="AB16" t="str">
        <f t="shared" si="5"/>
        <v/>
      </c>
      <c r="AC16" t="str">
        <f t="shared" si="6"/>
        <v/>
      </c>
      <c r="AD16" t="s">
        <v>191</v>
      </c>
      <c r="AF16">
        <f>IF(OR(IFERROR(NOT(OR($J16="",$J16="Yes",$J16="No")),TRUE()),IFERROR(IF($E16="",$I16="Yes",NOT(OR($E16="Blocker",$E16="Major",$E16="Moderate",$E16="Minor"))),TRUE()),IFERROR(IF($J16&lt;&gt;"",$T16="",FALSE()),TRUE()),IFERROR(IF(AND($A16="2.7",$I16="Yes",p_confidential="Yes"),$E16&lt;&gt;"Blocker",FALSE()),TRUE()),IFERROR(IF(AND($A16="5.8",$I16="Yes"),OR($E16="Moderate",$E16="Minor"),FALSE()),TRUE()),IF(IFERROR(AND($J16="No",$AI16="Yes",OR($AD16="Blocker",AND($A16="2.7",p_confidential="Yes"))),FALSE()),NOT(AND(IFERROR($X16&lt;&gt;"",FALSE()),IFERROR($Y16&lt;&gt;"",FALSE()),IFERROR(AND(ISNUMBER($Z16),$Z16&gt;=DATE(2020,1,1),$Z16&lt;=DATE(2100,12,31)),FALSE()))),FALSE()),IF(IFERROR(IF(OR($E16="Blocker",$E16="Major",$E16="Moderate",$E16="Minor"),$F16&lt;IF($AD16="Blocker",Lookups!$B$8,IF($AD16="Major",Lookups!$B$9,IF($AD16="Moderate",Lookups!$B$10,Lookups!$B$11))),FALSE()),FALSE()),NOT(AND(IFERROR($T16&lt;&gt;"",FALSE()),IFERROR($Y16&lt;&gt;"",FALSE()),IF(IFERROR($Z16&lt;&gt;"",FALSE()),IFERROR(AND(ISNUMBER($Z16),$Z16&gt;=DATE(2020,1,1),$Z16&lt;=DATE(2100,12,31)),FALSE()),NOT(ISERROR($Z16))))),FALSE())),1,0)</f>
        <v>0</v>
      </c>
      <c r="AG16">
        <f t="shared" si="7"/>
        <v>0</v>
      </c>
      <c r="AH16" t="str">
        <f t="shared" si="8"/>
        <v/>
      </c>
      <c r="AI16" t="str">
        <f>IFERROR("Yes","Yes")</f>
        <v>Yes</v>
      </c>
      <c r="AJ16">
        <f t="shared" si="9"/>
        <v>0</v>
      </c>
      <c r="AK16">
        <f t="shared" si="10"/>
        <v>0</v>
      </c>
      <c r="AL16">
        <f t="shared" si="11"/>
        <v>0</v>
      </c>
      <c r="AM16">
        <f t="shared" si="12"/>
        <v>0</v>
      </c>
      <c r="AN16">
        <f t="shared" si="13"/>
        <v>0</v>
      </c>
      <c r="AO16">
        <f t="shared" si="14"/>
        <v>0</v>
      </c>
      <c r="AP16">
        <f t="shared" si="15"/>
        <v>0</v>
      </c>
      <c r="AQ16">
        <f t="shared" si="16"/>
        <v>0</v>
      </c>
      <c r="AR16">
        <f t="shared" si="17"/>
        <v>0</v>
      </c>
      <c r="AS16">
        <f t="shared" si="18"/>
        <v>0</v>
      </c>
      <c r="AT16">
        <f t="shared" si="19"/>
        <v>0</v>
      </c>
      <c r="AU16" t="str">
        <f>_xlfn.TEXTJOIN(", ",TRUE(),IF(ISERROR($E16),"E16",""),IF(ISERROR($G16),"G16",""),IF(ISERROR($H16),"H16",""),IF(ISERROR($J16),"J16",""),IF(ISERROR($K16),"K16",""),IF(ISERROR($O16),"O16",""),IF(ISERROR($P16),"P16",""),IF(ISERROR($Q16),"Q16",""),IF(ISERROR($R16),"R16",""),IF(ISERROR($S16),"S16",""),IF(ISERROR($T16),"T16",""),IF(ISERROR($X16),"X16",""),IF(ISERROR($Y16),"Y16",""),IF(ISERROR($Z16),"Z16",""))</f>
        <v/>
      </c>
      <c r="AV16" t="str">
        <f>_xlfn.TEXTJOIN("; ",TRUE(),IF(IFERROR(NOT(OR($J16="",$J16="Yes",$J16="No")),TRUE()),"Invalid override value (J)",""),IF(IFERROR(IF($E16="",$I16="Yes",NOT(OR($E16="Blocker",$E16="Major",$E16="Moderate",$E16="Minor"))),TRUE()),"Invalid or missing criticality (E)",""),IF(IFERROR(IF($J16&lt;&gt;"",$T16="",FALSE()),TRUE()),"Override rationale missing / invalid (T)",""),IF(IFERROR(IF(AND($A16="2.7",$I16="Yes",p_confidential="Yes"),$E16&lt;&gt;"Blocker",FALSE()),TRUE()),"2.7 must be Blocker when S4 = Yes",""),IF(IFERROR(IF(AND($A16="5.8",$I16="Yes"),OR($E16="Moderate",$E16="Minor"),FALSE()),TRUE()),"5.8 should be at least Major",""),IF(IF(IFERROR(AND($J16="No",$AI16="Yes",OR($AD16="Blocker",AND($A16="2.7",p_confidential="Yes"))),FALSE()),NOT(AND(IFERROR($X16&lt;&gt;"",FALSE()),IFERROR($Y16&lt;&gt;"",FALSE()),IFERROR(AND(ISNUMBER($Z16),$Z16&gt;=DATE(2020,1,1),$Z16&lt;=DATE(2100,12,31)),FALSE()))),FALSE()),"Blocker de-scope review missing / invalid (X-Z)",""),IF(IF(IFERROR(IF(OR($E16="Blocker",$E16="Major",$E16="Moderate",$E16="Minor"),$F16&lt;IF($AD16="Blocker",Lookups!$B$8,IF($AD16="Major",Lookups!$B$9,IF($AD16="Moderate",Lookups!$B$10,Lookups!$B$11))),FALSE()),FALSE()),NOT(AND(IFERROR($T16&lt;&gt;"",FALSE()),IFERROR($Y16&lt;&gt;"",FALSE()),IF(IFERROR($Z16&lt;&gt;"",FALSE()),IFERROR(AND(ISNUMBER($Z16),$Z16&gt;=DATE(2020,1,1),$Z16&lt;=DATE(2100,12,31)),FALSE()),NOT(ISERROR($Z16))))),FALSE()),"Criticality below baseline: review missing / invalid (T,Y,Z)",""))</f>
        <v/>
      </c>
      <c r="AW16" t="str">
        <f t="shared" si="20"/>
        <v/>
      </c>
    </row>
    <row r="17" spans="1:49" ht="45" customHeight="1" x14ac:dyDescent="0.3">
      <c r="A17" s="22" t="s">
        <v>245</v>
      </c>
      <c r="B17" s="23" t="s">
        <v>235</v>
      </c>
      <c r="C17" s="24" t="s">
        <v>185</v>
      </c>
      <c r="D17" s="24" t="s">
        <v>246</v>
      </c>
      <c r="E17" s="25" t="s">
        <v>191</v>
      </c>
      <c r="F17" s="26">
        <f>IFERROR(IF($E17="Blocker",Lookups!$B$8,IF($E17="Major",Lookups!$B$9,IF($E17="Moderate",Lookups!$B$10,IF($E17="Minor",Lookups!$B$11,0)))),0)</f>
        <v>5</v>
      </c>
      <c r="G17" s="16">
        <v>4</v>
      </c>
      <c r="H17" s="16">
        <v>5</v>
      </c>
      <c r="I17" s="27" t="str">
        <f>IFERROR(IF(OR($J17="Yes",$J17="No"),$J17,"Yes"),"Yes")</f>
        <v>Yes</v>
      </c>
      <c r="J17" s="25"/>
      <c r="K17" s="25"/>
      <c r="L17" s="27" t="str">
        <f t="shared" si="0"/>
        <v/>
      </c>
      <c r="M17" s="27">
        <f t="shared" si="1"/>
        <v>100</v>
      </c>
      <c r="N17" s="27" t="str">
        <f t="shared" si="2"/>
        <v/>
      </c>
      <c r="O17" s="25"/>
      <c r="P17" s="25"/>
      <c r="Q17" s="25"/>
      <c r="R17" s="28"/>
      <c r="S17" s="25"/>
      <c r="T17" s="25"/>
      <c r="U17" s="29" t="str">
        <f t="shared" si="3"/>
        <v/>
      </c>
      <c r="V17" s="24"/>
      <c r="W17" s="24" t="s">
        <v>247</v>
      </c>
      <c r="X17" s="13"/>
      <c r="Y17" s="13"/>
      <c r="Z17" s="14"/>
      <c r="AA17" t="str">
        <f t="shared" si="4"/>
        <v/>
      </c>
      <c r="AB17" t="str">
        <f t="shared" si="5"/>
        <v/>
      </c>
      <c r="AC17" t="str">
        <f t="shared" si="6"/>
        <v/>
      </c>
      <c r="AD17" t="s">
        <v>191</v>
      </c>
      <c r="AF17">
        <f>IF(OR(IFERROR(NOT(OR($J17="",$J17="Yes",$J17="No")),TRUE()),IFERROR(IF($E17="",$I17="Yes",NOT(OR($E17="Blocker",$E17="Major",$E17="Moderate",$E17="Minor"))),TRUE()),IFERROR(IF($J17&lt;&gt;"",$T17="",FALSE()),TRUE()),IFERROR(IF(AND($A17="2.7",$I17="Yes",p_confidential="Yes"),$E17&lt;&gt;"Blocker",FALSE()),TRUE()),IFERROR(IF(AND($A17="5.8",$I17="Yes"),OR($E17="Moderate",$E17="Minor"),FALSE()),TRUE()),IF(IFERROR(AND($J17="No",$AI17="Yes",OR($AD17="Blocker",AND($A17="2.7",p_confidential="Yes"))),FALSE()),NOT(AND(IFERROR($X17&lt;&gt;"",FALSE()),IFERROR($Y17&lt;&gt;"",FALSE()),IFERROR(AND(ISNUMBER($Z17),$Z17&gt;=DATE(2020,1,1),$Z17&lt;=DATE(2100,12,31)),FALSE()))),FALSE()),IF(IFERROR(IF(OR($E17="Blocker",$E17="Major",$E17="Moderate",$E17="Minor"),$F17&lt;IF($AD17="Blocker",Lookups!$B$8,IF($AD17="Major",Lookups!$B$9,IF($AD17="Moderate",Lookups!$B$10,Lookups!$B$11))),FALSE()),FALSE()),NOT(AND(IFERROR($T17&lt;&gt;"",FALSE()),IFERROR($Y17&lt;&gt;"",FALSE()),IF(IFERROR($Z17&lt;&gt;"",FALSE()),IFERROR(AND(ISNUMBER($Z17),$Z17&gt;=DATE(2020,1,1),$Z17&lt;=DATE(2100,12,31)),FALSE()),NOT(ISERROR($Z17))))),FALSE())),1,0)</f>
        <v>0</v>
      </c>
      <c r="AG17">
        <f t="shared" si="7"/>
        <v>0</v>
      </c>
      <c r="AH17" t="str">
        <f t="shared" si="8"/>
        <v/>
      </c>
      <c r="AI17" t="str">
        <f>IFERROR("Yes","Yes")</f>
        <v>Yes</v>
      </c>
      <c r="AJ17">
        <f t="shared" si="9"/>
        <v>0</v>
      </c>
      <c r="AK17">
        <f t="shared" si="10"/>
        <v>0</v>
      </c>
      <c r="AL17">
        <f t="shared" si="11"/>
        <v>0</v>
      </c>
      <c r="AM17">
        <f t="shared" si="12"/>
        <v>0</v>
      </c>
      <c r="AN17">
        <f t="shared" si="13"/>
        <v>0</v>
      </c>
      <c r="AO17">
        <f t="shared" si="14"/>
        <v>0</v>
      </c>
      <c r="AP17">
        <f t="shared" si="15"/>
        <v>0</v>
      </c>
      <c r="AQ17">
        <f t="shared" si="16"/>
        <v>0</v>
      </c>
      <c r="AR17">
        <f t="shared" si="17"/>
        <v>0</v>
      </c>
      <c r="AS17">
        <f t="shared" si="18"/>
        <v>0</v>
      </c>
      <c r="AT17">
        <f t="shared" si="19"/>
        <v>0</v>
      </c>
      <c r="AU17" t="str">
        <f>_xlfn.TEXTJOIN(", ",TRUE(),IF(ISERROR($E17),"E17",""),IF(ISERROR($G17),"G17",""),IF(ISERROR($H17),"H17",""),IF(ISERROR($J17),"J17",""),IF(ISERROR($K17),"K17",""),IF(ISERROR($O17),"O17",""),IF(ISERROR($P17),"P17",""),IF(ISERROR($Q17),"Q17",""),IF(ISERROR($R17),"R17",""),IF(ISERROR($S17),"S17",""),IF(ISERROR($T17),"T17",""),IF(ISERROR($X17),"X17",""),IF(ISERROR($Y17),"Y17",""),IF(ISERROR($Z17),"Z17",""))</f>
        <v/>
      </c>
      <c r="AV17" t="str">
        <f>_xlfn.TEXTJOIN("; ",TRUE(),IF(IFERROR(NOT(OR($J17="",$J17="Yes",$J17="No")),TRUE()),"Invalid override value (J)",""),IF(IFERROR(IF($E17="",$I17="Yes",NOT(OR($E17="Blocker",$E17="Major",$E17="Moderate",$E17="Minor"))),TRUE()),"Invalid or missing criticality (E)",""),IF(IFERROR(IF($J17&lt;&gt;"",$T17="",FALSE()),TRUE()),"Override rationale missing / invalid (T)",""),IF(IFERROR(IF(AND($A17="2.7",$I17="Yes",p_confidential="Yes"),$E17&lt;&gt;"Blocker",FALSE()),TRUE()),"2.7 must be Blocker when S4 = Yes",""),IF(IFERROR(IF(AND($A17="5.8",$I17="Yes"),OR($E17="Moderate",$E17="Minor"),FALSE()),TRUE()),"5.8 should be at least Major",""),IF(IF(IFERROR(AND($J17="No",$AI17="Yes",OR($AD17="Blocker",AND($A17="2.7",p_confidential="Yes"))),FALSE()),NOT(AND(IFERROR($X17&lt;&gt;"",FALSE()),IFERROR($Y17&lt;&gt;"",FALSE()),IFERROR(AND(ISNUMBER($Z17),$Z17&gt;=DATE(2020,1,1),$Z17&lt;=DATE(2100,12,31)),FALSE()))),FALSE()),"Blocker de-scope review missing / invalid (X-Z)",""),IF(IF(IFERROR(IF(OR($E17="Blocker",$E17="Major",$E17="Moderate",$E17="Minor"),$F17&lt;IF($AD17="Blocker",Lookups!$B$8,IF($AD17="Major",Lookups!$B$9,IF($AD17="Moderate",Lookups!$B$10,Lookups!$B$11))),FALSE()),FALSE()),NOT(AND(IFERROR($T17&lt;&gt;"",FALSE()),IFERROR($Y17&lt;&gt;"",FALSE()),IF(IFERROR($Z17&lt;&gt;"",FALSE()),IFERROR(AND(ISNUMBER($Z17),$Z17&gt;=DATE(2020,1,1),$Z17&lt;=DATE(2100,12,31)),FALSE()),NOT(ISERROR($Z17))))),FALSE()),"Criticality below baseline: review missing / invalid (T,Y,Z)",""))</f>
        <v/>
      </c>
      <c r="AW17" t="str">
        <f t="shared" si="20"/>
        <v/>
      </c>
    </row>
    <row r="18" spans="1:49" ht="45" customHeight="1" x14ac:dyDescent="0.3">
      <c r="A18" s="22" t="s">
        <v>248</v>
      </c>
      <c r="B18" s="23" t="s">
        <v>235</v>
      </c>
      <c r="C18" s="24" t="s">
        <v>249</v>
      </c>
      <c r="D18" s="24" t="s">
        <v>250</v>
      </c>
      <c r="E18" s="25" t="s">
        <v>191</v>
      </c>
      <c r="F18" s="26">
        <f>IFERROR(IF($E18="Blocker",Lookups!$B$8,IF($E18="Major",Lookups!$B$9,IF($E18="Moderate",Lookups!$B$10,IF($E18="Minor",Lookups!$B$11,0)))),0)</f>
        <v>5</v>
      </c>
      <c r="G18" s="16">
        <v>4</v>
      </c>
      <c r="H18" s="16">
        <v>5</v>
      </c>
      <c r="I18" s="27" t="str">
        <f>IFERROR(IF(OR($J18="Yes",$J18="No"),$J18,IF(p_rag="No","No","Yes")),"Yes")</f>
        <v>Yes</v>
      </c>
      <c r="J18" s="25"/>
      <c r="K18" s="25"/>
      <c r="L18" s="27" t="str">
        <f t="shared" si="0"/>
        <v/>
      </c>
      <c r="M18" s="27">
        <f t="shared" si="1"/>
        <v>100</v>
      </c>
      <c r="N18" s="27" t="str">
        <f t="shared" si="2"/>
        <v/>
      </c>
      <c r="O18" s="25"/>
      <c r="P18" s="25"/>
      <c r="Q18" s="25"/>
      <c r="R18" s="28"/>
      <c r="S18" s="25"/>
      <c r="T18" s="25"/>
      <c r="U18" s="29" t="str">
        <f t="shared" si="3"/>
        <v/>
      </c>
      <c r="V18" s="24"/>
      <c r="W18" s="24" t="s">
        <v>251</v>
      </c>
      <c r="X18" s="13"/>
      <c r="Y18" s="13"/>
      <c r="Z18" s="14"/>
      <c r="AA18" t="str">
        <f t="shared" si="4"/>
        <v/>
      </c>
      <c r="AB18" t="str">
        <f t="shared" si="5"/>
        <v/>
      </c>
      <c r="AC18" t="str">
        <f t="shared" si="6"/>
        <v/>
      </c>
      <c r="AD18" t="s">
        <v>191</v>
      </c>
      <c r="AF18">
        <f>IF(OR(IFERROR(NOT(OR($J18="",$J18="Yes",$J18="No")),TRUE()),IFERROR(IF($E18="",$I18="Yes",NOT(OR($E18="Blocker",$E18="Major",$E18="Moderate",$E18="Minor"))),TRUE()),IFERROR(IF($J18&lt;&gt;"",$T18="",FALSE()),TRUE()),IFERROR(IF(AND($A18="2.7",$I18="Yes",p_confidential="Yes"),$E18&lt;&gt;"Blocker",FALSE()),TRUE()),IFERROR(IF(AND($A18="5.8",$I18="Yes"),OR($E18="Moderate",$E18="Minor"),FALSE()),TRUE()),IF(IFERROR(AND($J18="No",$AI18="Yes",OR($AD18="Blocker",AND($A18="2.7",p_confidential="Yes"))),FALSE()),NOT(AND(IFERROR($X18&lt;&gt;"",FALSE()),IFERROR($Y18&lt;&gt;"",FALSE()),IFERROR(AND(ISNUMBER($Z18),$Z18&gt;=DATE(2020,1,1),$Z18&lt;=DATE(2100,12,31)),FALSE()))),FALSE()),IF(IFERROR(IF(OR($E18="Blocker",$E18="Major",$E18="Moderate",$E18="Minor"),$F18&lt;IF($AD18="Blocker",Lookups!$B$8,IF($AD18="Major",Lookups!$B$9,IF($AD18="Moderate",Lookups!$B$10,Lookups!$B$11))),FALSE()),FALSE()),NOT(AND(IFERROR($T18&lt;&gt;"",FALSE()),IFERROR($Y18&lt;&gt;"",FALSE()),IF(IFERROR($Z18&lt;&gt;"",FALSE()),IFERROR(AND(ISNUMBER($Z18),$Z18&gt;=DATE(2020,1,1),$Z18&lt;=DATE(2100,12,31)),FALSE()),NOT(ISERROR($Z18))))),FALSE())),1,0)</f>
        <v>0</v>
      </c>
      <c r="AG18">
        <f t="shared" si="7"/>
        <v>0</v>
      </c>
      <c r="AH18" t="str">
        <f t="shared" si="8"/>
        <v/>
      </c>
      <c r="AI18" t="str">
        <f>IFERROR(IF(p_rag="No","No","Yes"),"Yes")</f>
        <v>Yes</v>
      </c>
      <c r="AJ18">
        <f t="shared" si="9"/>
        <v>0</v>
      </c>
      <c r="AK18">
        <f t="shared" si="10"/>
        <v>0</v>
      </c>
      <c r="AL18">
        <f t="shared" si="11"/>
        <v>0</v>
      </c>
      <c r="AM18">
        <f t="shared" si="12"/>
        <v>0</v>
      </c>
      <c r="AN18">
        <f t="shared" si="13"/>
        <v>0</v>
      </c>
      <c r="AO18">
        <f t="shared" si="14"/>
        <v>0</v>
      </c>
      <c r="AP18">
        <f t="shared" si="15"/>
        <v>0</v>
      </c>
      <c r="AQ18">
        <f t="shared" si="16"/>
        <v>0</v>
      </c>
      <c r="AR18">
        <f t="shared" si="17"/>
        <v>0</v>
      </c>
      <c r="AS18">
        <f t="shared" si="18"/>
        <v>0</v>
      </c>
      <c r="AT18">
        <f t="shared" si="19"/>
        <v>0</v>
      </c>
      <c r="AU18" t="str">
        <f>_xlfn.TEXTJOIN(", ",TRUE(),IF(ISERROR($E18),"E18",""),IF(ISERROR($G18),"G18",""),IF(ISERROR($H18),"H18",""),IF(ISERROR($J18),"J18",""),IF(ISERROR($K18),"K18",""),IF(ISERROR($O18),"O18",""),IF(ISERROR($P18),"P18",""),IF(ISERROR($Q18),"Q18",""),IF(ISERROR($R18),"R18",""),IF(ISERROR($S18),"S18",""),IF(ISERROR($T18),"T18",""),IF(ISERROR($X18),"X18",""),IF(ISERROR($Y18),"Y18",""),IF(ISERROR($Z18),"Z18",""))</f>
        <v/>
      </c>
      <c r="AV18" t="str">
        <f>_xlfn.TEXTJOIN("; ",TRUE(),IF(IFERROR(NOT(OR($J18="",$J18="Yes",$J18="No")),TRUE()),"Invalid override value (J)",""),IF(IFERROR(IF($E18="",$I18="Yes",NOT(OR($E18="Blocker",$E18="Major",$E18="Moderate",$E18="Minor"))),TRUE()),"Invalid or missing criticality (E)",""),IF(IFERROR(IF($J18&lt;&gt;"",$T18="",FALSE()),TRUE()),"Override rationale missing / invalid (T)",""),IF(IFERROR(IF(AND($A18="2.7",$I18="Yes",p_confidential="Yes"),$E18&lt;&gt;"Blocker",FALSE()),TRUE()),"2.7 must be Blocker when S4 = Yes",""),IF(IFERROR(IF(AND($A18="5.8",$I18="Yes"),OR($E18="Moderate",$E18="Minor"),FALSE()),TRUE()),"5.8 should be at least Major",""),IF(IF(IFERROR(AND($J18="No",$AI18="Yes",OR($AD18="Blocker",AND($A18="2.7",p_confidential="Yes"))),FALSE()),NOT(AND(IFERROR($X18&lt;&gt;"",FALSE()),IFERROR($Y18&lt;&gt;"",FALSE()),IFERROR(AND(ISNUMBER($Z18),$Z18&gt;=DATE(2020,1,1),$Z18&lt;=DATE(2100,12,31)),FALSE()))),FALSE()),"Blocker de-scope review missing / invalid (X-Z)",""),IF(IF(IFERROR(IF(OR($E18="Blocker",$E18="Major",$E18="Moderate",$E18="Minor"),$F18&lt;IF($AD18="Blocker",Lookups!$B$8,IF($AD18="Major",Lookups!$B$9,IF($AD18="Moderate",Lookups!$B$10,Lookups!$B$11))),FALSE()),FALSE()),NOT(AND(IFERROR($T18&lt;&gt;"",FALSE()),IFERROR($Y18&lt;&gt;"",FALSE()),IF(IFERROR($Z18&lt;&gt;"",FALSE()),IFERROR(AND(ISNUMBER($Z18),$Z18&gt;=DATE(2020,1,1),$Z18&lt;=DATE(2100,12,31)),FALSE()),NOT(ISERROR($Z18))))),FALSE()),"Criticality below baseline: review missing / invalid (T,Y,Z)",""))</f>
        <v/>
      </c>
      <c r="AW18" t="str">
        <f t="shared" si="20"/>
        <v/>
      </c>
    </row>
    <row r="19" spans="1:49" ht="30" customHeight="1" x14ac:dyDescent="0.3">
      <c r="A19" s="22" t="s">
        <v>252</v>
      </c>
      <c r="B19" s="23" t="s">
        <v>235</v>
      </c>
      <c r="C19" s="24" t="s">
        <v>253</v>
      </c>
      <c r="D19" s="24" t="s">
        <v>254</v>
      </c>
      <c r="E19" s="25" t="s">
        <v>191</v>
      </c>
      <c r="F19" s="26">
        <f>IFERROR(IF($E19="Blocker",Lookups!$B$8,IF($E19="Major",Lookups!$B$9,IF($E19="Moderate",Lookups!$B$10,IF($E19="Minor",Lookups!$B$11,0)))),0)</f>
        <v>5</v>
      </c>
      <c r="G19" s="16">
        <v>4</v>
      </c>
      <c r="H19" s="16">
        <v>5</v>
      </c>
      <c r="I19" s="27" t="str">
        <f>IFERROR(IF(OR($J19="Yes",$J19="No"),$J19,IF(AND(p_downstream="No",p_tools="No"),"No","Yes")),"Yes")</f>
        <v>Yes</v>
      </c>
      <c r="J19" s="25"/>
      <c r="K19" s="25"/>
      <c r="L19" s="27" t="str">
        <f t="shared" si="0"/>
        <v/>
      </c>
      <c r="M19" s="27">
        <f t="shared" si="1"/>
        <v>100</v>
      </c>
      <c r="N19" s="27" t="str">
        <f t="shared" si="2"/>
        <v/>
      </c>
      <c r="O19" s="25"/>
      <c r="P19" s="25"/>
      <c r="Q19" s="25"/>
      <c r="R19" s="28"/>
      <c r="S19" s="25"/>
      <c r="T19" s="25"/>
      <c r="U19" s="29" t="str">
        <f t="shared" si="3"/>
        <v/>
      </c>
      <c r="V19" s="24" t="s">
        <v>255</v>
      </c>
      <c r="W19" s="24" t="s">
        <v>256</v>
      </c>
      <c r="X19" s="13"/>
      <c r="Y19" s="13"/>
      <c r="Z19" s="14"/>
      <c r="AA19" t="str">
        <f t="shared" si="4"/>
        <v/>
      </c>
      <c r="AB19" t="str">
        <f t="shared" si="5"/>
        <v/>
      </c>
      <c r="AC19" t="str">
        <f t="shared" si="6"/>
        <v/>
      </c>
      <c r="AD19" t="s">
        <v>191</v>
      </c>
      <c r="AF19">
        <f>IF(OR(IFERROR(NOT(OR($J19="",$J19="Yes",$J19="No")),TRUE()),IFERROR(IF($E19="",$I19="Yes",NOT(OR($E19="Blocker",$E19="Major",$E19="Moderate",$E19="Minor"))),TRUE()),IFERROR(IF($J19&lt;&gt;"",$T19="",FALSE()),TRUE()),IFERROR(IF(AND($A19="2.7",$I19="Yes",p_confidential="Yes"),$E19&lt;&gt;"Blocker",FALSE()),TRUE()),IFERROR(IF(AND($A19="5.8",$I19="Yes"),OR($E19="Moderate",$E19="Minor"),FALSE()),TRUE()),IF(IFERROR(AND($J19="No",$AI19="Yes",OR($AD19="Blocker",AND($A19="2.7",p_confidential="Yes"))),FALSE()),NOT(AND(IFERROR($X19&lt;&gt;"",FALSE()),IFERROR($Y19&lt;&gt;"",FALSE()),IFERROR(AND(ISNUMBER($Z19),$Z19&gt;=DATE(2020,1,1),$Z19&lt;=DATE(2100,12,31)),FALSE()))),FALSE()),IF(IFERROR(IF(OR($E19="Blocker",$E19="Major",$E19="Moderate",$E19="Minor"),$F19&lt;IF($AD19="Blocker",Lookups!$B$8,IF($AD19="Major",Lookups!$B$9,IF($AD19="Moderate",Lookups!$B$10,Lookups!$B$11))),FALSE()),FALSE()),NOT(AND(IFERROR($T19&lt;&gt;"",FALSE()),IFERROR($Y19&lt;&gt;"",FALSE()),IF(IFERROR($Z19&lt;&gt;"",FALSE()),IFERROR(AND(ISNUMBER($Z19),$Z19&gt;=DATE(2020,1,1),$Z19&lt;=DATE(2100,12,31)),FALSE()),NOT(ISERROR($Z19))))),FALSE())),1,0)</f>
        <v>0</v>
      </c>
      <c r="AG19">
        <f t="shared" si="7"/>
        <v>0</v>
      </c>
      <c r="AH19" t="str">
        <f t="shared" si="8"/>
        <v/>
      </c>
      <c r="AI19" t="str">
        <f>IFERROR(IF(AND(p_downstream="No",p_tools="No"),"No","Yes"),"Yes")</f>
        <v>Yes</v>
      </c>
      <c r="AJ19">
        <f t="shared" si="9"/>
        <v>0</v>
      </c>
      <c r="AK19">
        <f t="shared" si="10"/>
        <v>0</v>
      </c>
      <c r="AL19">
        <f t="shared" si="11"/>
        <v>0</v>
      </c>
      <c r="AM19">
        <f t="shared" si="12"/>
        <v>0</v>
      </c>
      <c r="AN19">
        <f t="shared" si="13"/>
        <v>0</v>
      </c>
      <c r="AO19">
        <f t="shared" si="14"/>
        <v>0</v>
      </c>
      <c r="AP19">
        <f t="shared" si="15"/>
        <v>0</v>
      </c>
      <c r="AQ19">
        <f t="shared" si="16"/>
        <v>0</v>
      </c>
      <c r="AR19">
        <f t="shared" si="17"/>
        <v>0</v>
      </c>
      <c r="AS19">
        <f t="shared" si="18"/>
        <v>0</v>
      </c>
      <c r="AT19">
        <f t="shared" si="19"/>
        <v>0</v>
      </c>
      <c r="AU19" t="str">
        <f>_xlfn.TEXTJOIN(", ",TRUE(),IF(ISERROR($E19),"E19",""),IF(ISERROR($G19),"G19",""),IF(ISERROR($H19),"H19",""),IF(ISERROR($J19),"J19",""),IF(ISERROR($K19),"K19",""),IF(ISERROR($O19),"O19",""),IF(ISERROR($P19),"P19",""),IF(ISERROR($Q19),"Q19",""),IF(ISERROR($R19),"R19",""),IF(ISERROR($S19),"S19",""),IF(ISERROR($T19),"T19",""),IF(ISERROR($X19),"X19",""),IF(ISERROR($Y19),"Y19",""),IF(ISERROR($Z19),"Z19",""))</f>
        <v/>
      </c>
      <c r="AV19" t="str">
        <f>_xlfn.TEXTJOIN("; ",TRUE(),IF(IFERROR(NOT(OR($J19="",$J19="Yes",$J19="No")),TRUE()),"Invalid override value (J)",""),IF(IFERROR(IF($E19="",$I19="Yes",NOT(OR($E19="Blocker",$E19="Major",$E19="Moderate",$E19="Minor"))),TRUE()),"Invalid or missing criticality (E)",""),IF(IFERROR(IF($J19&lt;&gt;"",$T19="",FALSE()),TRUE()),"Override rationale missing / invalid (T)",""),IF(IFERROR(IF(AND($A19="2.7",$I19="Yes",p_confidential="Yes"),$E19&lt;&gt;"Blocker",FALSE()),TRUE()),"2.7 must be Blocker when S4 = Yes",""),IF(IFERROR(IF(AND($A19="5.8",$I19="Yes"),OR($E19="Moderate",$E19="Minor"),FALSE()),TRUE()),"5.8 should be at least Major",""),IF(IF(IFERROR(AND($J19="No",$AI19="Yes",OR($AD19="Blocker",AND($A19="2.7",p_confidential="Yes"))),FALSE()),NOT(AND(IFERROR($X19&lt;&gt;"",FALSE()),IFERROR($Y19&lt;&gt;"",FALSE()),IFERROR(AND(ISNUMBER($Z19),$Z19&gt;=DATE(2020,1,1),$Z19&lt;=DATE(2100,12,31)),FALSE()))),FALSE()),"Blocker de-scope review missing / invalid (X-Z)",""),IF(IF(IFERROR(IF(OR($E19="Blocker",$E19="Major",$E19="Moderate",$E19="Minor"),$F19&lt;IF($AD19="Blocker",Lookups!$B$8,IF($AD19="Major",Lookups!$B$9,IF($AD19="Moderate",Lookups!$B$10,Lookups!$B$11))),FALSE()),FALSE()),NOT(AND(IFERROR($T19&lt;&gt;"",FALSE()),IFERROR($Y19&lt;&gt;"",FALSE()),IF(IFERROR($Z19&lt;&gt;"",FALSE()),IFERROR(AND(ISNUMBER($Z19),$Z19&gt;=DATE(2020,1,1),$Z19&lt;=DATE(2100,12,31)),FALSE()),NOT(ISERROR($Z19))))),FALSE()),"Criticality below baseline: review missing / invalid (T,Y,Z)",""))</f>
        <v/>
      </c>
      <c r="AW19" t="str">
        <f t="shared" si="20"/>
        <v/>
      </c>
    </row>
    <row r="20" spans="1:49" ht="45" customHeight="1" x14ac:dyDescent="0.3">
      <c r="A20" s="22" t="s">
        <v>257</v>
      </c>
      <c r="B20" s="23" t="s">
        <v>235</v>
      </c>
      <c r="C20" s="24" t="s">
        <v>258</v>
      </c>
      <c r="D20" s="24" t="s">
        <v>259</v>
      </c>
      <c r="E20" s="25" t="s">
        <v>191</v>
      </c>
      <c r="F20" s="26">
        <f>IFERROR(IF($E20="Blocker",Lookups!$B$8,IF($E20="Major",Lookups!$B$9,IF($E20="Moderate",Lookups!$B$10,IF($E20="Minor",Lookups!$B$11,0)))),0)</f>
        <v>5</v>
      </c>
      <c r="G20" s="16">
        <v>3</v>
      </c>
      <c r="H20" s="16">
        <v>5</v>
      </c>
      <c r="I20" s="27" t="str">
        <f>IFERROR(IF(OR($J20="Yes",$J20="No"),$J20,IF(OR(p_locus="End user client / endpoint",p_locus="Cloud or SaaS tenant",p_locus="Own data center / servers",p_locus="Network or gateway (inline)"),"No","Yes")),"Yes")</f>
        <v>Yes</v>
      </c>
      <c r="J20" s="25"/>
      <c r="K20" s="25"/>
      <c r="L20" s="27" t="str">
        <f t="shared" si="0"/>
        <v/>
      </c>
      <c r="M20" s="27">
        <f t="shared" si="1"/>
        <v>75</v>
      </c>
      <c r="N20" s="27" t="str">
        <f t="shared" si="2"/>
        <v/>
      </c>
      <c r="O20" s="25"/>
      <c r="P20" s="25"/>
      <c r="Q20" s="25"/>
      <c r="R20" s="28"/>
      <c r="S20" s="25"/>
      <c r="T20" s="25"/>
      <c r="U20" s="29" t="str">
        <f t="shared" si="3"/>
        <v/>
      </c>
      <c r="V20" s="24"/>
      <c r="W20" s="24" t="s">
        <v>260</v>
      </c>
      <c r="X20" s="13"/>
      <c r="Y20" s="13"/>
      <c r="Z20" s="14"/>
      <c r="AA20" t="str">
        <f t="shared" si="4"/>
        <v/>
      </c>
      <c r="AB20" t="str">
        <f t="shared" si="5"/>
        <v/>
      </c>
      <c r="AC20" t="str">
        <f t="shared" si="6"/>
        <v/>
      </c>
      <c r="AD20" t="s">
        <v>191</v>
      </c>
      <c r="AF20">
        <f>IF(OR(IFERROR(NOT(OR($J20="",$J20="Yes",$J20="No")),TRUE()),IFERROR(IF($E20="",$I20="Yes",NOT(OR($E20="Blocker",$E20="Major",$E20="Moderate",$E20="Minor"))),TRUE()),IFERROR(IF($J20&lt;&gt;"",$T20="",FALSE()),TRUE()),IFERROR(IF(AND($A20="2.7",$I20="Yes",p_confidential="Yes"),$E20&lt;&gt;"Blocker",FALSE()),TRUE()),IFERROR(IF(AND($A20="5.8",$I20="Yes"),OR($E20="Moderate",$E20="Minor"),FALSE()),TRUE()),IF(IFERROR(AND($J20="No",$AI20="Yes",OR($AD20="Blocker",AND($A20="2.7",p_confidential="Yes"))),FALSE()),NOT(AND(IFERROR($X20&lt;&gt;"",FALSE()),IFERROR($Y20&lt;&gt;"",FALSE()),IFERROR(AND(ISNUMBER($Z20),$Z20&gt;=DATE(2020,1,1),$Z20&lt;=DATE(2100,12,31)),FALSE()))),FALSE()),IF(IFERROR(IF(OR($E20="Blocker",$E20="Major",$E20="Moderate",$E20="Minor"),$F20&lt;IF($AD20="Blocker",Lookups!$B$8,IF($AD20="Major",Lookups!$B$9,IF($AD20="Moderate",Lookups!$B$10,Lookups!$B$11))),FALSE()),FALSE()),NOT(AND(IFERROR($T20&lt;&gt;"",FALSE()),IFERROR($Y20&lt;&gt;"",FALSE()),IF(IFERROR($Z20&lt;&gt;"",FALSE()),IFERROR(AND(ISNUMBER($Z20),$Z20&gt;=DATE(2020,1,1),$Z20&lt;=DATE(2100,12,31)),FALSE()),NOT(ISERROR($Z20))))),FALSE())),1,0)</f>
        <v>0</v>
      </c>
      <c r="AG20">
        <f t="shared" si="7"/>
        <v>0</v>
      </c>
      <c r="AH20" t="str">
        <f t="shared" si="8"/>
        <v/>
      </c>
      <c r="AI20" t="str">
        <f>IFERROR(IF(OR(p_locus="End user client / endpoint",p_locus="Cloud or SaaS tenant",p_locus="Own data center / servers",p_locus="Network or gateway (inline)"),"No","Yes"),"Yes")</f>
        <v>Yes</v>
      </c>
      <c r="AJ20">
        <f t="shared" si="9"/>
        <v>0</v>
      </c>
      <c r="AK20">
        <f t="shared" si="10"/>
        <v>0</v>
      </c>
      <c r="AL20">
        <f t="shared" si="11"/>
        <v>0</v>
      </c>
      <c r="AM20">
        <f t="shared" si="12"/>
        <v>0</v>
      </c>
      <c r="AN20">
        <f t="shared" si="13"/>
        <v>0</v>
      </c>
      <c r="AO20">
        <f t="shared" si="14"/>
        <v>0</v>
      </c>
      <c r="AP20">
        <f t="shared" si="15"/>
        <v>0</v>
      </c>
      <c r="AQ20">
        <f t="shared" si="16"/>
        <v>0</v>
      </c>
      <c r="AR20">
        <f t="shared" si="17"/>
        <v>0</v>
      </c>
      <c r="AS20">
        <f t="shared" si="18"/>
        <v>0</v>
      </c>
      <c r="AT20">
        <f t="shared" si="19"/>
        <v>0</v>
      </c>
      <c r="AU20" t="str">
        <f>_xlfn.TEXTJOIN(", ",TRUE(),IF(ISERROR($E20),"E20",""),IF(ISERROR($G20),"G20",""),IF(ISERROR($H20),"H20",""),IF(ISERROR($J20),"J20",""),IF(ISERROR($K20),"K20",""),IF(ISERROR($O20),"O20",""),IF(ISERROR($P20),"P20",""),IF(ISERROR($Q20),"Q20",""),IF(ISERROR($R20),"R20",""),IF(ISERROR($S20),"S20",""),IF(ISERROR($T20),"T20",""),IF(ISERROR($X20),"X20",""),IF(ISERROR($Y20),"Y20",""),IF(ISERROR($Z20),"Z20",""))</f>
        <v/>
      </c>
      <c r="AV20" t="str">
        <f>_xlfn.TEXTJOIN("; ",TRUE(),IF(IFERROR(NOT(OR($J20="",$J20="Yes",$J20="No")),TRUE()),"Invalid override value (J)",""),IF(IFERROR(IF($E20="",$I20="Yes",NOT(OR($E20="Blocker",$E20="Major",$E20="Moderate",$E20="Minor"))),TRUE()),"Invalid or missing criticality (E)",""),IF(IFERROR(IF($J20&lt;&gt;"",$T20="",FALSE()),TRUE()),"Override rationale missing / invalid (T)",""),IF(IFERROR(IF(AND($A20="2.7",$I20="Yes",p_confidential="Yes"),$E20&lt;&gt;"Blocker",FALSE()),TRUE()),"2.7 must be Blocker when S4 = Yes",""),IF(IFERROR(IF(AND($A20="5.8",$I20="Yes"),OR($E20="Moderate",$E20="Minor"),FALSE()),TRUE()),"5.8 should be at least Major",""),IF(IF(IFERROR(AND($J20="No",$AI20="Yes",OR($AD20="Blocker",AND($A20="2.7",p_confidential="Yes"))),FALSE()),NOT(AND(IFERROR($X20&lt;&gt;"",FALSE()),IFERROR($Y20&lt;&gt;"",FALSE()),IFERROR(AND(ISNUMBER($Z20),$Z20&gt;=DATE(2020,1,1),$Z20&lt;=DATE(2100,12,31)),FALSE()))),FALSE()),"Blocker de-scope review missing / invalid (X-Z)",""),IF(IF(IFERROR(IF(OR($E20="Blocker",$E20="Major",$E20="Moderate",$E20="Minor"),$F20&lt;IF($AD20="Blocker",Lookups!$B$8,IF($AD20="Major",Lookups!$B$9,IF($AD20="Moderate",Lookups!$B$10,Lookups!$B$11))),FALSE()),FALSE()),NOT(AND(IFERROR($T20&lt;&gt;"",FALSE()),IFERROR($Y20&lt;&gt;"",FALSE()),IF(IFERROR($Z20&lt;&gt;"",FALSE()),IFERROR(AND(ISNUMBER($Z20),$Z20&gt;=DATE(2020,1,1),$Z20&lt;=DATE(2100,12,31)),FALSE()),NOT(ISERROR($Z20))))),FALSE()),"Criticality below baseline: review missing / invalid (T,Y,Z)",""))</f>
        <v/>
      </c>
      <c r="AW20" t="str">
        <f t="shared" si="20"/>
        <v/>
      </c>
    </row>
    <row r="21" spans="1:49" ht="30" customHeight="1" x14ac:dyDescent="0.3">
      <c r="A21" s="22" t="s">
        <v>261</v>
      </c>
      <c r="B21" s="23" t="s">
        <v>235</v>
      </c>
      <c r="C21" s="24" t="s">
        <v>185</v>
      </c>
      <c r="D21" s="24" t="s">
        <v>262</v>
      </c>
      <c r="E21" s="25" t="s">
        <v>191</v>
      </c>
      <c r="F21" s="26">
        <f>IFERROR(IF($E21="Blocker",Lookups!$B$8,IF($E21="Major",Lookups!$B$9,IF($E21="Moderate",Lookups!$B$10,IF($E21="Minor",Lookups!$B$11,0)))),0)</f>
        <v>5</v>
      </c>
      <c r="G21" s="16">
        <v>4</v>
      </c>
      <c r="H21" s="16">
        <v>5</v>
      </c>
      <c r="I21" s="27" t="str">
        <f>IFERROR(IF(OR($J21="Yes",$J21="No"),$J21,"Yes"),"Yes")</f>
        <v>Yes</v>
      </c>
      <c r="J21" s="25"/>
      <c r="K21" s="25"/>
      <c r="L21" s="27" t="str">
        <f t="shared" si="0"/>
        <v/>
      </c>
      <c r="M21" s="27">
        <f t="shared" si="1"/>
        <v>100</v>
      </c>
      <c r="N21" s="27" t="str">
        <f t="shared" si="2"/>
        <v/>
      </c>
      <c r="O21" s="25"/>
      <c r="P21" s="25"/>
      <c r="Q21" s="25"/>
      <c r="R21" s="28"/>
      <c r="S21" s="25"/>
      <c r="T21" s="25"/>
      <c r="U21" s="29" t="str">
        <f t="shared" si="3"/>
        <v/>
      </c>
      <c r="V21" s="24"/>
      <c r="W21" s="24" t="s">
        <v>263</v>
      </c>
      <c r="X21" s="13"/>
      <c r="Y21" s="13"/>
      <c r="Z21" s="14"/>
      <c r="AA21" t="str">
        <f t="shared" si="4"/>
        <v/>
      </c>
      <c r="AB21" t="str">
        <f t="shared" si="5"/>
        <v/>
      </c>
      <c r="AC21" t="str">
        <f t="shared" si="6"/>
        <v/>
      </c>
      <c r="AD21" t="s">
        <v>191</v>
      </c>
      <c r="AF21">
        <f>IF(OR(IFERROR(NOT(OR($J21="",$J21="Yes",$J21="No")),TRUE()),IFERROR(IF($E21="",$I21="Yes",NOT(OR($E21="Blocker",$E21="Major",$E21="Moderate",$E21="Minor"))),TRUE()),IFERROR(IF($J21&lt;&gt;"",$T21="",FALSE()),TRUE()),IFERROR(IF(AND($A21="2.7",$I21="Yes",p_confidential="Yes"),$E21&lt;&gt;"Blocker",FALSE()),TRUE()),IFERROR(IF(AND($A21="5.8",$I21="Yes"),OR($E21="Moderate",$E21="Minor"),FALSE()),TRUE()),IF(IFERROR(AND($J21="No",$AI21="Yes",OR($AD21="Blocker",AND($A21="2.7",p_confidential="Yes"))),FALSE()),NOT(AND(IFERROR($X21&lt;&gt;"",FALSE()),IFERROR($Y21&lt;&gt;"",FALSE()),IFERROR(AND(ISNUMBER($Z21),$Z21&gt;=DATE(2020,1,1),$Z21&lt;=DATE(2100,12,31)),FALSE()))),FALSE()),IF(IFERROR(IF(OR($E21="Blocker",$E21="Major",$E21="Moderate",$E21="Minor"),$F21&lt;IF($AD21="Blocker",Lookups!$B$8,IF($AD21="Major",Lookups!$B$9,IF($AD21="Moderate",Lookups!$B$10,Lookups!$B$11))),FALSE()),FALSE()),NOT(AND(IFERROR($T21&lt;&gt;"",FALSE()),IFERROR($Y21&lt;&gt;"",FALSE()),IF(IFERROR($Z21&lt;&gt;"",FALSE()),IFERROR(AND(ISNUMBER($Z21),$Z21&gt;=DATE(2020,1,1),$Z21&lt;=DATE(2100,12,31)),FALSE()),NOT(ISERROR($Z21))))),FALSE())),1,0)</f>
        <v>0</v>
      </c>
      <c r="AG21">
        <f t="shared" si="7"/>
        <v>0</v>
      </c>
      <c r="AH21" t="str">
        <f t="shared" si="8"/>
        <v/>
      </c>
      <c r="AI21" t="str">
        <f>IFERROR("Yes","Yes")</f>
        <v>Yes</v>
      </c>
      <c r="AJ21">
        <f t="shared" si="9"/>
        <v>0</v>
      </c>
      <c r="AK21">
        <f t="shared" si="10"/>
        <v>0</v>
      </c>
      <c r="AL21">
        <f t="shared" si="11"/>
        <v>0</v>
      </c>
      <c r="AM21">
        <f t="shared" si="12"/>
        <v>0</v>
      </c>
      <c r="AN21">
        <f t="shared" si="13"/>
        <v>0</v>
      </c>
      <c r="AO21">
        <f t="shared" si="14"/>
        <v>0</v>
      </c>
      <c r="AP21">
        <f t="shared" si="15"/>
        <v>0</v>
      </c>
      <c r="AQ21">
        <f t="shared" si="16"/>
        <v>0</v>
      </c>
      <c r="AR21">
        <f t="shared" si="17"/>
        <v>0</v>
      </c>
      <c r="AS21">
        <f t="shared" si="18"/>
        <v>0</v>
      </c>
      <c r="AT21">
        <f t="shared" si="19"/>
        <v>0</v>
      </c>
      <c r="AU21" t="str">
        <f>_xlfn.TEXTJOIN(", ",TRUE(),IF(ISERROR($E21),"E21",""),IF(ISERROR($G21),"G21",""),IF(ISERROR($H21),"H21",""),IF(ISERROR($J21),"J21",""),IF(ISERROR($K21),"K21",""),IF(ISERROR($O21),"O21",""),IF(ISERROR($P21),"P21",""),IF(ISERROR($Q21),"Q21",""),IF(ISERROR($R21),"R21",""),IF(ISERROR($S21),"S21",""),IF(ISERROR($T21),"T21",""),IF(ISERROR($X21),"X21",""),IF(ISERROR($Y21),"Y21",""),IF(ISERROR($Z21),"Z21",""))</f>
        <v/>
      </c>
      <c r="AV21" t="str">
        <f>_xlfn.TEXTJOIN("; ",TRUE(),IF(IFERROR(NOT(OR($J21="",$J21="Yes",$J21="No")),TRUE()),"Invalid override value (J)",""),IF(IFERROR(IF($E21="",$I21="Yes",NOT(OR($E21="Blocker",$E21="Major",$E21="Moderate",$E21="Minor"))),TRUE()),"Invalid or missing criticality (E)",""),IF(IFERROR(IF($J21&lt;&gt;"",$T21="",FALSE()),TRUE()),"Override rationale missing / invalid (T)",""),IF(IFERROR(IF(AND($A21="2.7",$I21="Yes",p_confidential="Yes"),$E21&lt;&gt;"Blocker",FALSE()),TRUE()),"2.7 must be Blocker when S4 = Yes",""),IF(IFERROR(IF(AND($A21="5.8",$I21="Yes"),OR($E21="Moderate",$E21="Minor"),FALSE()),TRUE()),"5.8 should be at least Major",""),IF(IF(IFERROR(AND($J21="No",$AI21="Yes",OR($AD21="Blocker",AND($A21="2.7",p_confidential="Yes"))),FALSE()),NOT(AND(IFERROR($X21&lt;&gt;"",FALSE()),IFERROR($Y21&lt;&gt;"",FALSE()),IFERROR(AND(ISNUMBER($Z21),$Z21&gt;=DATE(2020,1,1),$Z21&lt;=DATE(2100,12,31)),FALSE()))),FALSE()),"Blocker de-scope review missing / invalid (X-Z)",""),IF(IF(IFERROR(IF(OR($E21="Blocker",$E21="Major",$E21="Moderate",$E21="Minor"),$F21&lt;IF($AD21="Blocker",Lookups!$B$8,IF($AD21="Major",Lookups!$B$9,IF($AD21="Moderate",Lookups!$B$10,Lookups!$B$11))),FALSE()),FALSE()),NOT(AND(IFERROR($T21&lt;&gt;"",FALSE()),IFERROR($Y21&lt;&gt;"",FALSE()),IF(IFERROR($Z21&lt;&gt;"",FALSE()),IFERROR(AND(ISNUMBER($Z21),$Z21&gt;=DATE(2020,1,1),$Z21&lt;=DATE(2100,12,31)),FALSE()),NOT(ISERROR($Z21))))),FALSE()),"Criticality below baseline: review missing / invalid (T,Y,Z)",""))</f>
        <v/>
      </c>
      <c r="AW21" t="str">
        <f t="shared" si="20"/>
        <v/>
      </c>
    </row>
    <row r="22" spans="1:49" ht="45" customHeight="1" x14ac:dyDescent="0.3">
      <c r="A22" s="22" t="s">
        <v>264</v>
      </c>
      <c r="B22" s="23" t="s">
        <v>235</v>
      </c>
      <c r="C22" s="24" t="s">
        <v>265</v>
      </c>
      <c r="D22" s="24" t="s">
        <v>266</v>
      </c>
      <c r="E22" s="25" t="s">
        <v>187</v>
      </c>
      <c r="F22" s="26">
        <f>IFERROR(IF($E22="Blocker",Lookups!$B$8,IF($E22="Major",Lookups!$B$9,IF($E22="Moderate",Lookups!$B$10,IF($E22="Minor",Lookups!$B$11,0)))),0)</f>
        <v>4</v>
      </c>
      <c r="G22" s="16">
        <v>3</v>
      </c>
      <c r="H22" s="16">
        <v>4</v>
      </c>
      <c r="I22" s="27" t="str">
        <f>IFERROR(IF(OR($J22="Yes",$J22="No"),$J22,IF(AND(OR(p_provider="Internal development",p_provider="Self-hosted / open weights"),p_tools="No"),"No","Yes")),"Yes")</f>
        <v>Yes</v>
      </c>
      <c r="J22" s="25"/>
      <c r="K22" s="25"/>
      <c r="L22" s="27" t="str">
        <f t="shared" si="0"/>
        <v/>
      </c>
      <c r="M22" s="27">
        <f t="shared" si="1"/>
        <v>48</v>
      </c>
      <c r="N22" s="27" t="str">
        <f t="shared" si="2"/>
        <v/>
      </c>
      <c r="O22" s="25"/>
      <c r="P22" s="25"/>
      <c r="Q22" s="25"/>
      <c r="R22" s="28"/>
      <c r="S22" s="25"/>
      <c r="T22" s="25"/>
      <c r="U22" s="29" t="str">
        <f t="shared" si="3"/>
        <v/>
      </c>
      <c r="V22" s="24" t="s">
        <v>267</v>
      </c>
      <c r="W22" s="24" t="s">
        <v>268</v>
      </c>
      <c r="X22" s="13"/>
      <c r="Y22" s="13"/>
      <c r="Z22" s="14"/>
      <c r="AA22" t="str">
        <f t="shared" si="4"/>
        <v/>
      </c>
      <c r="AB22" t="str">
        <f t="shared" si="5"/>
        <v/>
      </c>
      <c r="AC22" t="str">
        <f t="shared" si="6"/>
        <v/>
      </c>
      <c r="AD22" t="s">
        <v>187</v>
      </c>
      <c r="AF22">
        <f>IF(OR(IFERROR(NOT(OR($J22="",$J22="Yes",$J22="No")),TRUE()),IFERROR(IF($E22="",$I22="Yes",NOT(OR($E22="Blocker",$E22="Major",$E22="Moderate",$E22="Minor"))),TRUE()),IFERROR(IF($J22&lt;&gt;"",$T22="",FALSE()),TRUE()),IFERROR(IF(AND($A22="2.7",$I22="Yes",p_confidential="Yes"),$E22&lt;&gt;"Blocker",FALSE()),TRUE()),IFERROR(IF(AND($A22="5.8",$I22="Yes"),OR($E22="Moderate",$E22="Minor"),FALSE()),TRUE()),IF(IFERROR(AND($J22="No",$AI22="Yes",OR($AD22="Blocker",AND($A22="2.7",p_confidential="Yes"))),FALSE()),NOT(AND(IFERROR($X22&lt;&gt;"",FALSE()),IFERROR($Y22&lt;&gt;"",FALSE()),IFERROR(AND(ISNUMBER($Z22),$Z22&gt;=DATE(2020,1,1),$Z22&lt;=DATE(2100,12,31)),FALSE()))),FALSE()),IF(IFERROR(IF(OR($E22="Blocker",$E22="Major",$E22="Moderate",$E22="Minor"),$F22&lt;IF($AD22="Blocker",Lookups!$B$8,IF($AD22="Major",Lookups!$B$9,IF($AD22="Moderate",Lookups!$B$10,Lookups!$B$11))),FALSE()),FALSE()),NOT(AND(IFERROR($T22&lt;&gt;"",FALSE()),IFERROR($Y22&lt;&gt;"",FALSE()),IF(IFERROR($Z22&lt;&gt;"",FALSE()),IFERROR(AND(ISNUMBER($Z22),$Z22&gt;=DATE(2020,1,1),$Z22&lt;=DATE(2100,12,31)),FALSE()),NOT(ISERROR($Z22))))),FALSE())),1,0)</f>
        <v>0</v>
      </c>
      <c r="AG22">
        <f t="shared" si="7"/>
        <v>0</v>
      </c>
      <c r="AH22" t="str">
        <f t="shared" si="8"/>
        <v/>
      </c>
      <c r="AI22" t="str">
        <f>IFERROR(IF(AND(OR(p_provider="Internal development",p_provider="Self-hosted / open weights"),p_tools="No"),"No","Yes"),"Yes")</f>
        <v>Yes</v>
      </c>
      <c r="AJ22">
        <f t="shared" si="9"/>
        <v>0</v>
      </c>
      <c r="AK22">
        <f t="shared" si="10"/>
        <v>0</v>
      </c>
      <c r="AL22">
        <f t="shared" si="11"/>
        <v>0</v>
      </c>
      <c r="AM22">
        <f t="shared" si="12"/>
        <v>0</v>
      </c>
      <c r="AN22">
        <f t="shared" si="13"/>
        <v>0</v>
      </c>
      <c r="AO22">
        <f t="shared" si="14"/>
        <v>0</v>
      </c>
      <c r="AP22">
        <f t="shared" si="15"/>
        <v>0</v>
      </c>
      <c r="AQ22">
        <f t="shared" si="16"/>
        <v>0</v>
      </c>
      <c r="AR22">
        <f t="shared" si="17"/>
        <v>0</v>
      </c>
      <c r="AS22">
        <f t="shared" si="18"/>
        <v>0</v>
      </c>
      <c r="AT22">
        <f t="shared" si="19"/>
        <v>0</v>
      </c>
      <c r="AU22" t="str">
        <f>_xlfn.TEXTJOIN(", ",TRUE(),IF(ISERROR($E22),"E22",""),IF(ISERROR($G22),"G22",""),IF(ISERROR($H22),"H22",""),IF(ISERROR($J22),"J22",""),IF(ISERROR($K22),"K22",""),IF(ISERROR($O22),"O22",""),IF(ISERROR($P22),"P22",""),IF(ISERROR($Q22),"Q22",""),IF(ISERROR($R22),"R22",""),IF(ISERROR($S22),"S22",""),IF(ISERROR($T22),"T22",""),IF(ISERROR($X22),"X22",""),IF(ISERROR($Y22),"Y22",""),IF(ISERROR($Z22),"Z22",""))</f>
        <v/>
      </c>
      <c r="AV22" t="str">
        <f>_xlfn.TEXTJOIN("; ",TRUE(),IF(IFERROR(NOT(OR($J22="",$J22="Yes",$J22="No")),TRUE()),"Invalid override value (J)",""),IF(IFERROR(IF($E22="",$I22="Yes",NOT(OR($E22="Blocker",$E22="Major",$E22="Moderate",$E22="Minor"))),TRUE()),"Invalid or missing criticality (E)",""),IF(IFERROR(IF($J22&lt;&gt;"",$T22="",FALSE()),TRUE()),"Override rationale missing / invalid (T)",""),IF(IFERROR(IF(AND($A22="2.7",$I22="Yes",p_confidential="Yes"),$E22&lt;&gt;"Blocker",FALSE()),TRUE()),"2.7 must be Blocker when S4 = Yes",""),IF(IFERROR(IF(AND($A22="5.8",$I22="Yes"),OR($E22="Moderate",$E22="Minor"),FALSE()),TRUE()),"5.8 should be at least Major",""),IF(IF(IFERROR(AND($J22="No",$AI22="Yes",OR($AD22="Blocker",AND($A22="2.7",p_confidential="Yes"))),FALSE()),NOT(AND(IFERROR($X22&lt;&gt;"",FALSE()),IFERROR($Y22&lt;&gt;"",FALSE()),IFERROR(AND(ISNUMBER($Z22),$Z22&gt;=DATE(2020,1,1),$Z22&lt;=DATE(2100,12,31)),FALSE()))),FALSE()),"Blocker de-scope review missing / invalid (X-Z)",""),IF(IF(IFERROR(IF(OR($E22="Blocker",$E22="Major",$E22="Moderate",$E22="Minor"),$F22&lt;IF($AD22="Blocker",Lookups!$B$8,IF($AD22="Major",Lookups!$B$9,IF($AD22="Moderate",Lookups!$B$10,Lookups!$B$11))),FALSE()),FALSE()),NOT(AND(IFERROR($T22&lt;&gt;"",FALSE()),IFERROR($Y22&lt;&gt;"",FALSE()),IF(IFERROR($Z22&lt;&gt;"",FALSE()),IFERROR(AND(ISNUMBER($Z22),$Z22&gt;=DATE(2020,1,1),$Z22&lt;=DATE(2100,12,31)),FALSE()),NOT(ISERROR($Z22))))),FALSE()),"Criticality below baseline: review missing / invalid (T,Y,Z)",""))</f>
        <v/>
      </c>
      <c r="AW22" t="str">
        <f t="shared" si="20"/>
        <v/>
      </c>
    </row>
    <row r="23" spans="1:49" ht="45" customHeight="1" x14ac:dyDescent="0.3">
      <c r="A23" s="22" t="s">
        <v>269</v>
      </c>
      <c r="B23" s="23" t="s">
        <v>270</v>
      </c>
      <c r="C23" s="24" t="s">
        <v>185</v>
      </c>
      <c r="D23" s="24" t="s">
        <v>271</v>
      </c>
      <c r="E23" s="25" t="s">
        <v>187</v>
      </c>
      <c r="F23" s="26">
        <f>IFERROR(IF($E23="Blocker",Lookups!$B$8,IF($E23="Major",Lookups!$B$9,IF($E23="Moderate",Lookups!$B$10,IF($E23="Minor",Lookups!$B$11,0)))),0)</f>
        <v>4</v>
      </c>
      <c r="G23" s="16">
        <v>4</v>
      </c>
      <c r="H23" s="16">
        <v>4</v>
      </c>
      <c r="I23" s="27" t="str">
        <f>IFERROR(IF(OR($J23="Yes",$J23="No"),$J23,"Yes"),"Yes")</f>
        <v>Yes</v>
      </c>
      <c r="J23" s="25"/>
      <c r="K23" s="25"/>
      <c r="L23" s="27" t="str">
        <f t="shared" si="0"/>
        <v/>
      </c>
      <c r="M23" s="27">
        <f t="shared" si="1"/>
        <v>64</v>
      </c>
      <c r="N23" s="27" t="str">
        <f t="shared" si="2"/>
        <v/>
      </c>
      <c r="O23" s="25"/>
      <c r="P23" s="25"/>
      <c r="Q23" s="25"/>
      <c r="R23" s="28"/>
      <c r="S23" s="25"/>
      <c r="T23" s="25"/>
      <c r="U23" s="29" t="str">
        <f t="shared" si="3"/>
        <v/>
      </c>
      <c r="V23" s="24" t="s">
        <v>272</v>
      </c>
      <c r="W23" s="24" t="s">
        <v>273</v>
      </c>
      <c r="X23" s="13"/>
      <c r="Y23" s="13"/>
      <c r="Z23" s="14"/>
      <c r="AA23" t="str">
        <f t="shared" si="4"/>
        <v/>
      </c>
      <c r="AB23" t="str">
        <f t="shared" si="5"/>
        <v/>
      </c>
      <c r="AC23" t="str">
        <f t="shared" si="6"/>
        <v/>
      </c>
      <c r="AD23" t="s">
        <v>187</v>
      </c>
      <c r="AF23">
        <f>IF(OR(IFERROR(NOT(OR($J23="",$J23="Yes",$J23="No")),TRUE()),IFERROR(IF($E23="",$I23="Yes",NOT(OR($E23="Blocker",$E23="Major",$E23="Moderate",$E23="Minor"))),TRUE()),IFERROR(IF($J23&lt;&gt;"",$T23="",FALSE()),TRUE()),IFERROR(IF(AND($A23="2.7",$I23="Yes",p_confidential="Yes"),$E23&lt;&gt;"Blocker",FALSE()),TRUE()),IFERROR(IF(AND($A23="5.8",$I23="Yes"),OR($E23="Moderate",$E23="Minor"),FALSE()),TRUE()),IF(IFERROR(AND($J23="No",$AI23="Yes",OR($AD23="Blocker",AND($A23="2.7",p_confidential="Yes"))),FALSE()),NOT(AND(IFERROR($X23&lt;&gt;"",FALSE()),IFERROR($Y23&lt;&gt;"",FALSE()),IFERROR(AND(ISNUMBER($Z23),$Z23&gt;=DATE(2020,1,1),$Z23&lt;=DATE(2100,12,31)),FALSE()))),FALSE()),IF(IFERROR(IF(OR($E23="Blocker",$E23="Major",$E23="Moderate",$E23="Minor"),$F23&lt;IF($AD23="Blocker",Lookups!$B$8,IF($AD23="Major",Lookups!$B$9,IF($AD23="Moderate",Lookups!$B$10,Lookups!$B$11))),FALSE()),FALSE()),NOT(AND(IFERROR($T23&lt;&gt;"",FALSE()),IFERROR($Y23&lt;&gt;"",FALSE()),IF(IFERROR($Z23&lt;&gt;"",FALSE()),IFERROR(AND(ISNUMBER($Z23),$Z23&gt;=DATE(2020,1,1),$Z23&lt;=DATE(2100,12,31)),FALSE()),NOT(ISERROR($Z23))))),FALSE())),1,0)</f>
        <v>0</v>
      </c>
      <c r="AG23">
        <f t="shared" si="7"/>
        <v>0</v>
      </c>
      <c r="AH23" t="str">
        <f t="shared" si="8"/>
        <v/>
      </c>
      <c r="AI23" t="str">
        <f>IFERROR("Yes","Yes")</f>
        <v>Yes</v>
      </c>
      <c r="AJ23">
        <f t="shared" si="9"/>
        <v>0</v>
      </c>
      <c r="AK23">
        <f t="shared" si="10"/>
        <v>0</v>
      </c>
      <c r="AL23">
        <f t="shared" si="11"/>
        <v>0</v>
      </c>
      <c r="AM23">
        <f t="shared" si="12"/>
        <v>0</v>
      </c>
      <c r="AN23">
        <f t="shared" si="13"/>
        <v>0</v>
      </c>
      <c r="AO23">
        <f t="shared" si="14"/>
        <v>0</v>
      </c>
      <c r="AP23">
        <f t="shared" si="15"/>
        <v>0</v>
      </c>
      <c r="AQ23">
        <f t="shared" si="16"/>
        <v>0</v>
      </c>
      <c r="AR23">
        <f t="shared" si="17"/>
        <v>0</v>
      </c>
      <c r="AS23">
        <f t="shared" si="18"/>
        <v>0</v>
      </c>
      <c r="AT23">
        <f t="shared" si="19"/>
        <v>0</v>
      </c>
      <c r="AU23" t="str">
        <f>_xlfn.TEXTJOIN(", ",TRUE(),IF(ISERROR($E23),"E23",""),IF(ISERROR($G23),"G23",""),IF(ISERROR($H23),"H23",""),IF(ISERROR($J23),"J23",""),IF(ISERROR($K23),"K23",""),IF(ISERROR($O23),"O23",""),IF(ISERROR($P23),"P23",""),IF(ISERROR($Q23),"Q23",""),IF(ISERROR($R23),"R23",""),IF(ISERROR($S23),"S23",""),IF(ISERROR($T23),"T23",""),IF(ISERROR($X23),"X23",""),IF(ISERROR($Y23),"Y23",""),IF(ISERROR($Z23),"Z23",""))</f>
        <v/>
      </c>
      <c r="AV23" t="str">
        <f>_xlfn.TEXTJOIN("; ",TRUE(),IF(IFERROR(NOT(OR($J23="",$J23="Yes",$J23="No")),TRUE()),"Invalid override value (J)",""),IF(IFERROR(IF($E23="",$I23="Yes",NOT(OR($E23="Blocker",$E23="Major",$E23="Moderate",$E23="Minor"))),TRUE()),"Invalid or missing criticality (E)",""),IF(IFERROR(IF($J23&lt;&gt;"",$T23="",FALSE()),TRUE()),"Override rationale missing / invalid (T)",""),IF(IFERROR(IF(AND($A23="2.7",$I23="Yes",p_confidential="Yes"),$E23&lt;&gt;"Blocker",FALSE()),TRUE()),"2.7 must be Blocker when S4 = Yes",""),IF(IFERROR(IF(AND($A23="5.8",$I23="Yes"),OR($E23="Moderate",$E23="Minor"),FALSE()),TRUE()),"5.8 should be at least Major",""),IF(IF(IFERROR(AND($J23="No",$AI23="Yes",OR($AD23="Blocker",AND($A23="2.7",p_confidential="Yes"))),FALSE()),NOT(AND(IFERROR($X23&lt;&gt;"",FALSE()),IFERROR($Y23&lt;&gt;"",FALSE()),IFERROR(AND(ISNUMBER($Z23),$Z23&gt;=DATE(2020,1,1),$Z23&lt;=DATE(2100,12,31)),FALSE()))),FALSE()),"Blocker de-scope review missing / invalid (X-Z)",""),IF(IF(IFERROR(IF(OR($E23="Blocker",$E23="Major",$E23="Moderate",$E23="Minor"),$F23&lt;IF($AD23="Blocker",Lookups!$B$8,IF($AD23="Major",Lookups!$B$9,IF($AD23="Moderate",Lookups!$B$10,Lookups!$B$11))),FALSE()),FALSE()),NOT(AND(IFERROR($T23&lt;&gt;"",FALSE()),IFERROR($Y23&lt;&gt;"",FALSE()),IF(IFERROR($Z23&lt;&gt;"",FALSE()),IFERROR(AND(ISNUMBER($Z23),$Z23&gt;=DATE(2020,1,1),$Z23&lt;=DATE(2100,12,31)),FALSE()),NOT(ISERROR($Z23))))),FALSE()),"Criticality below baseline: review missing / invalid (T,Y,Z)",""))</f>
        <v/>
      </c>
      <c r="AW23" t="str">
        <f t="shared" si="20"/>
        <v/>
      </c>
    </row>
    <row r="24" spans="1:49" ht="30" customHeight="1" x14ac:dyDescent="0.3">
      <c r="A24" s="22" t="s">
        <v>274</v>
      </c>
      <c r="B24" s="23" t="s">
        <v>270</v>
      </c>
      <c r="C24" s="24" t="s">
        <v>185</v>
      </c>
      <c r="D24" s="24" t="s">
        <v>275</v>
      </c>
      <c r="E24" s="25" t="s">
        <v>191</v>
      </c>
      <c r="F24" s="26">
        <f>IFERROR(IF($E24="Blocker",Lookups!$B$8,IF($E24="Major",Lookups!$B$9,IF($E24="Moderate",Lookups!$B$10,IF($E24="Minor",Lookups!$B$11,0)))),0)</f>
        <v>5</v>
      </c>
      <c r="G24" s="16">
        <v>4</v>
      </c>
      <c r="H24" s="16">
        <v>5</v>
      </c>
      <c r="I24" s="27" t="str">
        <f>IFERROR(IF(OR($J24="Yes",$J24="No"),$J24,"Yes"),"Yes")</f>
        <v>Yes</v>
      </c>
      <c r="J24" s="25"/>
      <c r="K24" s="25"/>
      <c r="L24" s="27" t="str">
        <f t="shared" si="0"/>
        <v/>
      </c>
      <c r="M24" s="27">
        <f t="shared" si="1"/>
        <v>100</v>
      </c>
      <c r="N24" s="27" t="str">
        <f t="shared" si="2"/>
        <v/>
      </c>
      <c r="O24" s="25"/>
      <c r="P24" s="25"/>
      <c r="Q24" s="25"/>
      <c r="R24" s="28"/>
      <c r="S24" s="25"/>
      <c r="T24" s="25"/>
      <c r="U24" s="29" t="str">
        <f t="shared" si="3"/>
        <v/>
      </c>
      <c r="V24" s="24" t="s">
        <v>276</v>
      </c>
      <c r="W24" s="24" t="s">
        <v>277</v>
      </c>
      <c r="X24" s="13"/>
      <c r="Y24" s="13"/>
      <c r="Z24" s="14"/>
      <c r="AA24" t="str">
        <f t="shared" si="4"/>
        <v/>
      </c>
      <c r="AB24" t="str">
        <f t="shared" si="5"/>
        <v/>
      </c>
      <c r="AC24" t="str">
        <f t="shared" si="6"/>
        <v/>
      </c>
      <c r="AD24" t="s">
        <v>191</v>
      </c>
      <c r="AF24">
        <f>IF(OR(IFERROR(NOT(OR($J24="",$J24="Yes",$J24="No")),TRUE()),IFERROR(IF($E24="",$I24="Yes",NOT(OR($E24="Blocker",$E24="Major",$E24="Moderate",$E24="Minor"))),TRUE()),IFERROR(IF($J24&lt;&gt;"",$T24="",FALSE()),TRUE()),IFERROR(IF(AND($A24="2.7",$I24="Yes",p_confidential="Yes"),$E24&lt;&gt;"Blocker",FALSE()),TRUE()),IFERROR(IF(AND($A24="5.8",$I24="Yes"),OR($E24="Moderate",$E24="Minor"),FALSE()),TRUE()),IF(IFERROR(AND($J24="No",$AI24="Yes",OR($AD24="Blocker",AND($A24="2.7",p_confidential="Yes"))),FALSE()),NOT(AND(IFERROR($X24&lt;&gt;"",FALSE()),IFERROR($Y24&lt;&gt;"",FALSE()),IFERROR(AND(ISNUMBER($Z24),$Z24&gt;=DATE(2020,1,1),$Z24&lt;=DATE(2100,12,31)),FALSE()))),FALSE()),IF(IFERROR(IF(OR($E24="Blocker",$E24="Major",$E24="Moderate",$E24="Minor"),$F24&lt;IF($AD24="Blocker",Lookups!$B$8,IF($AD24="Major",Lookups!$B$9,IF($AD24="Moderate",Lookups!$B$10,Lookups!$B$11))),FALSE()),FALSE()),NOT(AND(IFERROR($T24&lt;&gt;"",FALSE()),IFERROR($Y24&lt;&gt;"",FALSE()),IF(IFERROR($Z24&lt;&gt;"",FALSE()),IFERROR(AND(ISNUMBER($Z24),$Z24&gt;=DATE(2020,1,1),$Z24&lt;=DATE(2100,12,31)),FALSE()),NOT(ISERROR($Z24))))),FALSE())),1,0)</f>
        <v>0</v>
      </c>
      <c r="AG24">
        <f t="shared" si="7"/>
        <v>0</v>
      </c>
      <c r="AH24" t="str">
        <f t="shared" si="8"/>
        <v/>
      </c>
      <c r="AI24" t="str">
        <f>IFERROR("Yes","Yes")</f>
        <v>Yes</v>
      </c>
      <c r="AJ24">
        <f t="shared" si="9"/>
        <v>0</v>
      </c>
      <c r="AK24">
        <f t="shared" si="10"/>
        <v>0</v>
      </c>
      <c r="AL24">
        <f t="shared" si="11"/>
        <v>0</v>
      </c>
      <c r="AM24">
        <f t="shared" si="12"/>
        <v>0</v>
      </c>
      <c r="AN24">
        <f t="shared" si="13"/>
        <v>0</v>
      </c>
      <c r="AO24">
        <f t="shared" si="14"/>
        <v>0</v>
      </c>
      <c r="AP24">
        <f t="shared" si="15"/>
        <v>0</v>
      </c>
      <c r="AQ24">
        <f t="shared" si="16"/>
        <v>0</v>
      </c>
      <c r="AR24">
        <f t="shared" si="17"/>
        <v>0</v>
      </c>
      <c r="AS24">
        <f t="shared" si="18"/>
        <v>0</v>
      </c>
      <c r="AT24">
        <f t="shared" si="19"/>
        <v>0</v>
      </c>
      <c r="AU24" t="str">
        <f>_xlfn.TEXTJOIN(", ",TRUE(),IF(ISERROR($E24),"E24",""),IF(ISERROR($G24),"G24",""),IF(ISERROR($H24),"H24",""),IF(ISERROR($J24),"J24",""),IF(ISERROR($K24),"K24",""),IF(ISERROR($O24),"O24",""),IF(ISERROR($P24),"P24",""),IF(ISERROR($Q24),"Q24",""),IF(ISERROR($R24),"R24",""),IF(ISERROR($S24),"S24",""),IF(ISERROR($T24),"T24",""),IF(ISERROR($X24),"X24",""),IF(ISERROR($Y24),"Y24",""),IF(ISERROR($Z24),"Z24",""))</f>
        <v/>
      </c>
      <c r="AV24" t="str">
        <f>_xlfn.TEXTJOIN("; ",TRUE(),IF(IFERROR(NOT(OR($J24="",$J24="Yes",$J24="No")),TRUE()),"Invalid override value (J)",""),IF(IFERROR(IF($E24="",$I24="Yes",NOT(OR($E24="Blocker",$E24="Major",$E24="Moderate",$E24="Minor"))),TRUE()),"Invalid or missing criticality (E)",""),IF(IFERROR(IF($J24&lt;&gt;"",$T24="",FALSE()),TRUE()),"Override rationale missing / invalid (T)",""),IF(IFERROR(IF(AND($A24="2.7",$I24="Yes",p_confidential="Yes"),$E24&lt;&gt;"Blocker",FALSE()),TRUE()),"2.7 must be Blocker when S4 = Yes",""),IF(IFERROR(IF(AND($A24="5.8",$I24="Yes"),OR($E24="Moderate",$E24="Minor"),FALSE()),TRUE()),"5.8 should be at least Major",""),IF(IF(IFERROR(AND($J24="No",$AI24="Yes",OR($AD24="Blocker",AND($A24="2.7",p_confidential="Yes"))),FALSE()),NOT(AND(IFERROR($X24&lt;&gt;"",FALSE()),IFERROR($Y24&lt;&gt;"",FALSE()),IFERROR(AND(ISNUMBER($Z24),$Z24&gt;=DATE(2020,1,1),$Z24&lt;=DATE(2100,12,31)),FALSE()))),FALSE()),"Blocker de-scope review missing / invalid (X-Z)",""),IF(IF(IFERROR(IF(OR($E24="Blocker",$E24="Major",$E24="Moderate",$E24="Minor"),$F24&lt;IF($AD24="Blocker",Lookups!$B$8,IF($AD24="Major",Lookups!$B$9,IF($AD24="Moderate",Lookups!$B$10,Lookups!$B$11))),FALSE()),FALSE()),NOT(AND(IFERROR($T24&lt;&gt;"",FALSE()),IFERROR($Y24&lt;&gt;"",FALSE()),IF(IFERROR($Z24&lt;&gt;"",FALSE()),IFERROR(AND(ISNUMBER($Z24),$Z24&gt;=DATE(2020,1,1),$Z24&lt;=DATE(2100,12,31)),FALSE()),NOT(ISERROR($Z24))))),FALSE()),"Criticality below baseline: review missing / invalid (T,Y,Z)",""))</f>
        <v/>
      </c>
      <c r="AW24" t="str">
        <f t="shared" si="20"/>
        <v/>
      </c>
    </row>
    <row r="25" spans="1:49" ht="45" customHeight="1" x14ac:dyDescent="0.3">
      <c r="A25" s="22" t="s">
        <v>278</v>
      </c>
      <c r="B25" s="23" t="s">
        <v>270</v>
      </c>
      <c r="C25" s="24" t="s">
        <v>279</v>
      </c>
      <c r="D25" s="24" t="s">
        <v>280</v>
      </c>
      <c r="E25" s="25" t="s">
        <v>187</v>
      </c>
      <c r="F25" s="26">
        <f>IFERROR(IF($E25="Blocker",Lookups!$B$8,IF($E25="Major",Lookups!$B$9,IF($E25="Moderate",Lookups!$B$10,IF($E25="Minor",Lookups!$B$11,0)))),0)</f>
        <v>4</v>
      </c>
      <c r="G25" s="16">
        <v>3</v>
      </c>
      <c r="H25" s="16">
        <v>4</v>
      </c>
      <c r="I25" s="27" t="str">
        <f>IFERROR(IF(OR($J25="Yes",$J25="No"),$J25,IF(AND(p_finetune="No",p_rag="No"),"No","Yes")),"Yes")</f>
        <v>Yes</v>
      </c>
      <c r="J25" s="25"/>
      <c r="K25" s="25"/>
      <c r="L25" s="27" t="str">
        <f t="shared" si="0"/>
        <v/>
      </c>
      <c r="M25" s="27">
        <f t="shared" si="1"/>
        <v>48</v>
      </c>
      <c r="N25" s="27" t="str">
        <f t="shared" si="2"/>
        <v/>
      </c>
      <c r="O25" s="25"/>
      <c r="P25" s="25"/>
      <c r="Q25" s="25"/>
      <c r="R25" s="28"/>
      <c r="S25" s="25"/>
      <c r="T25" s="25"/>
      <c r="U25" s="29" t="str">
        <f t="shared" si="3"/>
        <v/>
      </c>
      <c r="V25" s="24"/>
      <c r="W25" s="24" t="s">
        <v>281</v>
      </c>
      <c r="X25" s="13"/>
      <c r="Y25" s="13"/>
      <c r="Z25" s="14"/>
      <c r="AA25" t="str">
        <f t="shared" si="4"/>
        <v/>
      </c>
      <c r="AB25" t="str">
        <f t="shared" si="5"/>
        <v/>
      </c>
      <c r="AC25" t="str">
        <f t="shared" si="6"/>
        <v/>
      </c>
      <c r="AD25" t="s">
        <v>187</v>
      </c>
      <c r="AF25">
        <f>IF(OR(IFERROR(NOT(OR($J25="",$J25="Yes",$J25="No")),TRUE()),IFERROR(IF($E25="",$I25="Yes",NOT(OR($E25="Blocker",$E25="Major",$E25="Moderate",$E25="Minor"))),TRUE()),IFERROR(IF($J25&lt;&gt;"",$T25="",FALSE()),TRUE()),IFERROR(IF(AND($A25="2.7",$I25="Yes",p_confidential="Yes"),$E25&lt;&gt;"Blocker",FALSE()),TRUE()),IFERROR(IF(AND($A25="5.8",$I25="Yes"),OR($E25="Moderate",$E25="Minor"),FALSE()),TRUE()),IF(IFERROR(AND($J25="No",$AI25="Yes",OR($AD25="Blocker",AND($A25="2.7",p_confidential="Yes"))),FALSE()),NOT(AND(IFERROR($X25&lt;&gt;"",FALSE()),IFERROR($Y25&lt;&gt;"",FALSE()),IFERROR(AND(ISNUMBER($Z25),$Z25&gt;=DATE(2020,1,1),$Z25&lt;=DATE(2100,12,31)),FALSE()))),FALSE()),IF(IFERROR(IF(OR($E25="Blocker",$E25="Major",$E25="Moderate",$E25="Minor"),$F25&lt;IF($AD25="Blocker",Lookups!$B$8,IF($AD25="Major",Lookups!$B$9,IF($AD25="Moderate",Lookups!$B$10,Lookups!$B$11))),FALSE()),FALSE()),NOT(AND(IFERROR($T25&lt;&gt;"",FALSE()),IFERROR($Y25&lt;&gt;"",FALSE()),IF(IFERROR($Z25&lt;&gt;"",FALSE()),IFERROR(AND(ISNUMBER($Z25),$Z25&gt;=DATE(2020,1,1),$Z25&lt;=DATE(2100,12,31)),FALSE()),NOT(ISERROR($Z25))))),FALSE())),1,0)</f>
        <v>0</v>
      </c>
      <c r="AG25">
        <f t="shared" si="7"/>
        <v>0</v>
      </c>
      <c r="AH25" t="str">
        <f t="shared" si="8"/>
        <v/>
      </c>
      <c r="AI25" t="str">
        <f>IFERROR(IF(AND(p_finetune="No",p_rag="No"),"No","Yes"),"Yes")</f>
        <v>Yes</v>
      </c>
      <c r="AJ25">
        <f t="shared" si="9"/>
        <v>0</v>
      </c>
      <c r="AK25">
        <f t="shared" si="10"/>
        <v>0</v>
      </c>
      <c r="AL25">
        <f t="shared" si="11"/>
        <v>0</v>
      </c>
      <c r="AM25">
        <f t="shared" si="12"/>
        <v>0</v>
      </c>
      <c r="AN25">
        <f t="shared" si="13"/>
        <v>0</v>
      </c>
      <c r="AO25">
        <f t="shared" si="14"/>
        <v>0</v>
      </c>
      <c r="AP25">
        <f t="shared" si="15"/>
        <v>0</v>
      </c>
      <c r="AQ25">
        <f t="shared" si="16"/>
        <v>0</v>
      </c>
      <c r="AR25">
        <f t="shared" si="17"/>
        <v>0</v>
      </c>
      <c r="AS25">
        <f t="shared" si="18"/>
        <v>0</v>
      </c>
      <c r="AT25">
        <f t="shared" si="19"/>
        <v>0</v>
      </c>
      <c r="AU25" t="str">
        <f>_xlfn.TEXTJOIN(", ",TRUE(),IF(ISERROR($E25),"E25",""),IF(ISERROR($G25),"G25",""),IF(ISERROR($H25),"H25",""),IF(ISERROR($J25),"J25",""),IF(ISERROR($K25),"K25",""),IF(ISERROR($O25),"O25",""),IF(ISERROR($P25),"P25",""),IF(ISERROR($Q25),"Q25",""),IF(ISERROR($R25),"R25",""),IF(ISERROR($S25),"S25",""),IF(ISERROR($T25),"T25",""),IF(ISERROR($X25),"X25",""),IF(ISERROR($Y25),"Y25",""),IF(ISERROR($Z25),"Z25",""))</f>
        <v/>
      </c>
      <c r="AV25" t="str">
        <f>_xlfn.TEXTJOIN("; ",TRUE(),IF(IFERROR(NOT(OR($J25="",$J25="Yes",$J25="No")),TRUE()),"Invalid override value (J)",""),IF(IFERROR(IF($E25="",$I25="Yes",NOT(OR($E25="Blocker",$E25="Major",$E25="Moderate",$E25="Minor"))),TRUE()),"Invalid or missing criticality (E)",""),IF(IFERROR(IF($J25&lt;&gt;"",$T25="",FALSE()),TRUE()),"Override rationale missing / invalid (T)",""),IF(IFERROR(IF(AND($A25="2.7",$I25="Yes",p_confidential="Yes"),$E25&lt;&gt;"Blocker",FALSE()),TRUE()),"2.7 must be Blocker when S4 = Yes",""),IF(IFERROR(IF(AND($A25="5.8",$I25="Yes"),OR($E25="Moderate",$E25="Minor"),FALSE()),TRUE()),"5.8 should be at least Major",""),IF(IF(IFERROR(AND($J25="No",$AI25="Yes",OR($AD25="Blocker",AND($A25="2.7",p_confidential="Yes"))),FALSE()),NOT(AND(IFERROR($X25&lt;&gt;"",FALSE()),IFERROR($Y25&lt;&gt;"",FALSE()),IFERROR(AND(ISNUMBER($Z25),$Z25&gt;=DATE(2020,1,1),$Z25&lt;=DATE(2100,12,31)),FALSE()))),FALSE()),"Blocker de-scope review missing / invalid (X-Z)",""),IF(IF(IFERROR(IF(OR($E25="Blocker",$E25="Major",$E25="Moderate",$E25="Minor"),$F25&lt;IF($AD25="Blocker",Lookups!$B$8,IF($AD25="Major",Lookups!$B$9,IF($AD25="Moderate",Lookups!$B$10,Lookups!$B$11))),FALSE()),FALSE()),NOT(AND(IFERROR($T25&lt;&gt;"",FALSE()),IFERROR($Y25&lt;&gt;"",FALSE()),IF(IFERROR($Z25&lt;&gt;"",FALSE()),IFERROR(AND(ISNUMBER($Z25),$Z25&gt;=DATE(2020,1,1),$Z25&lt;=DATE(2100,12,31)),FALSE()),NOT(ISERROR($Z25))))),FALSE()),"Criticality below baseline: review missing / invalid (T,Y,Z)",""))</f>
        <v/>
      </c>
      <c r="AW25" t="str">
        <f t="shared" si="20"/>
        <v/>
      </c>
    </row>
    <row r="26" spans="1:49" ht="30" customHeight="1" x14ac:dyDescent="0.3">
      <c r="A26" s="22" t="s">
        <v>282</v>
      </c>
      <c r="B26" s="23" t="s">
        <v>270</v>
      </c>
      <c r="C26" s="24" t="s">
        <v>283</v>
      </c>
      <c r="D26" s="24" t="s">
        <v>284</v>
      </c>
      <c r="E26" s="25" t="s">
        <v>187</v>
      </c>
      <c r="F26" s="26">
        <f>IFERROR(IF($E26="Blocker",Lookups!$B$8,IF($E26="Major",Lookups!$B$9,IF($E26="Moderate",Lookups!$B$10,IF($E26="Minor",Lookups!$B$11,0)))),0)</f>
        <v>4</v>
      </c>
      <c r="G26" s="16">
        <v>4</v>
      </c>
      <c r="H26" s="16">
        <v>4</v>
      </c>
      <c r="I26" s="27" t="str">
        <f>IFERROR(IF(OR($J26="Yes",$J26="No"),$J26,IF(p_users="Internal (limited group)","No","Yes")),"Yes")</f>
        <v>Yes</v>
      </c>
      <c r="J26" s="25"/>
      <c r="K26" s="25"/>
      <c r="L26" s="27" t="str">
        <f t="shared" si="0"/>
        <v/>
      </c>
      <c r="M26" s="27">
        <f t="shared" si="1"/>
        <v>64</v>
      </c>
      <c r="N26" s="27" t="str">
        <f t="shared" si="2"/>
        <v/>
      </c>
      <c r="O26" s="25"/>
      <c r="P26" s="25"/>
      <c r="Q26" s="25"/>
      <c r="R26" s="28"/>
      <c r="S26" s="25"/>
      <c r="T26" s="25"/>
      <c r="U26" s="29" t="str">
        <f t="shared" si="3"/>
        <v/>
      </c>
      <c r="V26" s="24"/>
      <c r="W26" s="24" t="s">
        <v>285</v>
      </c>
      <c r="X26" s="13"/>
      <c r="Y26" s="13"/>
      <c r="Z26" s="14"/>
      <c r="AA26" t="str">
        <f t="shared" si="4"/>
        <v/>
      </c>
      <c r="AB26" t="str">
        <f t="shared" si="5"/>
        <v/>
      </c>
      <c r="AC26" t="str">
        <f t="shared" si="6"/>
        <v/>
      </c>
      <c r="AD26" t="s">
        <v>187</v>
      </c>
      <c r="AF26">
        <f>IF(OR(IFERROR(NOT(OR($J26="",$J26="Yes",$J26="No")),TRUE()),IFERROR(IF($E26="",$I26="Yes",NOT(OR($E26="Blocker",$E26="Major",$E26="Moderate",$E26="Minor"))),TRUE()),IFERROR(IF($J26&lt;&gt;"",$T26="",FALSE()),TRUE()),IFERROR(IF(AND($A26="2.7",$I26="Yes",p_confidential="Yes"),$E26&lt;&gt;"Blocker",FALSE()),TRUE()),IFERROR(IF(AND($A26="5.8",$I26="Yes"),OR($E26="Moderate",$E26="Minor"),FALSE()),TRUE()),IF(IFERROR(AND($J26="No",$AI26="Yes",OR($AD26="Blocker",AND($A26="2.7",p_confidential="Yes"))),FALSE()),NOT(AND(IFERROR($X26&lt;&gt;"",FALSE()),IFERROR($Y26&lt;&gt;"",FALSE()),IFERROR(AND(ISNUMBER($Z26),$Z26&gt;=DATE(2020,1,1),$Z26&lt;=DATE(2100,12,31)),FALSE()))),FALSE()),IF(IFERROR(IF(OR($E26="Blocker",$E26="Major",$E26="Moderate",$E26="Minor"),$F26&lt;IF($AD26="Blocker",Lookups!$B$8,IF($AD26="Major",Lookups!$B$9,IF($AD26="Moderate",Lookups!$B$10,Lookups!$B$11))),FALSE()),FALSE()),NOT(AND(IFERROR($T26&lt;&gt;"",FALSE()),IFERROR($Y26&lt;&gt;"",FALSE()),IF(IFERROR($Z26&lt;&gt;"",FALSE()),IFERROR(AND(ISNUMBER($Z26),$Z26&gt;=DATE(2020,1,1),$Z26&lt;=DATE(2100,12,31)),FALSE()),NOT(ISERROR($Z26))))),FALSE())),1,0)</f>
        <v>0</v>
      </c>
      <c r="AG26">
        <f t="shared" si="7"/>
        <v>0</v>
      </c>
      <c r="AH26" t="str">
        <f t="shared" si="8"/>
        <v/>
      </c>
      <c r="AI26" t="str">
        <f>IFERROR(IF(p_users="Internal (limited group)","No","Yes"),"Yes")</f>
        <v>Yes</v>
      </c>
      <c r="AJ26">
        <f t="shared" si="9"/>
        <v>0</v>
      </c>
      <c r="AK26">
        <f t="shared" si="10"/>
        <v>0</v>
      </c>
      <c r="AL26">
        <f t="shared" si="11"/>
        <v>0</v>
      </c>
      <c r="AM26">
        <f t="shared" si="12"/>
        <v>0</v>
      </c>
      <c r="AN26">
        <f t="shared" si="13"/>
        <v>0</v>
      </c>
      <c r="AO26">
        <f t="shared" si="14"/>
        <v>0</v>
      </c>
      <c r="AP26">
        <f t="shared" si="15"/>
        <v>0</v>
      </c>
      <c r="AQ26">
        <f t="shared" si="16"/>
        <v>0</v>
      </c>
      <c r="AR26">
        <f t="shared" si="17"/>
        <v>0</v>
      </c>
      <c r="AS26">
        <f t="shared" si="18"/>
        <v>0</v>
      </c>
      <c r="AT26">
        <f t="shared" si="19"/>
        <v>0</v>
      </c>
      <c r="AU26" t="str">
        <f>_xlfn.TEXTJOIN(", ",TRUE(),IF(ISERROR($E26),"E26",""),IF(ISERROR($G26),"G26",""),IF(ISERROR($H26),"H26",""),IF(ISERROR($J26),"J26",""),IF(ISERROR($K26),"K26",""),IF(ISERROR($O26),"O26",""),IF(ISERROR($P26),"P26",""),IF(ISERROR($Q26),"Q26",""),IF(ISERROR($R26),"R26",""),IF(ISERROR($S26),"S26",""),IF(ISERROR($T26),"T26",""),IF(ISERROR($X26),"X26",""),IF(ISERROR($Y26),"Y26",""),IF(ISERROR($Z26),"Z26",""))</f>
        <v/>
      </c>
      <c r="AV26" t="str">
        <f>_xlfn.TEXTJOIN("; ",TRUE(),IF(IFERROR(NOT(OR($J26="",$J26="Yes",$J26="No")),TRUE()),"Invalid override value (J)",""),IF(IFERROR(IF($E26="",$I26="Yes",NOT(OR($E26="Blocker",$E26="Major",$E26="Moderate",$E26="Minor"))),TRUE()),"Invalid or missing criticality (E)",""),IF(IFERROR(IF($J26&lt;&gt;"",$T26="",FALSE()),TRUE()),"Override rationale missing / invalid (T)",""),IF(IFERROR(IF(AND($A26="2.7",$I26="Yes",p_confidential="Yes"),$E26&lt;&gt;"Blocker",FALSE()),TRUE()),"2.7 must be Blocker when S4 = Yes",""),IF(IFERROR(IF(AND($A26="5.8",$I26="Yes"),OR($E26="Moderate",$E26="Minor"),FALSE()),TRUE()),"5.8 should be at least Major",""),IF(IF(IFERROR(AND($J26="No",$AI26="Yes",OR($AD26="Blocker",AND($A26="2.7",p_confidential="Yes"))),FALSE()),NOT(AND(IFERROR($X26&lt;&gt;"",FALSE()),IFERROR($Y26&lt;&gt;"",FALSE()),IFERROR(AND(ISNUMBER($Z26),$Z26&gt;=DATE(2020,1,1),$Z26&lt;=DATE(2100,12,31)),FALSE()))),FALSE()),"Blocker de-scope review missing / invalid (X-Z)",""),IF(IF(IFERROR(IF(OR($E26="Blocker",$E26="Major",$E26="Moderate",$E26="Minor"),$F26&lt;IF($AD26="Blocker",Lookups!$B$8,IF($AD26="Major",Lookups!$B$9,IF($AD26="Moderate",Lookups!$B$10,Lookups!$B$11))),FALSE()),FALSE()),NOT(AND(IFERROR($T26&lt;&gt;"",FALSE()),IFERROR($Y26&lt;&gt;"",FALSE()),IF(IFERROR($Z26&lt;&gt;"",FALSE()),IFERROR(AND(ISNUMBER($Z26),$Z26&gt;=DATE(2020,1,1),$Z26&lt;=DATE(2100,12,31)),FALSE()),NOT(ISERROR($Z26))))),FALSE()),"Criticality below baseline: review missing / invalid (T,Y,Z)",""))</f>
        <v/>
      </c>
      <c r="AW26" t="str">
        <f t="shared" si="20"/>
        <v/>
      </c>
    </row>
    <row r="27" spans="1:49" ht="30" customHeight="1" x14ac:dyDescent="0.3">
      <c r="A27" s="22" t="s">
        <v>286</v>
      </c>
      <c r="B27" s="23" t="s">
        <v>270</v>
      </c>
      <c r="C27" s="24" t="s">
        <v>287</v>
      </c>
      <c r="D27" s="24" t="s">
        <v>288</v>
      </c>
      <c r="E27" s="25" t="s">
        <v>191</v>
      </c>
      <c r="F27" s="26">
        <f>IFERROR(IF($E27="Blocker",Lookups!$B$8,IF($E27="Major",Lookups!$B$9,IF($E27="Moderate",Lookups!$B$10,IF($E27="Minor",Lookups!$B$11,0)))),0)</f>
        <v>5</v>
      </c>
      <c r="G27" s="16">
        <v>4</v>
      </c>
      <c r="H27" s="16">
        <v>5</v>
      </c>
      <c r="I27" s="27" t="str">
        <f>IFERROR(IF(OR($J27="Yes",$J27="No"),$J27,IF(AND(p_personal="No",p_confidential="No"),"No","Yes")),"Yes")</f>
        <v>Yes</v>
      </c>
      <c r="J27" s="25"/>
      <c r="K27" s="25"/>
      <c r="L27" s="27" t="str">
        <f t="shared" si="0"/>
        <v/>
      </c>
      <c r="M27" s="27">
        <f t="shared" si="1"/>
        <v>100</v>
      </c>
      <c r="N27" s="27" t="str">
        <f t="shared" si="2"/>
        <v/>
      </c>
      <c r="O27" s="25"/>
      <c r="P27" s="25"/>
      <c r="Q27" s="25"/>
      <c r="R27" s="28"/>
      <c r="S27" s="25"/>
      <c r="T27" s="25"/>
      <c r="U27" s="29" t="str">
        <f t="shared" si="3"/>
        <v/>
      </c>
      <c r="V27" s="24"/>
      <c r="W27" s="24" t="s">
        <v>289</v>
      </c>
      <c r="X27" s="13"/>
      <c r="Y27" s="13"/>
      <c r="Z27" s="14"/>
      <c r="AA27" t="str">
        <f t="shared" si="4"/>
        <v/>
      </c>
      <c r="AB27" t="str">
        <f t="shared" si="5"/>
        <v/>
      </c>
      <c r="AC27" t="str">
        <f t="shared" si="6"/>
        <v/>
      </c>
      <c r="AD27" t="s">
        <v>191</v>
      </c>
      <c r="AF27">
        <f>IF(OR(IFERROR(NOT(OR($J27="",$J27="Yes",$J27="No")),TRUE()),IFERROR(IF($E27="",$I27="Yes",NOT(OR($E27="Blocker",$E27="Major",$E27="Moderate",$E27="Minor"))),TRUE()),IFERROR(IF($J27&lt;&gt;"",$T27="",FALSE()),TRUE()),IFERROR(IF(AND($A27="2.7",$I27="Yes",p_confidential="Yes"),$E27&lt;&gt;"Blocker",FALSE()),TRUE()),IFERROR(IF(AND($A27="5.8",$I27="Yes"),OR($E27="Moderate",$E27="Minor"),FALSE()),TRUE()),IF(IFERROR(AND($J27="No",$AI27="Yes",OR($AD27="Blocker",AND($A27="2.7",p_confidential="Yes"))),FALSE()),NOT(AND(IFERROR($X27&lt;&gt;"",FALSE()),IFERROR($Y27&lt;&gt;"",FALSE()),IFERROR(AND(ISNUMBER($Z27),$Z27&gt;=DATE(2020,1,1),$Z27&lt;=DATE(2100,12,31)),FALSE()))),FALSE()),IF(IFERROR(IF(OR($E27="Blocker",$E27="Major",$E27="Moderate",$E27="Minor"),$F27&lt;IF($AD27="Blocker",Lookups!$B$8,IF($AD27="Major",Lookups!$B$9,IF($AD27="Moderate",Lookups!$B$10,Lookups!$B$11))),FALSE()),FALSE()),NOT(AND(IFERROR($T27&lt;&gt;"",FALSE()),IFERROR($Y27&lt;&gt;"",FALSE()),IF(IFERROR($Z27&lt;&gt;"",FALSE()),IFERROR(AND(ISNUMBER($Z27),$Z27&gt;=DATE(2020,1,1),$Z27&lt;=DATE(2100,12,31)),FALSE()),NOT(ISERROR($Z27))))),FALSE())),1,0)</f>
        <v>0</v>
      </c>
      <c r="AG27">
        <f t="shared" si="7"/>
        <v>0</v>
      </c>
      <c r="AH27" t="str">
        <f t="shared" si="8"/>
        <v/>
      </c>
      <c r="AI27" t="str">
        <f>IFERROR(IF(AND(p_personal="No",p_confidential="No"),"No","Yes"),"Yes")</f>
        <v>Yes</v>
      </c>
      <c r="AJ27">
        <f t="shared" si="9"/>
        <v>0</v>
      </c>
      <c r="AK27">
        <f t="shared" si="10"/>
        <v>0</v>
      </c>
      <c r="AL27">
        <f t="shared" si="11"/>
        <v>0</v>
      </c>
      <c r="AM27">
        <f t="shared" si="12"/>
        <v>0</v>
      </c>
      <c r="AN27">
        <f t="shared" si="13"/>
        <v>0</v>
      </c>
      <c r="AO27">
        <f t="shared" si="14"/>
        <v>0</v>
      </c>
      <c r="AP27">
        <f t="shared" si="15"/>
        <v>0</v>
      </c>
      <c r="AQ27">
        <f t="shared" si="16"/>
        <v>0</v>
      </c>
      <c r="AR27">
        <f t="shared" si="17"/>
        <v>0</v>
      </c>
      <c r="AS27">
        <f t="shared" si="18"/>
        <v>0</v>
      </c>
      <c r="AT27">
        <f t="shared" si="19"/>
        <v>0</v>
      </c>
      <c r="AU27" t="str">
        <f>_xlfn.TEXTJOIN(", ",TRUE(),IF(ISERROR($E27),"E27",""),IF(ISERROR($G27),"G27",""),IF(ISERROR($H27),"H27",""),IF(ISERROR($J27),"J27",""),IF(ISERROR($K27),"K27",""),IF(ISERROR($O27),"O27",""),IF(ISERROR($P27),"P27",""),IF(ISERROR($Q27),"Q27",""),IF(ISERROR($R27),"R27",""),IF(ISERROR($S27),"S27",""),IF(ISERROR($T27),"T27",""),IF(ISERROR($X27),"X27",""),IF(ISERROR($Y27),"Y27",""),IF(ISERROR($Z27),"Z27",""))</f>
        <v/>
      </c>
      <c r="AV27" t="str">
        <f>_xlfn.TEXTJOIN("; ",TRUE(),IF(IFERROR(NOT(OR($J27="",$J27="Yes",$J27="No")),TRUE()),"Invalid override value (J)",""),IF(IFERROR(IF($E27="",$I27="Yes",NOT(OR($E27="Blocker",$E27="Major",$E27="Moderate",$E27="Minor"))),TRUE()),"Invalid or missing criticality (E)",""),IF(IFERROR(IF($J27&lt;&gt;"",$T27="",FALSE()),TRUE()),"Override rationale missing / invalid (T)",""),IF(IFERROR(IF(AND($A27="2.7",$I27="Yes",p_confidential="Yes"),$E27&lt;&gt;"Blocker",FALSE()),TRUE()),"2.7 must be Blocker when S4 = Yes",""),IF(IFERROR(IF(AND($A27="5.8",$I27="Yes"),OR($E27="Moderate",$E27="Minor"),FALSE()),TRUE()),"5.8 should be at least Major",""),IF(IF(IFERROR(AND($J27="No",$AI27="Yes",OR($AD27="Blocker",AND($A27="2.7",p_confidential="Yes"))),FALSE()),NOT(AND(IFERROR($X27&lt;&gt;"",FALSE()),IFERROR($Y27&lt;&gt;"",FALSE()),IFERROR(AND(ISNUMBER($Z27),$Z27&gt;=DATE(2020,1,1),$Z27&lt;=DATE(2100,12,31)),FALSE()))),FALSE()),"Blocker de-scope review missing / invalid (X-Z)",""),IF(IF(IFERROR(IF(OR($E27="Blocker",$E27="Major",$E27="Moderate",$E27="Minor"),$F27&lt;IF($AD27="Blocker",Lookups!$B$8,IF($AD27="Major",Lookups!$B$9,IF($AD27="Moderate",Lookups!$B$10,Lookups!$B$11))),FALSE()),FALSE()),NOT(AND(IFERROR($T27&lt;&gt;"",FALSE()),IFERROR($Y27&lt;&gt;"",FALSE()),IF(IFERROR($Z27&lt;&gt;"",FALSE()),IFERROR(AND(ISNUMBER($Z27),$Z27&gt;=DATE(2020,1,1),$Z27&lt;=DATE(2100,12,31)),FALSE()),NOT(ISERROR($Z27))))),FALSE()),"Criticality below baseline: review missing / invalid (T,Y,Z)",""))</f>
        <v/>
      </c>
      <c r="AW27" t="str">
        <f t="shared" si="20"/>
        <v/>
      </c>
    </row>
    <row r="28" spans="1:49" ht="45" customHeight="1" x14ac:dyDescent="0.3">
      <c r="A28" s="22" t="s">
        <v>290</v>
      </c>
      <c r="B28" s="23" t="s">
        <v>270</v>
      </c>
      <c r="C28" s="24" t="s">
        <v>291</v>
      </c>
      <c r="D28" s="24" t="s">
        <v>292</v>
      </c>
      <c r="E28" s="25" t="s">
        <v>191</v>
      </c>
      <c r="F28" s="26">
        <f>IFERROR(IF($E28="Blocker",Lookups!$B$8,IF($E28="Major",Lookups!$B$9,IF($E28="Moderate",Lookups!$B$10,IF($E28="Minor",Lookups!$B$11,0)))),0)</f>
        <v>5</v>
      </c>
      <c r="G28" s="16">
        <v>4</v>
      </c>
      <c r="H28" s="16">
        <v>5</v>
      </c>
      <c r="I28" s="27" t="str">
        <f>IFERROR(IF(OR($J28="Yes",$J28="No"),$J28,IF(AND(p_tools="No",p_autonomy="None (chat or single completions)"),"No","Yes")),"Yes")</f>
        <v>Yes</v>
      </c>
      <c r="J28" s="25"/>
      <c r="K28" s="25"/>
      <c r="L28" s="27" t="str">
        <f t="shared" si="0"/>
        <v/>
      </c>
      <c r="M28" s="27">
        <f t="shared" si="1"/>
        <v>100</v>
      </c>
      <c r="N28" s="27" t="str">
        <f t="shared" si="2"/>
        <v/>
      </c>
      <c r="O28" s="25"/>
      <c r="P28" s="25"/>
      <c r="Q28" s="25"/>
      <c r="R28" s="28"/>
      <c r="S28" s="25"/>
      <c r="T28" s="25"/>
      <c r="U28" s="29" t="str">
        <f t="shared" si="3"/>
        <v/>
      </c>
      <c r="V28" s="24" t="s">
        <v>293</v>
      </c>
      <c r="W28" s="24" t="s">
        <v>294</v>
      </c>
      <c r="X28" s="13"/>
      <c r="Y28" s="13"/>
      <c r="Z28" s="14"/>
      <c r="AA28" t="str">
        <f t="shared" si="4"/>
        <v/>
      </c>
      <c r="AB28" t="str">
        <f t="shared" si="5"/>
        <v/>
      </c>
      <c r="AC28" t="str">
        <f t="shared" si="6"/>
        <v/>
      </c>
      <c r="AD28" t="s">
        <v>191</v>
      </c>
      <c r="AF28">
        <f>IF(OR(IFERROR(NOT(OR($J28="",$J28="Yes",$J28="No")),TRUE()),IFERROR(IF($E28="",$I28="Yes",NOT(OR($E28="Blocker",$E28="Major",$E28="Moderate",$E28="Minor"))),TRUE()),IFERROR(IF($J28&lt;&gt;"",$T28="",FALSE()),TRUE()),IFERROR(IF(AND($A28="2.7",$I28="Yes",p_confidential="Yes"),$E28&lt;&gt;"Blocker",FALSE()),TRUE()),IFERROR(IF(AND($A28="5.8",$I28="Yes"),OR($E28="Moderate",$E28="Minor"),FALSE()),TRUE()),IF(IFERROR(AND($J28="No",$AI28="Yes",OR($AD28="Blocker",AND($A28="2.7",p_confidential="Yes"))),FALSE()),NOT(AND(IFERROR($X28&lt;&gt;"",FALSE()),IFERROR($Y28&lt;&gt;"",FALSE()),IFERROR(AND(ISNUMBER($Z28),$Z28&gt;=DATE(2020,1,1),$Z28&lt;=DATE(2100,12,31)),FALSE()))),FALSE()),IF(IFERROR(IF(OR($E28="Blocker",$E28="Major",$E28="Moderate",$E28="Minor"),$F28&lt;IF($AD28="Blocker",Lookups!$B$8,IF($AD28="Major",Lookups!$B$9,IF($AD28="Moderate",Lookups!$B$10,Lookups!$B$11))),FALSE()),FALSE()),NOT(AND(IFERROR($T28&lt;&gt;"",FALSE()),IFERROR($Y28&lt;&gt;"",FALSE()),IF(IFERROR($Z28&lt;&gt;"",FALSE()),IFERROR(AND(ISNUMBER($Z28),$Z28&gt;=DATE(2020,1,1),$Z28&lt;=DATE(2100,12,31)),FALSE()),NOT(ISERROR($Z28))))),FALSE())),1,0)</f>
        <v>0</v>
      </c>
      <c r="AG28">
        <f t="shared" si="7"/>
        <v>0</v>
      </c>
      <c r="AH28" t="str">
        <f t="shared" si="8"/>
        <v/>
      </c>
      <c r="AI28" t="str">
        <f>IFERROR(IF(AND(p_tools="No",p_autonomy="None (chat or single completions)"),"No","Yes"),"Yes")</f>
        <v>Yes</v>
      </c>
      <c r="AJ28">
        <f t="shared" si="9"/>
        <v>0</v>
      </c>
      <c r="AK28">
        <f t="shared" si="10"/>
        <v>0</v>
      </c>
      <c r="AL28">
        <f t="shared" si="11"/>
        <v>0</v>
      </c>
      <c r="AM28">
        <f t="shared" si="12"/>
        <v>0</v>
      </c>
      <c r="AN28">
        <f t="shared" si="13"/>
        <v>0</v>
      </c>
      <c r="AO28">
        <f t="shared" si="14"/>
        <v>0</v>
      </c>
      <c r="AP28">
        <f t="shared" si="15"/>
        <v>0</v>
      </c>
      <c r="AQ28">
        <f t="shared" si="16"/>
        <v>0</v>
      </c>
      <c r="AR28">
        <f t="shared" si="17"/>
        <v>0</v>
      </c>
      <c r="AS28">
        <f t="shared" si="18"/>
        <v>0</v>
      </c>
      <c r="AT28">
        <f t="shared" si="19"/>
        <v>0</v>
      </c>
      <c r="AU28" t="str">
        <f>_xlfn.TEXTJOIN(", ",TRUE(),IF(ISERROR($E28),"E28",""),IF(ISERROR($G28),"G28",""),IF(ISERROR($H28),"H28",""),IF(ISERROR($J28),"J28",""),IF(ISERROR($K28),"K28",""),IF(ISERROR($O28),"O28",""),IF(ISERROR($P28),"P28",""),IF(ISERROR($Q28),"Q28",""),IF(ISERROR($R28),"R28",""),IF(ISERROR($S28),"S28",""),IF(ISERROR($T28),"T28",""),IF(ISERROR($X28),"X28",""),IF(ISERROR($Y28),"Y28",""),IF(ISERROR($Z28),"Z28",""))</f>
        <v/>
      </c>
      <c r="AV28" t="str">
        <f>_xlfn.TEXTJOIN("; ",TRUE(),IF(IFERROR(NOT(OR($J28="",$J28="Yes",$J28="No")),TRUE()),"Invalid override value (J)",""),IF(IFERROR(IF($E28="",$I28="Yes",NOT(OR($E28="Blocker",$E28="Major",$E28="Moderate",$E28="Minor"))),TRUE()),"Invalid or missing criticality (E)",""),IF(IFERROR(IF($J28&lt;&gt;"",$T28="",FALSE()),TRUE()),"Override rationale missing / invalid (T)",""),IF(IFERROR(IF(AND($A28="2.7",$I28="Yes",p_confidential="Yes"),$E28&lt;&gt;"Blocker",FALSE()),TRUE()),"2.7 must be Blocker when S4 = Yes",""),IF(IFERROR(IF(AND($A28="5.8",$I28="Yes"),OR($E28="Moderate",$E28="Minor"),FALSE()),TRUE()),"5.8 should be at least Major",""),IF(IF(IFERROR(AND($J28="No",$AI28="Yes",OR($AD28="Blocker",AND($A28="2.7",p_confidential="Yes"))),FALSE()),NOT(AND(IFERROR($X28&lt;&gt;"",FALSE()),IFERROR($Y28&lt;&gt;"",FALSE()),IFERROR(AND(ISNUMBER($Z28),$Z28&gt;=DATE(2020,1,1),$Z28&lt;=DATE(2100,12,31)),FALSE()))),FALSE()),"Blocker de-scope review missing / invalid (X-Z)",""),IF(IF(IFERROR(IF(OR($E28="Blocker",$E28="Major",$E28="Moderate",$E28="Minor"),$F28&lt;IF($AD28="Blocker",Lookups!$B$8,IF($AD28="Major",Lookups!$B$9,IF($AD28="Moderate",Lookups!$B$10,Lookups!$B$11))),FALSE()),FALSE()),NOT(AND(IFERROR($T28&lt;&gt;"",FALSE()),IFERROR($Y28&lt;&gt;"",FALSE()),IF(IFERROR($Z28&lt;&gt;"",FALSE()),IFERROR(AND(ISNUMBER($Z28),$Z28&gt;=DATE(2020,1,1),$Z28&lt;=DATE(2100,12,31)),FALSE()),NOT(ISERROR($Z28))))),FALSE()),"Criticality below baseline: review missing / invalid (T,Y,Z)",""))</f>
        <v/>
      </c>
      <c r="AW28" t="str">
        <f t="shared" si="20"/>
        <v/>
      </c>
    </row>
    <row r="29" spans="1:49" ht="45" customHeight="1" x14ac:dyDescent="0.3">
      <c r="A29" s="22" t="s">
        <v>295</v>
      </c>
      <c r="B29" s="23" t="s">
        <v>270</v>
      </c>
      <c r="C29" s="24" t="s">
        <v>185</v>
      </c>
      <c r="D29" s="24" t="s">
        <v>296</v>
      </c>
      <c r="E29" s="25" t="s">
        <v>187</v>
      </c>
      <c r="F29" s="26">
        <f>IFERROR(IF($E29="Blocker",Lookups!$B$8,IF($E29="Major",Lookups!$B$9,IF($E29="Moderate",Lookups!$B$10,IF($E29="Minor",Lookups!$B$11,0)))),0)</f>
        <v>4</v>
      </c>
      <c r="G29" s="16">
        <v>3</v>
      </c>
      <c r="H29" s="16">
        <v>4</v>
      </c>
      <c r="I29" s="27" t="str">
        <f>IFERROR(IF(OR($J29="Yes",$J29="No"),$J29,"Yes"),"Yes")</f>
        <v>Yes</v>
      </c>
      <c r="J29" s="25"/>
      <c r="K29" s="25"/>
      <c r="L29" s="27" t="str">
        <f t="shared" si="0"/>
        <v/>
      </c>
      <c r="M29" s="27">
        <f t="shared" si="1"/>
        <v>48</v>
      </c>
      <c r="N29" s="27" t="str">
        <f t="shared" si="2"/>
        <v/>
      </c>
      <c r="O29" s="25"/>
      <c r="P29" s="25"/>
      <c r="Q29" s="25"/>
      <c r="R29" s="28"/>
      <c r="S29" s="25"/>
      <c r="T29" s="25"/>
      <c r="U29" s="29" t="str">
        <f t="shared" si="3"/>
        <v/>
      </c>
      <c r="V29" s="24"/>
      <c r="W29" s="24" t="s">
        <v>297</v>
      </c>
      <c r="X29" s="13"/>
      <c r="Y29" s="13"/>
      <c r="Z29" s="14"/>
      <c r="AA29" t="str">
        <f t="shared" si="4"/>
        <v/>
      </c>
      <c r="AB29" t="str">
        <f t="shared" si="5"/>
        <v/>
      </c>
      <c r="AC29" t="str">
        <f t="shared" si="6"/>
        <v/>
      </c>
      <c r="AD29" t="s">
        <v>187</v>
      </c>
      <c r="AF29">
        <f>IF(OR(IFERROR(NOT(OR($J29="",$J29="Yes",$J29="No")),TRUE()),IFERROR(IF($E29="",$I29="Yes",NOT(OR($E29="Blocker",$E29="Major",$E29="Moderate",$E29="Minor"))),TRUE()),IFERROR(IF($J29&lt;&gt;"",$T29="",FALSE()),TRUE()),IFERROR(IF(AND($A29="2.7",$I29="Yes",p_confidential="Yes"),$E29&lt;&gt;"Blocker",FALSE()),TRUE()),IFERROR(IF(AND($A29="5.8",$I29="Yes"),OR($E29="Moderate",$E29="Minor"),FALSE()),TRUE()),IF(IFERROR(AND($J29="No",$AI29="Yes",OR($AD29="Blocker",AND($A29="2.7",p_confidential="Yes"))),FALSE()),NOT(AND(IFERROR($X29&lt;&gt;"",FALSE()),IFERROR($Y29&lt;&gt;"",FALSE()),IFERROR(AND(ISNUMBER($Z29),$Z29&gt;=DATE(2020,1,1),$Z29&lt;=DATE(2100,12,31)),FALSE()))),FALSE()),IF(IFERROR(IF(OR($E29="Blocker",$E29="Major",$E29="Moderate",$E29="Minor"),$F29&lt;IF($AD29="Blocker",Lookups!$B$8,IF($AD29="Major",Lookups!$B$9,IF($AD29="Moderate",Lookups!$B$10,Lookups!$B$11))),FALSE()),FALSE()),NOT(AND(IFERROR($T29&lt;&gt;"",FALSE()),IFERROR($Y29&lt;&gt;"",FALSE()),IF(IFERROR($Z29&lt;&gt;"",FALSE()),IFERROR(AND(ISNUMBER($Z29),$Z29&gt;=DATE(2020,1,1),$Z29&lt;=DATE(2100,12,31)),FALSE()),NOT(ISERROR($Z29))))),FALSE())),1,0)</f>
        <v>0</v>
      </c>
      <c r="AG29">
        <f t="shared" si="7"/>
        <v>0</v>
      </c>
      <c r="AH29" t="str">
        <f t="shared" si="8"/>
        <v/>
      </c>
      <c r="AI29" t="str">
        <f>IFERROR("Yes","Yes")</f>
        <v>Yes</v>
      </c>
      <c r="AJ29">
        <f t="shared" si="9"/>
        <v>0</v>
      </c>
      <c r="AK29">
        <f t="shared" si="10"/>
        <v>0</v>
      </c>
      <c r="AL29">
        <f t="shared" si="11"/>
        <v>0</v>
      </c>
      <c r="AM29">
        <f t="shared" si="12"/>
        <v>0</v>
      </c>
      <c r="AN29">
        <f t="shared" si="13"/>
        <v>0</v>
      </c>
      <c r="AO29">
        <f t="shared" si="14"/>
        <v>0</v>
      </c>
      <c r="AP29">
        <f t="shared" si="15"/>
        <v>0</v>
      </c>
      <c r="AQ29">
        <f t="shared" si="16"/>
        <v>0</v>
      </c>
      <c r="AR29">
        <f t="shared" si="17"/>
        <v>0</v>
      </c>
      <c r="AS29">
        <f t="shared" si="18"/>
        <v>0</v>
      </c>
      <c r="AT29">
        <f t="shared" si="19"/>
        <v>0</v>
      </c>
      <c r="AU29" t="str">
        <f>_xlfn.TEXTJOIN(", ",TRUE(),IF(ISERROR($E29),"E29",""),IF(ISERROR($G29),"G29",""),IF(ISERROR($H29),"H29",""),IF(ISERROR($J29),"J29",""),IF(ISERROR($K29),"K29",""),IF(ISERROR($O29),"O29",""),IF(ISERROR($P29),"P29",""),IF(ISERROR($Q29),"Q29",""),IF(ISERROR($R29),"R29",""),IF(ISERROR($S29),"S29",""),IF(ISERROR($T29),"T29",""),IF(ISERROR($X29),"X29",""),IF(ISERROR($Y29),"Y29",""),IF(ISERROR($Z29),"Z29",""))</f>
        <v/>
      </c>
      <c r="AV29" t="str">
        <f>_xlfn.TEXTJOIN("; ",TRUE(),IF(IFERROR(NOT(OR($J29="",$J29="Yes",$J29="No")),TRUE()),"Invalid override value (J)",""),IF(IFERROR(IF($E29="",$I29="Yes",NOT(OR($E29="Blocker",$E29="Major",$E29="Moderate",$E29="Minor"))),TRUE()),"Invalid or missing criticality (E)",""),IF(IFERROR(IF($J29&lt;&gt;"",$T29="",FALSE()),TRUE()),"Override rationale missing / invalid (T)",""),IF(IFERROR(IF(AND($A29="2.7",$I29="Yes",p_confidential="Yes"),$E29&lt;&gt;"Blocker",FALSE()),TRUE()),"2.7 must be Blocker when S4 = Yes",""),IF(IFERROR(IF(AND($A29="5.8",$I29="Yes"),OR($E29="Moderate",$E29="Minor"),FALSE()),TRUE()),"5.8 should be at least Major",""),IF(IF(IFERROR(AND($J29="No",$AI29="Yes",OR($AD29="Blocker",AND($A29="2.7",p_confidential="Yes"))),FALSE()),NOT(AND(IFERROR($X29&lt;&gt;"",FALSE()),IFERROR($Y29&lt;&gt;"",FALSE()),IFERROR(AND(ISNUMBER($Z29),$Z29&gt;=DATE(2020,1,1),$Z29&lt;=DATE(2100,12,31)),FALSE()))),FALSE()),"Blocker de-scope review missing / invalid (X-Z)",""),IF(IF(IFERROR(IF(OR($E29="Blocker",$E29="Major",$E29="Moderate",$E29="Minor"),$F29&lt;IF($AD29="Blocker",Lookups!$B$8,IF($AD29="Major",Lookups!$B$9,IF($AD29="Moderate",Lookups!$B$10,Lookups!$B$11))),FALSE()),FALSE()),NOT(AND(IFERROR($T29&lt;&gt;"",FALSE()),IFERROR($Y29&lt;&gt;"",FALSE()),IF(IFERROR($Z29&lt;&gt;"",FALSE()),IFERROR(AND(ISNUMBER($Z29),$Z29&gt;=DATE(2020,1,1),$Z29&lt;=DATE(2100,12,31)),FALSE()),NOT(ISERROR($Z29))))),FALSE()),"Criticality below baseline: review missing / invalid (T,Y,Z)",""))</f>
        <v/>
      </c>
      <c r="AW29" t="str">
        <f t="shared" si="20"/>
        <v/>
      </c>
    </row>
    <row r="30" spans="1:49" ht="45" customHeight="1" x14ac:dyDescent="0.3">
      <c r="A30" s="22" t="s">
        <v>298</v>
      </c>
      <c r="B30" s="23" t="s">
        <v>270</v>
      </c>
      <c r="C30" s="24" t="s">
        <v>185</v>
      </c>
      <c r="D30" s="24" t="s">
        <v>299</v>
      </c>
      <c r="E30" s="25" t="s">
        <v>187</v>
      </c>
      <c r="F30" s="26">
        <f>IFERROR(IF($E30="Blocker",Lookups!$B$8,IF($E30="Major",Lookups!$B$9,IF($E30="Moderate",Lookups!$B$10,IF($E30="Minor",Lookups!$B$11,0)))),0)</f>
        <v>4</v>
      </c>
      <c r="G30" s="16">
        <v>3</v>
      </c>
      <c r="H30" s="16">
        <v>4</v>
      </c>
      <c r="I30" s="27" t="str">
        <f>IFERROR(IF(OR($J30="Yes",$J30="No"),$J30,"Yes"),"Yes")</f>
        <v>Yes</v>
      </c>
      <c r="J30" s="25"/>
      <c r="K30" s="25"/>
      <c r="L30" s="27" t="str">
        <f t="shared" si="0"/>
        <v/>
      </c>
      <c r="M30" s="27">
        <f t="shared" si="1"/>
        <v>48</v>
      </c>
      <c r="N30" s="27" t="str">
        <f t="shared" si="2"/>
        <v/>
      </c>
      <c r="O30" s="25"/>
      <c r="P30" s="25"/>
      <c r="Q30" s="25"/>
      <c r="R30" s="28"/>
      <c r="S30" s="25"/>
      <c r="T30" s="25"/>
      <c r="U30" s="29" t="str">
        <f t="shared" si="3"/>
        <v/>
      </c>
      <c r="V30" s="24"/>
      <c r="W30" s="24" t="s">
        <v>300</v>
      </c>
      <c r="X30" s="13"/>
      <c r="Y30" s="13"/>
      <c r="Z30" s="14"/>
      <c r="AA30" t="str">
        <f t="shared" si="4"/>
        <v/>
      </c>
      <c r="AB30" t="str">
        <f t="shared" si="5"/>
        <v/>
      </c>
      <c r="AC30" t="str">
        <f t="shared" si="6"/>
        <v/>
      </c>
      <c r="AD30" t="s">
        <v>187</v>
      </c>
      <c r="AF30">
        <f>IF(OR(IFERROR(NOT(OR($J30="",$J30="Yes",$J30="No")),TRUE()),IFERROR(IF($E30="",$I30="Yes",NOT(OR($E30="Blocker",$E30="Major",$E30="Moderate",$E30="Minor"))),TRUE()),IFERROR(IF($J30&lt;&gt;"",$T30="",FALSE()),TRUE()),IFERROR(IF(AND($A30="2.7",$I30="Yes",p_confidential="Yes"),$E30&lt;&gt;"Blocker",FALSE()),TRUE()),IFERROR(IF(AND($A30="5.8",$I30="Yes"),OR($E30="Moderate",$E30="Minor"),FALSE()),TRUE()),IF(IFERROR(AND($J30="No",$AI30="Yes",OR($AD30="Blocker",AND($A30="2.7",p_confidential="Yes"))),FALSE()),NOT(AND(IFERROR($X30&lt;&gt;"",FALSE()),IFERROR($Y30&lt;&gt;"",FALSE()),IFERROR(AND(ISNUMBER($Z30),$Z30&gt;=DATE(2020,1,1),$Z30&lt;=DATE(2100,12,31)),FALSE()))),FALSE()),IF(IFERROR(IF(OR($E30="Blocker",$E30="Major",$E30="Moderate",$E30="Minor"),$F30&lt;IF($AD30="Blocker",Lookups!$B$8,IF($AD30="Major",Lookups!$B$9,IF($AD30="Moderate",Lookups!$B$10,Lookups!$B$11))),FALSE()),FALSE()),NOT(AND(IFERROR($T30&lt;&gt;"",FALSE()),IFERROR($Y30&lt;&gt;"",FALSE()),IF(IFERROR($Z30&lt;&gt;"",FALSE()),IFERROR(AND(ISNUMBER($Z30),$Z30&gt;=DATE(2020,1,1),$Z30&lt;=DATE(2100,12,31)),FALSE()),NOT(ISERROR($Z30))))),FALSE())),1,0)</f>
        <v>0</v>
      </c>
      <c r="AG30">
        <f t="shared" si="7"/>
        <v>0</v>
      </c>
      <c r="AH30" t="str">
        <f t="shared" si="8"/>
        <v/>
      </c>
      <c r="AI30" t="str">
        <f>IFERROR("Yes","Yes")</f>
        <v>Yes</v>
      </c>
      <c r="AJ30">
        <f t="shared" si="9"/>
        <v>0</v>
      </c>
      <c r="AK30">
        <f t="shared" si="10"/>
        <v>0</v>
      </c>
      <c r="AL30">
        <f t="shared" si="11"/>
        <v>0</v>
      </c>
      <c r="AM30">
        <f t="shared" si="12"/>
        <v>0</v>
      </c>
      <c r="AN30">
        <f t="shared" si="13"/>
        <v>0</v>
      </c>
      <c r="AO30">
        <f t="shared" si="14"/>
        <v>0</v>
      </c>
      <c r="AP30">
        <f t="shared" si="15"/>
        <v>0</v>
      </c>
      <c r="AQ30">
        <f t="shared" si="16"/>
        <v>0</v>
      </c>
      <c r="AR30">
        <f t="shared" si="17"/>
        <v>0</v>
      </c>
      <c r="AS30">
        <f t="shared" si="18"/>
        <v>0</v>
      </c>
      <c r="AT30">
        <f t="shared" si="19"/>
        <v>0</v>
      </c>
      <c r="AU30" t="str">
        <f>_xlfn.TEXTJOIN(", ",TRUE(),IF(ISERROR($E30),"E30",""),IF(ISERROR($G30),"G30",""),IF(ISERROR($H30),"H30",""),IF(ISERROR($J30),"J30",""),IF(ISERROR($K30),"K30",""),IF(ISERROR($O30),"O30",""),IF(ISERROR($P30),"P30",""),IF(ISERROR($Q30),"Q30",""),IF(ISERROR($R30),"R30",""),IF(ISERROR($S30),"S30",""),IF(ISERROR($T30),"T30",""),IF(ISERROR($X30),"X30",""),IF(ISERROR($Y30),"Y30",""),IF(ISERROR($Z30),"Z30",""))</f>
        <v/>
      </c>
      <c r="AV30" t="str">
        <f>_xlfn.TEXTJOIN("; ",TRUE(),IF(IFERROR(NOT(OR($J30="",$J30="Yes",$J30="No")),TRUE()),"Invalid override value (J)",""),IF(IFERROR(IF($E30="",$I30="Yes",NOT(OR($E30="Blocker",$E30="Major",$E30="Moderate",$E30="Minor"))),TRUE()),"Invalid or missing criticality (E)",""),IF(IFERROR(IF($J30&lt;&gt;"",$T30="",FALSE()),TRUE()),"Override rationale missing / invalid (T)",""),IF(IFERROR(IF(AND($A30="2.7",$I30="Yes",p_confidential="Yes"),$E30&lt;&gt;"Blocker",FALSE()),TRUE()),"2.7 must be Blocker when S4 = Yes",""),IF(IFERROR(IF(AND($A30="5.8",$I30="Yes"),OR($E30="Moderate",$E30="Minor"),FALSE()),TRUE()),"5.8 should be at least Major",""),IF(IF(IFERROR(AND($J30="No",$AI30="Yes",OR($AD30="Blocker",AND($A30="2.7",p_confidential="Yes"))),FALSE()),NOT(AND(IFERROR($X30&lt;&gt;"",FALSE()),IFERROR($Y30&lt;&gt;"",FALSE()),IFERROR(AND(ISNUMBER($Z30),$Z30&gt;=DATE(2020,1,1),$Z30&lt;=DATE(2100,12,31)),FALSE()))),FALSE()),"Blocker de-scope review missing / invalid (X-Z)",""),IF(IF(IFERROR(IF(OR($E30="Blocker",$E30="Major",$E30="Moderate",$E30="Minor"),$F30&lt;IF($AD30="Blocker",Lookups!$B$8,IF($AD30="Major",Lookups!$B$9,IF($AD30="Moderate",Lookups!$B$10,Lookups!$B$11))),FALSE()),FALSE()),NOT(AND(IFERROR($T30&lt;&gt;"",FALSE()),IFERROR($Y30&lt;&gt;"",FALSE()),IF(IFERROR($Z30&lt;&gt;"",FALSE()),IFERROR(AND(ISNUMBER($Z30),$Z30&gt;=DATE(2020,1,1),$Z30&lt;=DATE(2100,12,31)),FALSE()),NOT(ISERROR($Z30))))),FALSE()),"Criticality below baseline: review missing / invalid (T,Y,Z)",""))</f>
        <v/>
      </c>
      <c r="AW30" t="str">
        <f t="shared" si="20"/>
        <v/>
      </c>
    </row>
    <row r="31" spans="1:49" ht="45" customHeight="1" x14ac:dyDescent="0.3">
      <c r="A31" s="22" t="s">
        <v>301</v>
      </c>
      <c r="B31" s="23" t="s">
        <v>270</v>
      </c>
      <c r="C31" s="24" t="s">
        <v>302</v>
      </c>
      <c r="D31" s="24" t="s">
        <v>303</v>
      </c>
      <c r="E31" s="25" t="s">
        <v>187</v>
      </c>
      <c r="F31" s="26">
        <f>IFERROR(IF($E31="Blocker",Lookups!$B$8,IF($E31="Major",Lookups!$B$9,IF($E31="Moderate",Lookups!$B$10,IF($E31="Minor",Lookups!$B$11,0)))),0)</f>
        <v>4</v>
      </c>
      <c r="G31" s="16">
        <v>3</v>
      </c>
      <c r="H31" s="16">
        <v>4</v>
      </c>
      <c r="I31" s="27" t="str">
        <f>IFERROR(IF(OR($J31="Yes",$J31="No"),$J31,IF(p_downstream="No","No","Yes")),"Yes")</f>
        <v>Yes</v>
      </c>
      <c r="J31" s="25"/>
      <c r="K31" s="25"/>
      <c r="L31" s="27" t="str">
        <f t="shared" si="0"/>
        <v/>
      </c>
      <c r="M31" s="27">
        <f t="shared" si="1"/>
        <v>48</v>
      </c>
      <c r="N31" s="27" t="str">
        <f t="shared" si="2"/>
        <v/>
      </c>
      <c r="O31" s="25"/>
      <c r="P31" s="25"/>
      <c r="Q31" s="25"/>
      <c r="R31" s="28"/>
      <c r="S31" s="25"/>
      <c r="T31" s="25"/>
      <c r="U31" s="29" t="str">
        <f t="shared" si="3"/>
        <v/>
      </c>
      <c r="V31" s="24" t="s">
        <v>304</v>
      </c>
      <c r="W31" s="24" t="s">
        <v>305</v>
      </c>
      <c r="X31" s="13"/>
      <c r="Y31" s="13"/>
      <c r="Z31" s="14"/>
      <c r="AA31" t="str">
        <f t="shared" si="4"/>
        <v/>
      </c>
      <c r="AB31" t="str">
        <f t="shared" si="5"/>
        <v/>
      </c>
      <c r="AC31" t="str">
        <f t="shared" si="6"/>
        <v/>
      </c>
      <c r="AD31" t="s">
        <v>187</v>
      </c>
      <c r="AF31">
        <f>IF(OR(IFERROR(NOT(OR($J31="",$J31="Yes",$J31="No")),TRUE()),IFERROR(IF($E31="",$I31="Yes",NOT(OR($E31="Blocker",$E31="Major",$E31="Moderate",$E31="Minor"))),TRUE()),IFERROR(IF($J31&lt;&gt;"",$T31="",FALSE()),TRUE()),IFERROR(IF(AND($A31="2.7",$I31="Yes",p_confidential="Yes"),$E31&lt;&gt;"Blocker",FALSE()),TRUE()),IFERROR(IF(AND($A31="5.8",$I31="Yes"),OR($E31="Moderate",$E31="Minor"),FALSE()),TRUE()),IF(IFERROR(AND($J31="No",$AI31="Yes",OR($AD31="Blocker",AND($A31="2.7",p_confidential="Yes"))),FALSE()),NOT(AND(IFERROR($X31&lt;&gt;"",FALSE()),IFERROR($Y31&lt;&gt;"",FALSE()),IFERROR(AND(ISNUMBER($Z31),$Z31&gt;=DATE(2020,1,1),$Z31&lt;=DATE(2100,12,31)),FALSE()))),FALSE()),IF(IFERROR(IF(OR($E31="Blocker",$E31="Major",$E31="Moderate",$E31="Minor"),$F31&lt;IF($AD31="Blocker",Lookups!$B$8,IF($AD31="Major",Lookups!$B$9,IF($AD31="Moderate",Lookups!$B$10,Lookups!$B$11))),FALSE()),FALSE()),NOT(AND(IFERROR($T31&lt;&gt;"",FALSE()),IFERROR($Y31&lt;&gt;"",FALSE()),IF(IFERROR($Z31&lt;&gt;"",FALSE()),IFERROR(AND(ISNUMBER($Z31),$Z31&gt;=DATE(2020,1,1),$Z31&lt;=DATE(2100,12,31)),FALSE()),NOT(ISERROR($Z31))))),FALSE())),1,0)</f>
        <v>0</v>
      </c>
      <c r="AG31">
        <f t="shared" si="7"/>
        <v>0</v>
      </c>
      <c r="AH31" t="str">
        <f t="shared" si="8"/>
        <v/>
      </c>
      <c r="AI31" t="str">
        <f>IFERROR(IF(p_downstream="No","No","Yes"),"Yes")</f>
        <v>Yes</v>
      </c>
      <c r="AJ31">
        <f t="shared" si="9"/>
        <v>0</v>
      </c>
      <c r="AK31">
        <f t="shared" si="10"/>
        <v>0</v>
      </c>
      <c r="AL31">
        <f t="shared" si="11"/>
        <v>0</v>
      </c>
      <c r="AM31">
        <f t="shared" si="12"/>
        <v>0</v>
      </c>
      <c r="AN31">
        <f t="shared" si="13"/>
        <v>0</v>
      </c>
      <c r="AO31">
        <f t="shared" si="14"/>
        <v>0</v>
      </c>
      <c r="AP31">
        <f t="shared" si="15"/>
        <v>0</v>
      </c>
      <c r="AQ31">
        <f t="shared" si="16"/>
        <v>0</v>
      </c>
      <c r="AR31">
        <f t="shared" si="17"/>
        <v>0</v>
      </c>
      <c r="AS31">
        <f t="shared" si="18"/>
        <v>0</v>
      </c>
      <c r="AT31">
        <f t="shared" si="19"/>
        <v>0</v>
      </c>
      <c r="AU31" t="str">
        <f>_xlfn.TEXTJOIN(", ",TRUE(),IF(ISERROR($E31),"E31",""),IF(ISERROR($G31),"G31",""),IF(ISERROR($H31),"H31",""),IF(ISERROR($J31),"J31",""),IF(ISERROR($K31),"K31",""),IF(ISERROR($O31),"O31",""),IF(ISERROR($P31),"P31",""),IF(ISERROR($Q31),"Q31",""),IF(ISERROR($R31),"R31",""),IF(ISERROR($S31),"S31",""),IF(ISERROR($T31),"T31",""),IF(ISERROR($X31),"X31",""),IF(ISERROR($Y31),"Y31",""),IF(ISERROR($Z31),"Z31",""))</f>
        <v/>
      </c>
      <c r="AV31" t="str">
        <f>_xlfn.TEXTJOIN("; ",TRUE(),IF(IFERROR(NOT(OR($J31="",$J31="Yes",$J31="No")),TRUE()),"Invalid override value (J)",""),IF(IFERROR(IF($E31="",$I31="Yes",NOT(OR($E31="Blocker",$E31="Major",$E31="Moderate",$E31="Minor"))),TRUE()),"Invalid or missing criticality (E)",""),IF(IFERROR(IF($J31&lt;&gt;"",$T31="",FALSE()),TRUE()),"Override rationale missing / invalid (T)",""),IF(IFERROR(IF(AND($A31="2.7",$I31="Yes",p_confidential="Yes"),$E31&lt;&gt;"Blocker",FALSE()),TRUE()),"2.7 must be Blocker when S4 = Yes",""),IF(IFERROR(IF(AND($A31="5.8",$I31="Yes"),OR($E31="Moderate",$E31="Minor"),FALSE()),TRUE()),"5.8 should be at least Major",""),IF(IF(IFERROR(AND($J31="No",$AI31="Yes",OR($AD31="Blocker",AND($A31="2.7",p_confidential="Yes"))),FALSE()),NOT(AND(IFERROR($X31&lt;&gt;"",FALSE()),IFERROR($Y31&lt;&gt;"",FALSE()),IFERROR(AND(ISNUMBER($Z31),$Z31&gt;=DATE(2020,1,1),$Z31&lt;=DATE(2100,12,31)),FALSE()))),FALSE()),"Blocker de-scope review missing / invalid (X-Z)",""),IF(IF(IFERROR(IF(OR($E31="Blocker",$E31="Major",$E31="Moderate",$E31="Minor"),$F31&lt;IF($AD31="Blocker",Lookups!$B$8,IF($AD31="Major",Lookups!$B$9,IF($AD31="Moderate",Lookups!$B$10,Lookups!$B$11))),FALSE()),FALSE()),NOT(AND(IFERROR($T31&lt;&gt;"",FALSE()),IFERROR($Y31&lt;&gt;"",FALSE()),IF(IFERROR($Z31&lt;&gt;"",FALSE()),IFERROR(AND(ISNUMBER($Z31),$Z31&gt;=DATE(2020,1,1),$Z31&lt;=DATE(2100,12,31)),FALSE()),NOT(ISERROR($Z31))))),FALSE()),"Criticality below baseline: review missing / invalid (T,Y,Z)",""))</f>
        <v/>
      </c>
      <c r="AW31" t="str">
        <f t="shared" si="20"/>
        <v/>
      </c>
    </row>
    <row r="32" spans="1:49" ht="45" customHeight="1" x14ac:dyDescent="0.3">
      <c r="A32" s="22" t="s">
        <v>306</v>
      </c>
      <c r="B32" s="23" t="s">
        <v>270</v>
      </c>
      <c r="C32" s="24" t="s">
        <v>185</v>
      </c>
      <c r="D32" s="24" t="s">
        <v>307</v>
      </c>
      <c r="E32" s="25" t="s">
        <v>187</v>
      </c>
      <c r="F32" s="26">
        <f>IFERROR(IF($E32="Blocker",Lookups!$B$8,IF($E32="Major",Lookups!$B$9,IF($E32="Moderate",Lookups!$B$10,IF($E32="Minor",Lookups!$B$11,0)))),0)</f>
        <v>4</v>
      </c>
      <c r="G32" s="16">
        <v>3</v>
      </c>
      <c r="H32" s="16">
        <v>4</v>
      </c>
      <c r="I32" s="27" t="str">
        <f>IFERROR(IF(OR($J32="Yes",$J32="No"),$J32,"Yes"),"Yes")</f>
        <v>Yes</v>
      </c>
      <c r="J32" s="25"/>
      <c r="K32" s="25"/>
      <c r="L32" s="27" t="str">
        <f t="shared" si="0"/>
        <v/>
      </c>
      <c r="M32" s="27">
        <f t="shared" si="1"/>
        <v>48</v>
      </c>
      <c r="N32" s="27" t="str">
        <f t="shared" si="2"/>
        <v/>
      </c>
      <c r="O32" s="25"/>
      <c r="P32" s="25"/>
      <c r="Q32" s="25"/>
      <c r="R32" s="28"/>
      <c r="S32" s="25"/>
      <c r="T32" s="25"/>
      <c r="U32" s="29" t="str">
        <f t="shared" si="3"/>
        <v/>
      </c>
      <c r="V32" s="24" t="s">
        <v>308</v>
      </c>
      <c r="W32" s="24" t="s">
        <v>309</v>
      </c>
      <c r="X32" s="13"/>
      <c r="Y32" s="13"/>
      <c r="Z32" s="14"/>
      <c r="AA32" t="str">
        <f t="shared" si="4"/>
        <v/>
      </c>
      <c r="AB32" t="str">
        <f t="shared" si="5"/>
        <v/>
      </c>
      <c r="AC32" t="str">
        <f t="shared" si="6"/>
        <v/>
      </c>
      <c r="AD32" t="s">
        <v>187</v>
      </c>
      <c r="AF32">
        <f>IF(OR(IFERROR(NOT(OR($J32="",$J32="Yes",$J32="No")),TRUE()),IFERROR(IF($E32="",$I32="Yes",NOT(OR($E32="Blocker",$E32="Major",$E32="Moderate",$E32="Minor"))),TRUE()),IFERROR(IF($J32&lt;&gt;"",$T32="",FALSE()),TRUE()),IFERROR(IF(AND($A32="2.7",$I32="Yes",p_confidential="Yes"),$E32&lt;&gt;"Blocker",FALSE()),TRUE()),IFERROR(IF(AND($A32="5.8",$I32="Yes"),OR($E32="Moderate",$E32="Minor"),FALSE()),TRUE()),IF(IFERROR(AND($J32="No",$AI32="Yes",OR($AD32="Blocker",AND($A32="2.7",p_confidential="Yes"))),FALSE()),NOT(AND(IFERROR($X32&lt;&gt;"",FALSE()),IFERROR($Y32&lt;&gt;"",FALSE()),IFERROR(AND(ISNUMBER($Z32),$Z32&gt;=DATE(2020,1,1),$Z32&lt;=DATE(2100,12,31)),FALSE()))),FALSE()),IF(IFERROR(IF(OR($E32="Blocker",$E32="Major",$E32="Moderate",$E32="Minor"),$F32&lt;IF($AD32="Blocker",Lookups!$B$8,IF($AD32="Major",Lookups!$B$9,IF($AD32="Moderate",Lookups!$B$10,Lookups!$B$11))),FALSE()),FALSE()),NOT(AND(IFERROR($T32&lt;&gt;"",FALSE()),IFERROR($Y32&lt;&gt;"",FALSE()),IF(IFERROR($Z32&lt;&gt;"",FALSE()),IFERROR(AND(ISNUMBER($Z32),$Z32&gt;=DATE(2020,1,1),$Z32&lt;=DATE(2100,12,31)),FALSE()),NOT(ISERROR($Z32))))),FALSE())),1,0)</f>
        <v>0</v>
      </c>
      <c r="AG32">
        <f t="shared" si="7"/>
        <v>0</v>
      </c>
      <c r="AH32" t="str">
        <f t="shared" si="8"/>
        <v/>
      </c>
      <c r="AI32" t="str">
        <f>IFERROR("Yes","Yes")</f>
        <v>Yes</v>
      </c>
      <c r="AJ32">
        <f t="shared" si="9"/>
        <v>0</v>
      </c>
      <c r="AK32">
        <f t="shared" si="10"/>
        <v>0</v>
      </c>
      <c r="AL32">
        <f t="shared" si="11"/>
        <v>0</v>
      </c>
      <c r="AM32">
        <f t="shared" si="12"/>
        <v>0</v>
      </c>
      <c r="AN32">
        <f t="shared" si="13"/>
        <v>0</v>
      </c>
      <c r="AO32">
        <f t="shared" si="14"/>
        <v>0</v>
      </c>
      <c r="AP32">
        <f t="shared" si="15"/>
        <v>0</v>
      </c>
      <c r="AQ32">
        <f t="shared" si="16"/>
        <v>0</v>
      </c>
      <c r="AR32">
        <f t="shared" si="17"/>
        <v>0</v>
      </c>
      <c r="AS32">
        <f t="shared" si="18"/>
        <v>0</v>
      </c>
      <c r="AT32">
        <f t="shared" si="19"/>
        <v>0</v>
      </c>
      <c r="AU32" t="str">
        <f>_xlfn.TEXTJOIN(", ",TRUE(),IF(ISERROR($E32),"E32",""),IF(ISERROR($G32),"G32",""),IF(ISERROR($H32),"H32",""),IF(ISERROR($J32),"J32",""),IF(ISERROR($K32),"K32",""),IF(ISERROR($O32),"O32",""),IF(ISERROR($P32),"P32",""),IF(ISERROR($Q32),"Q32",""),IF(ISERROR($R32),"R32",""),IF(ISERROR($S32),"S32",""),IF(ISERROR($T32),"T32",""),IF(ISERROR($X32),"X32",""),IF(ISERROR($Y32),"Y32",""),IF(ISERROR($Z32),"Z32",""))</f>
        <v/>
      </c>
      <c r="AV32" t="str">
        <f>_xlfn.TEXTJOIN("; ",TRUE(),IF(IFERROR(NOT(OR($J32="",$J32="Yes",$J32="No")),TRUE()),"Invalid override value (J)",""),IF(IFERROR(IF($E32="",$I32="Yes",NOT(OR($E32="Blocker",$E32="Major",$E32="Moderate",$E32="Minor"))),TRUE()),"Invalid or missing criticality (E)",""),IF(IFERROR(IF($J32&lt;&gt;"",$T32="",FALSE()),TRUE()),"Override rationale missing / invalid (T)",""),IF(IFERROR(IF(AND($A32="2.7",$I32="Yes",p_confidential="Yes"),$E32&lt;&gt;"Blocker",FALSE()),TRUE()),"2.7 must be Blocker when S4 = Yes",""),IF(IFERROR(IF(AND($A32="5.8",$I32="Yes"),OR($E32="Moderate",$E32="Minor"),FALSE()),TRUE()),"5.8 should be at least Major",""),IF(IF(IFERROR(AND($J32="No",$AI32="Yes",OR($AD32="Blocker",AND($A32="2.7",p_confidential="Yes"))),FALSE()),NOT(AND(IFERROR($X32&lt;&gt;"",FALSE()),IFERROR($Y32&lt;&gt;"",FALSE()),IFERROR(AND(ISNUMBER($Z32),$Z32&gt;=DATE(2020,1,1),$Z32&lt;=DATE(2100,12,31)),FALSE()))),FALSE()),"Blocker de-scope review missing / invalid (X-Z)",""),IF(IF(IFERROR(IF(OR($E32="Blocker",$E32="Major",$E32="Moderate",$E32="Minor"),$F32&lt;IF($AD32="Blocker",Lookups!$B$8,IF($AD32="Major",Lookups!$B$9,IF($AD32="Moderate",Lookups!$B$10,Lookups!$B$11))),FALSE()),FALSE()),NOT(AND(IFERROR($T32&lt;&gt;"",FALSE()),IFERROR($Y32&lt;&gt;"",FALSE()),IF(IFERROR($Z32&lt;&gt;"",FALSE()),IFERROR(AND(ISNUMBER($Z32),$Z32&gt;=DATE(2020,1,1),$Z32&lt;=DATE(2100,12,31)),FALSE()),NOT(ISERROR($Z32))))),FALSE()),"Criticality below baseline: review missing / invalid (T,Y,Z)",""))</f>
        <v/>
      </c>
      <c r="AW32" t="str">
        <f t="shared" si="20"/>
        <v/>
      </c>
    </row>
    <row r="33" spans="1:49" ht="30" customHeight="1" x14ac:dyDescent="0.3">
      <c r="A33" s="22" t="s">
        <v>310</v>
      </c>
      <c r="B33" s="23" t="s">
        <v>311</v>
      </c>
      <c r="C33" s="24" t="s">
        <v>220</v>
      </c>
      <c r="D33" s="24" t="s">
        <v>312</v>
      </c>
      <c r="E33" s="25" t="s">
        <v>187</v>
      </c>
      <c r="F33" s="26">
        <f>IFERROR(IF($E33="Blocker",Lookups!$B$8,IF($E33="Major",Lookups!$B$9,IF($E33="Moderate",Lookups!$B$10,IF($E33="Minor",Lookups!$B$11,0)))),0)</f>
        <v>4</v>
      </c>
      <c r="G33" s="16">
        <v>4</v>
      </c>
      <c r="H33" s="16">
        <v>4</v>
      </c>
      <c r="I33" s="27" t="str">
        <f>IFERROR(IF(OR($J33="Yes",$J33="No"),$J33,IF(p_stage="Pilot / PoC","No","Yes")),"Yes")</f>
        <v>Yes</v>
      </c>
      <c r="J33" s="25"/>
      <c r="K33" s="25"/>
      <c r="L33" s="27" t="str">
        <f t="shared" si="0"/>
        <v/>
      </c>
      <c r="M33" s="27">
        <f t="shared" si="1"/>
        <v>64</v>
      </c>
      <c r="N33" s="27" t="str">
        <f t="shared" si="2"/>
        <v/>
      </c>
      <c r="O33" s="25"/>
      <c r="P33" s="25"/>
      <c r="Q33" s="25"/>
      <c r="R33" s="28"/>
      <c r="S33" s="25"/>
      <c r="T33" s="25"/>
      <c r="U33" s="29" t="str">
        <f t="shared" si="3"/>
        <v/>
      </c>
      <c r="V33" s="24"/>
      <c r="W33" s="24" t="s">
        <v>313</v>
      </c>
      <c r="X33" s="13"/>
      <c r="Y33" s="13"/>
      <c r="Z33" s="14"/>
      <c r="AA33" t="str">
        <f t="shared" si="4"/>
        <v/>
      </c>
      <c r="AB33" t="str">
        <f t="shared" si="5"/>
        <v/>
      </c>
      <c r="AC33" t="str">
        <f t="shared" si="6"/>
        <v/>
      </c>
      <c r="AD33" t="s">
        <v>187</v>
      </c>
      <c r="AF33">
        <f>IF(OR(IFERROR(NOT(OR($J33="",$J33="Yes",$J33="No")),TRUE()),IFERROR(IF($E33="",$I33="Yes",NOT(OR($E33="Blocker",$E33="Major",$E33="Moderate",$E33="Minor"))),TRUE()),IFERROR(IF($J33&lt;&gt;"",$T33="",FALSE()),TRUE()),IFERROR(IF(AND($A33="2.7",$I33="Yes",p_confidential="Yes"),$E33&lt;&gt;"Blocker",FALSE()),TRUE()),IFERROR(IF(AND($A33="5.8",$I33="Yes"),OR($E33="Moderate",$E33="Minor"),FALSE()),TRUE()),IF(IFERROR(AND($J33="No",$AI33="Yes",OR($AD33="Blocker",AND($A33="2.7",p_confidential="Yes"))),FALSE()),NOT(AND(IFERROR($X33&lt;&gt;"",FALSE()),IFERROR($Y33&lt;&gt;"",FALSE()),IFERROR(AND(ISNUMBER($Z33),$Z33&gt;=DATE(2020,1,1),$Z33&lt;=DATE(2100,12,31)),FALSE()))),FALSE()),IF(IFERROR(IF(OR($E33="Blocker",$E33="Major",$E33="Moderate",$E33="Minor"),$F33&lt;IF($AD33="Blocker",Lookups!$B$8,IF($AD33="Major",Lookups!$B$9,IF($AD33="Moderate",Lookups!$B$10,Lookups!$B$11))),FALSE()),FALSE()),NOT(AND(IFERROR($T33&lt;&gt;"",FALSE()),IFERROR($Y33&lt;&gt;"",FALSE()),IF(IFERROR($Z33&lt;&gt;"",FALSE()),IFERROR(AND(ISNUMBER($Z33),$Z33&gt;=DATE(2020,1,1),$Z33&lt;=DATE(2100,12,31)),FALSE()),NOT(ISERROR($Z33))))),FALSE())),1,0)</f>
        <v>0</v>
      </c>
      <c r="AG33">
        <f t="shared" si="7"/>
        <v>0</v>
      </c>
      <c r="AH33" t="str">
        <f t="shared" si="8"/>
        <v/>
      </c>
      <c r="AI33" t="str">
        <f>IFERROR(IF(p_stage="Pilot / PoC","No","Yes"),"Yes")</f>
        <v>Yes</v>
      </c>
      <c r="AJ33">
        <f t="shared" si="9"/>
        <v>0</v>
      </c>
      <c r="AK33">
        <f t="shared" si="10"/>
        <v>0</v>
      </c>
      <c r="AL33">
        <f t="shared" si="11"/>
        <v>0</v>
      </c>
      <c r="AM33">
        <f t="shared" si="12"/>
        <v>0</v>
      </c>
      <c r="AN33">
        <f t="shared" si="13"/>
        <v>0</v>
      </c>
      <c r="AO33">
        <f t="shared" si="14"/>
        <v>0</v>
      </c>
      <c r="AP33">
        <f t="shared" si="15"/>
        <v>0</v>
      </c>
      <c r="AQ33">
        <f t="shared" si="16"/>
        <v>0</v>
      </c>
      <c r="AR33">
        <f t="shared" si="17"/>
        <v>0</v>
      </c>
      <c r="AS33">
        <f t="shared" si="18"/>
        <v>0</v>
      </c>
      <c r="AT33">
        <f t="shared" si="19"/>
        <v>0</v>
      </c>
      <c r="AU33" t="str">
        <f>_xlfn.TEXTJOIN(", ",TRUE(),IF(ISERROR($E33),"E33",""),IF(ISERROR($G33),"G33",""),IF(ISERROR($H33),"H33",""),IF(ISERROR($J33),"J33",""),IF(ISERROR($K33),"K33",""),IF(ISERROR($O33),"O33",""),IF(ISERROR($P33),"P33",""),IF(ISERROR($Q33),"Q33",""),IF(ISERROR($R33),"R33",""),IF(ISERROR($S33),"S33",""),IF(ISERROR($T33),"T33",""),IF(ISERROR($X33),"X33",""),IF(ISERROR($Y33),"Y33",""),IF(ISERROR($Z33),"Z33",""))</f>
        <v/>
      </c>
      <c r="AV33" t="str">
        <f>_xlfn.TEXTJOIN("; ",TRUE(),IF(IFERROR(NOT(OR($J33="",$J33="Yes",$J33="No")),TRUE()),"Invalid override value (J)",""),IF(IFERROR(IF($E33="",$I33="Yes",NOT(OR($E33="Blocker",$E33="Major",$E33="Moderate",$E33="Minor"))),TRUE()),"Invalid or missing criticality (E)",""),IF(IFERROR(IF($J33&lt;&gt;"",$T33="",FALSE()),TRUE()),"Override rationale missing / invalid (T)",""),IF(IFERROR(IF(AND($A33="2.7",$I33="Yes",p_confidential="Yes"),$E33&lt;&gt;"Blocker",FALSE()),TRUE()),"2.7 must be Blocker when S4 = Yes",""),IF(IFERROR(IF(AND($A33="5.8",$I33="Yes"),OR($E33="Moderate",$E33="Minor"),FALSE()),TRUE()),"5.8 should be at least Major",""),IF(IF(IFERROR(AND($J33="No",$AI33="Yes",OR($AD33="Blocker",AND($A33="2.7",p_confidential="Yes"))),FALSE()),NOT(AND(IFERROR($X33&lt;&gt;"",FALSE()),IFERROR($Y33&lt;&gt;"",FALSE()),IFERROR(AND(ISNUMBER($Z33),$Z33&gt;=DATE(2020,1,1),$Z33&lt;=DATE(2100,12,31)),FALSE()))),FALSE()),"Blocker de-scope review missing / invalid (X-Z)",""),IF(IF(IFERROR(IF(OR($E33="Blocker",$E33="Major",$E33="Moderate",$E33="Minor"),$F33&lt;IF($AD33="Blocker",Lookups!$B$8,IF($AD33="Major",Lookups!$B$9,IF($AD33="Moderate",Lookups!$B$10,Lookups!$B$11))),FALSE()),FALSE()),NOT(AND(IFERROR($T33&lt;&gt;"",FALSE()),IFERROR($Y33&lt;&gt;"",FALSE()),IF(IFERROR($Z33&lt;&gt;"",FALSE()),IFERROR(AND(ISNUMBER($Z33),$Z33&gt;=DATE(2020,1,1),$Z33&lt;=DATE(2100,12,31)),FALSE()),NOT(ISERROR($Z33))))),FALSE()),"Criticality below baseline: review missing / invalid (T,Y,Z)",""))</f>
        <v/>
      </c>
      <c r="AW33" t="str">
        <f t="shared" si="20"/>
        <v/>
      </c>
    </row>
    <row r="34" spans="1:49" ht="30" customHeight="1" x14ac:dyDescent="0.3">
      <c r="A34" s="22" t="s">
        <v>314</v>
      </c>
      <c r="B34" s="23" t="s">
        <v>311</v>
      </c>
      <c r="C34" s="24" t="s">
        <v>315</v>
      </c>
      <c r="D34" s="24" t="s">
        <v>316</v>
      </c>
      <c r="E34" s="25" t="s">
        <v>187</v>
      </c>
      <c r="F34" s="26">
        <f>IFERROR(IF($E34="Blocker",Lookups!$B$8,IF($E34="Major",Lookups!$B$9,IF($E34="Moderate",Lookups!$B$10,IF($E34="Minor",Lookups!$B$11,0)))),0)</f>
        <v>4</v>
      </c>
      <c r="G34" s="16">
        <v>3</v>
      </c>
      <c r="H34" s="16">
        <v>4</v>
      </c>
      <c r="I34" s="27" t="str">
        <f>IFERROR(IF(OR($J34="Yes",$J34="No"),$J34,IF(p_provider="External SaaS / API","No","Yes")),"Yes")</f>
        <v>Yes</v>
      </c>
      <c r="J34" s="25"/>
      <c r="K34" s="25"/>
      <c r="L34" s="27" t="str">
        <f t="shared" ref="L34:L69" si="21">IFERROR(IF(OR($I34="No",$K34="N/A"),"",IF($K34="Yes",1,IF($K34="Partial",0.5,IF($K34="No",0,"")))),"")</f>
        <v/>
      </c>
      <c r="M34" s="27">
        <f t="shared" ref="M34:M69" si="22">IFERROR(IF(OR($I34="No",$K34="N/A"),"",$F34*IF(OR($G34="",NOT(ISNUMBER($G34))),3,$G34)*IF(OR($H34="",NOT(ISNUMBER($H34))),3,$H34)*IF($K34="",1,1-$L34)),"")</f>
        <v>48</v>
      </c>
      <c r="N34" s="27" t="str">
        <f t="shared" ref="N34:N69" si="23">IFERROR(IF(OR($I34="No",$K34="N/A",$K34=""),"",IF(AND(IFERROR(AND($S34="Accepted Risk",$AM34=0),FALSE()),OR(AND($E34="Blocker",OR($K34="No",$K34="Partial")),AND($E34="Major",$K34="No"))),IF(AND($E34="Blocker",$K34="No"),"BLOCK",IF(AND($E34="Blocker",$K34="Partial"),IF(p_stage="Pilot / PoC","ESCALATE","BLOCK"),IF(AND($E34="Major",$K34="No"),"ESCALATE","")))&amp;" (exempted)",IF(AND($E34="Blocker",$K34="No"),"BLOCK",IF(AND($E34="Blocker",$K34="Partial"),IF(p_stage="Pilot / PoC","ESCALATE","BLOCK"),IF(AND($E34="Major",$K34="No"),"ESCALATE",""))))),"")</f>
        <v/>
      </c>
      <c r="O34" s="25"/>
      <c r="P34" s="25"/>
      <c r="Q34" s="25"/>
      <c r="R34" s="28"/>
      <c r="S34" s="25"/>
      <c r="T34" s="25"/>
      <c r="U34" s="29" t="str">
        <f t="shared" ref="U34:U69" si="24">_xlfn.TEXTJOIN("; ",TRUE(),$AV34,$AW34,IF($AP34&gt;0,"Evidence missing or unusable",""))</f>
        <v/>
      </c>
      <c r="V34" s="24"/>
      <c r="W34" s="24" t="s">
        <v>317</v>
      </c>
      <c r="X34" s="13"/>
      <c r="Y34" s="13"/>
      <c r="Z34" s="14"/>
      <c r="AA34" t="str">
        <f t="shared" ref="AA34:AA69" si="25">IF($AN34&gt;0,$A34,"")</f>
        <v/>
      </c>
      <c r="AB34" t="str">
        <f t="shared" ref="AB34:AB69" si="26">IF($AO34&gt;0,$A34,"")</f>
        <v/>
      </c>
      <c r="AC34" t="str">
        <f t="shared" ref="AC34:AC69" si="27">IF($AQ34&gt;0,$A34&amp;" ("&amp;$U34&amp;")","")</f>
        <v/>
      </c>
      <c r="AD34" t="s">
        <v>187</v>
      </c>
      <c r="AF34">
        <f>IF(OR(IFERROR(NOT(OR($J34="",$J34="Yes",$J34="No")),TRUE()),IFERROR(IF($E34="",$I34="Yes",NOT(OR($E34="Blocker",$E34="Major",$E34="Moderate",$E34="Minor"))),TRUE()),IFERROR(IF($J34&lt;&gt;"",$T34="",FALSE()),TRUE()),IFERROR(IF(AND($A34="2.7",$I34="Yes",p_confidential="Yes"),$E34&lt;&gt;"Blocker",FALSE()),TRUE()),IFERROR(IF(AND($A34="5.8",$I34="Yes"),OR($E34="Moderate",$E34="Minor"),FALSE()),TRUE()),IF(IFERROR(AND($J34="No",$AI34="Yes",OR($AD34="Blocker",AND($A34="2.7",p_confidential="Yes"))),FALSE()),NOT(AND(IFERROR($X34&lt;&gt;"",FALSE()),IFERROR($Y34&lt;&gt;"",FALSE()),IFERROR(AND(ISNUMBER($Z34),$Z34&gt;=DATE(2020,1,1),$Z34&lt;=DATE(2100,12,31)),FALSE()))),FALSE()),IF(IFERROR(IF(OR($E34="Blocker",$E34="Major",$E34="Moderate",$E34="Minor"),$F34&lt;IF($AD34="Blocker",Lookups!$B$8,IF($AD34="Major",Lookups!$B$9,IF($AD34="Moderate",Lookups!$B$10,Lookups!$B$11))),FALSE()),FALSE()),NOT(AND(IFERROR($T34&lt;&gt;"",FALSE()),IFERROR($Y34&lt;&gt;"",FALSE()),IF(IFERROR($Z34&lt;&gt;"",FALSE()),IFERROR(AND(ISNUMBER($Z34),$Z34&gt;=DATE(2020,1,1),$Z34&lt;=DATE(2100,12,31)),FALSE()),NOT(ISERROR($Z34))))),FALSE())),1,0)</f>
        <v>0</v>
      </c>
      <c r="AG34">
        <f t="shared" ref="AG34:AG69" si="28">IF(OR(ISERROR($E34),ISERROR($G34),ISERROR($H34),ISERROR($J34),ISERROR($K34),ISERROR($O34),ISERROR($P34),ISERROR($Q34),ISERROR($R34),ISERROR($S34),ISERROR($T34),ISERROR($X34),ISERROR($Y34),ISERROR($Z34)),1,0)</f>
        <v>0</v>
      </c>
      <c r="AH34" t="str">
        <f t="shared" ref="AH34:AH69" si="29">IF($AF34&gt;0,$A34&amp;" ("&amp;$AV34&amp;")","")</f>
        <v/>
      </c>
      <c r="AI34" t="str">
        <f>IFERROR(IF(p_provider="External SaaS / API","No","Yes"),"Yes")</f>
        <v>Yes</v>
      </c>
      <c r="AJ34">
        <f t="shared" ref="AJ34:AJ69" si="30">IF(IFERROR(NOT(OR($K34="",$K34="Yes",$K34="Partial",$K34="No",$K34="N/A")),TRUE()),1,0)</f>
        <v>0</v>
      </c>
      <c r="AK34">
        <f t="shared" ref="AK34:AK69" si="31">IF(OR(IFERROR(IF($G34="",AND($I34="Yes",$K34&lt;&gt;""),IF(ISNUMBER($G34),OR($G34&lt;1,$G34&gt;5,$G34&lt;&gt;INT($G34)),TRUE())),TRUE()),IFERROR(IF($H34="",AND($I34="Yes",$K34&lt;&gt;""),IF(ISNUMBER($H34),OR($H34&lt;1,$H34&gt;5,$H34&lt;&gt;INT($H34)),TRUE())),TRUE())),1,0)</f>
        <v>0</v>
      </c>
      <c r="AL34">
        <f t="shared" ref="AL34:AL69" si="32">IF(IFERROR(NOT(OR($S34="",$S34="Open",$S34="In progress",$S34="Remediated",$S34="Accepted Risk",$S34="Not applicable")),TRUE()),1,0)</f>
        <v>0</v>
      </c>
      <c r="AM34">
        <f t="shared" ref="AM34:AM69" si="33">IF(OR(IFERROR(IF($S34="Accepted Risk",OR($X34="",$Y34="",$Z34=""),FALSE()),TRUE()),IF(IFERROR($Z34&lt;&gt;"",FALSE()),NOT(IFERROR(AND(ISNUMBER($Z34),$Z34&gt;=DATE(2020,1,1),$Z34&lt;=DATE(2100,12,31)),FALSE())),ISERROR($Z34))),1,0)</f>
        <v>0</v>
      </c>
      <c r="AN34">
        <f t="shared" ref="AN34:AN69" si="34">IF(IFERROR(AND($I34="Yes",$K34="N/A"),FALSE()),1,0)</f>
        <v>0</v>
      </c>
      <c r="AO34">
        <f t="shared" ref="AO34:AO69" si="35">IF(IFERROR(IF($J34&lt;&gt;"",$T34="",FALSE()),TRUE()),1,0)</f>
        <v>0</v>
      </c>
      <c r="AP34">
        <f t="shared" ref="AP34:AP69" si="36">IF(IFERROR(IF($I34="Yes",IF(OR($K34="Yes",$K34="Partial"),IF(ISERROR($O34),TRUE(),$O34=""),FALSE()),FALSE()),FALSE()),1,0)</f>
        <v>0</v>
      </c>
      <c r="AQ34">
        <f t="shared" ref="AQ34:AQ69" si="37">IF(OR($AF34&gt;0,$AG34&gt;0,$AJ34&gt;0,$AK34&gt;0,$AL34&gt;0,$AM34&gt;0,$AN34&gt;0,$AO34&gt;0),1,0)</f>
        <v>0</v>
      </c>
      <c r="AR34">
        <f t="shared" ref="AR34:AR69" si="38">IF(IFERROR(AND($I34="Yes",OR($K34="Yes",$K34="Partial",$K34="No")),FALSE()),1,0)</f>
        <v>0</v>
      </c>
      <c r="AS34">
        <f t="shared" ref="AS34:AS69" si="39">IFERROR(IF($AR34=1,$F34*$L34,0),0)</f>
        <v>0</v>
      </c>
      <c r="AT34">
        <f t="shared" ref="AT34:AT69" si="40">IFERROR(IF($AR34=1,$F34,0),0)</f>
        <v>0</v>
      </c>
      <c r="AU34" t="str">
        <f>_xlfn.TEXTJOIN(", ",TRUE(),IF(ISERROR($E34),"E34",""),IF(ISERROR($G34),"G34",""),IF(ISERROR($H34),"H34",""),IF(ISERROR($J34),"J34",""),IF(ISERROR($K34),"K34",""),IF(ISERROR($O34),"O34",""),IF(ISERROR($P34),"P34",""),IF(ISERROR($Q34),"Q34",""),IF(ISERROR($R34),"R34",""),IF(ISERROR($S34),"S34",""),IF(ISERROR($T34),"T34",""),IF(ISERROR($X34),"X34",""),IF(ISERROR($Y34),"Y34",""),IF(ISERROR($Z34),"Z34",""))</f>
        <v/>
      </c>
      <c r="AV34" t="str">
        <f>_xlfn.TEXTJOIN("; ",TRUE(),IF(IFERROR(NOT(OR($J34="",$J34="Yes",$J34="No")),TRUE()),"Invalid override value (J)",""),IF(IFERROR(IF($E34="",$I34="Yes",NOT(OR($E34="Blocker",$E34="Major",$E34="Moderate",$E34="Minor"))),TRUE()),"Invalid or missing criticality (E)",""),IF(IFERROR(IF($J34&lt;&gt;"",$T34="",FALSE()),TRUE()),"Override rationale missing / invalid (T)",""),IF(IFERROR(IF(AND($A34="2.7",$I34="Yes",p_confidential="Yes"),$E34&lt;&gt;"Blocker",FALSE()),TRUE()),"2.7 must be Blocker when S4 = Yes",""),IF(IFERROR(IF(AND($A34="5.8",$I34="Yes"),OR($E34="Moderate",$E34="Minor"),FALSE()),TRUE()),"5.8 should be at least Major",""),IF(IF(IFERROR(AND($J34="No",$AI34="Yes",OR($AD34="Blocker",AND($A34="2.7",p_confidential="Yes"))),FALSE()),NOT(AND(IFERROR($X34&lt;&gt;"",FALSE()),IFERROR($Y34&lt;&gt;"",FALSE()),IFERROR(AND(ISNUMBER($Z34),$Z34&gt;=DATE(2020,1,1),$Z34&lt;=DATE(2100,12,31)),FALSE()))),FALSE()),"Blocker de-scope review missing / invalid (X-Z)",""),IF(IF(IFERROR(IF(OR($E34="Blocker",$E34="Major",$E34="Moderate",$E34="Minor"),$F34&lt;IF($AD34="Blocker",Lookups!$B$8,IF($AD34="Major",Lookups!$B$9,IF($AD34="Moderate",Lookups!$B$10,Lookups!$B$11))),FALSE()),FALSE()),NOT(AND(IFERROR($T34&lt;&gt;"",FALSE()),IFERROR($Y34&lt;&gt;"",FALSE()),IF(IFERROR($Z34&lt;&gt;"",FALSE()),IFERROR(AND(ISNUMBER($Z34),$Z34&gt;=DATE(2020,1,1),$Z34&lt;=DATE(2100,12,31)),FALSE()),NOT(ISERROR($Z34))))),FALSE()),"Criticality below baseline: review missing / invalid (T,Y,Z)",""))</f>
        <v/>
      </c>
      <c r="AW34" t="str">
        <f t="shared" ref="AW34:AW69" si="41">_xlfn.TEXTJOIN("; ",TRUE(),IF($AJ34&gt;0,"Invalid response value (K)",""),IF($AK34&gt;0,"Likelihood/Impact missing or not integer 1-5 (G,H)",""),IF($AL34&gt;0,"Invalid status value (S)",""),IF($AM34&gt;0,_xlfn.TEXTJOIN("; ",TRUE(),IF(IFERROR(AND($S34="Accepted Risk",$X34=""),FALSE()),"Exemption reference (X) missing",""),IF(IFERROR(AND($S34="Accepted Risk",$Y34=""),FALSE()),"Exemption approver (Y) missing",""),IF(IFERROR(AND($S34="Accepted Risk",$Z34=""),FALSE()),"Exemption date (Z) missing",""),IF(ISERROR($Z34),"Exemption date (Z) invalid - error value",IF(IFERROR(AND($Z34&lt;&gt;"",NOT(AND(ISNUMBER($Z34),$Z34&gt;=DATE(2020,1,1),$Z34&lt;=DATE(2100,12,31)))),FALSE()),"Exemption date (Z) invalid - enter a real date","")),IF(OR(ISERROR($S34),ISERROR($X34),ISERROR($Y34)),"Exemption inputs contain an error value (S,X,Y)","")),""),IF($AG34&gt;0,"Input/calculation fault at "&amp;$AU34,""),IF($AN34&gt;0,"N/A on applicable row",""))</f>
        <v/>
      </c>
    </row>
    <row r="35" spans="1:49" ht="45" customHeight="1" x14ac:dyDescent="0.3">
      <c r="A35" s="22" t="s">
        <v>318</v>
      </c>
      <c r="B35" s="23" t="s">
        <v>311</v>
      </c>
      <c r="C35" s="24" t="s">
        <v>220</v>
      </c>
      <c r="D35" s="24" t="s">
        <v>319</v>
      </c>
      <c r="E35" s="25" t="s">
        <v>191</v>
      </c>
      <c r="F35" s="26">
        <f>IFERROR(IF($E35="Blocker",Lookups!$B$8,IF($E35="Major",Lookups!$B$9,IF($E35="Moderate",Lookups!$B$10,IF($E35="Minor",Lookups!$B$11,0)))),0)</f>
        <v>5</v>
      </c>
      <c r="G35" s="16">
        <v>4</v>
      </c>
      <c r="H35" s="16">
        <v>5</v>
      </c>
      <c r="I35" s="27" t="str">
        <f>IFERROR(IF(OR($J35="Yes",$J35="No"),$J35,IF(p_stage="Pilot / PoC","No","Yes")),"Yes")</f>
        <v>Yes</v>
      </c>
      <c r="J35" s="25"/>
      <c r="K35" s="25"/>
      <c r="L35" s="27" t="str">
        <f t="shared" si="21"/>
        <v/>
      </c>
      <c r="M35" s="27">
        <f t="shared" si="22"/>
        <v>100</v>
      </c>
      <c r="N35" s="27" t="str">
        <f t="shared" si="23"/>
        <v/>
      </c>
      <c r="O35" s="25"/>
      <c r="P35" s="25"/>
      <c r="Q35" s="25"/>
      <c r="R35" s="28"/>
      <c r="S35" s="25"/>
      <c r="T35" s="25"/>
      <c r="U35" s="29" t="str">
        <f t="shared" si="24"/>
        <v/>
      </c>
      <c r="V35" s="24"/>
      <c r="W35" s="24" t="s">
        <v>320</v>
      </c>
      <c r="X35" s="13"/>
      <c r="Y35" s="13"/>
      <c r="Z35" s="14"/>
      <c r="AA35" t="str">
        <f t="shared" si="25"/>
        <v/>
      </c>
      <c r="AB35" t="str">
        <f t="shared" si="26"/>
        <v/>
      </c>
      <c r="AC35" t="str">
        <f t="shared" si="27"/>
        <v/>
      </c>
      <c r="AD35" t="s">
        <v>191</v>
      </c>
      <c r="AF35">
        <f>IF(OR(IFERROR(NOT(OR($J35="",$J35="Yes",$J35="No")),TRUE()),IFERROR(IF($E35="",$I35="Yes",NOT(OR($E35="Blocker",$E35="Major",$E35="Moderate",$E35="Minor"))),TRUE()),IFERROR(IF($J35&lt;&gt;"",$T35="",FALSE()),TRUE()),IFERROR(IF(AND($A35="2.7",$I35="Yes",p_confidential="Yes"),$E35&lt;&gt;"Blocker",FALSE()),TRUE()),IFERROR(IF(AND($A35="5.8",$I35="Yes"),OR($E35="Moderate",$E35="Minor"),FALSE()),TRUE()),IF(IFERROR(AND($J35="No",$AI35="Yes",OR($AD35="Blocker",AND($A35="2.7",p_confidential="Yes"))),FALSE()),NOT(AND(IFERROR($X35&lt;&gt;"",FALSE()),IFERROR($Y35&lt;&gt;"",FALSE()),IFERROR(AND(ISNUMBER($Z35),$Z35&gt;=DATE(2020,1,1),$Z35&lt;=DATE(2100,12,31)),FALSE()))),FALSE()),IF(IFERROR(IF(OR($E35="Blocker",$E35="Major",$E35="Moderate",$E35="Minor"),$F35&lt;IF($AD35="Blocker",Lookups!$B$8,IF($AD35="Major",Lookups!$B$9,IF($AD35="Moderate",Lookups!$B$10,Lookups!$B$11))),FALSE()),FALSE()),NOT(AND(IFERROR($T35&lt;&gt;"",FALSE()),IFERROR($Y35&lt;&gt;"",FALSE()),IF(IFERROR($Z35&lt;&gt;"",FALSE()),IFERROR(AND(ISNUMBER($Z35),$Z35&gt;=DATE(2020,1,1),$Z35&lt;=DATE(2100,12,31)),FALSE()),NOT(ISERROR($Z35))))),FALSE())),1,0)</f>
        <v>0</v>
      </c>
      <c r="AG35">
        <f t="shared" si="28"/>
        <v>0</v>
      </c>
      <c r="AH35" t="str">
        <f t="shared" si="29"/>
        <v/>
      </c>
      <c r="AI35" t="str">
        <f>IFERROR(IF(p_stage="Pilot / PoC","No","Yes"),"Yes")</f>
        <v>Yes</v>
      </c>
      <c r="AJ35">
        <f t="shared" si="30"/>
        <v>0</v>
      </c>
      <c r="AK35">
        <f t="shared" si="31"/>
        <v>0</v>
      </c>
      <c r="AL35">
        <f t="shared" si="32"/>
        <v>0</v>
      </c>
      <c r="AM35">
        <f t="shared" si="33"/>
        <v>0</v>
      </c>
      <c r="AN35">
        <f t="shared" si="34"/>
        <v>0</v>
      </c>
      <c r="AO35">
        <f t="shared" si="35"/>
        <v>0</v>
      </c>
      <c r="AP35">
        <f t="shared" si="36"/>
        <v>0</v>
      </c>
      <c r="AQ35">
        <f t="shared" si="37"/>
        <v>0</v>
      </c>
      <c r="AR35">
        <f t="shared" si="38"/>
        <v>0</v>
      </c>
      <c r="AS35">
        <f t="shared" si="39"/>
        <v>0</v>
      </c>
      <c r="AT35">
        <f t="shared" si="40"/>
        <v>0</v>
      </c>
      <c r="AU35" t="str">
        <f>_xlfn.TEXTJOIN(", ",TRUE(),IF(ISERROR($E35),"E35",""),IF(ISERROR($G35),"G35",""),IF(ISERROR($H35),"H35",""),IF(ISERROR($J35),"J35",""),IF(ISERROR($K35),"K35",""),IF(ISERROR($O35),"O35",""),IF(ISERROR($P35),"P35",""),IF(ISERROR($Q35),"Q35",""),IF(ISERROR($R35),"R35",""),IF(ISERROR($S35),"S35",""),IF(ISERROR($T35),"T35",""),IF(ISERROR($X35),"X35",""),IF(ISERROR($Y35),"Y35",""),IF(ISERROR($Z35),"Z35",""))</f>
        <v/>
      </c>
      <c r="AV35" t="str">
        <f>_xlfn.TEXTJOIN("; ",TRUE(),IF(IFERROR(NOT(OR($J35="",$J35="Yes",$J35="No")),TRUE()),"Invalid override value (J)",""),IF(IFERROR(IF($E35="",$I35="Yes",NOT(OR($E35="Blocker",$E35="Major",$E35="Moderate",$E35="Minor"))),TRUE()),"Invalid or missing criticality (E)",""),IF(IFERROR(IF($J35&lt;&gt;"",$T35="",FALSE()),TRUE()),"Override rationale missing / invalid (T)",""),IF(IFERROR(IF(AND($A35="2.7",$I35="Yes",p_confidential="Yes"),$E35&lt;&gt;"Blocker",FALSE()),TRUE()),"2.7 must be Blocker when S4 = Yes",""),IF(IFERROR(IF(AND($A35="5.8",$I35="Yes"),OR($E35="Moderate",$E35="Minor"),FALSE()),TRUE()),"5.8 should be at least Major",""),IF(IF(IFERROR(AND($J35="No",$AI35="Yes",OR($AD35="Blocker",AND($A35="2.7",p_confidential="Yes"))),FALSE()),NOT(AND(IFERROR($X35&lt;&gt;"",FALSE()),IFERROR($Y35&lt;&gt;"",FALSE()),IFERROR(AND(ISNUMBER($Z35),$Z35&gt;=DATE(2020,1,1),$Z35&lt;=DATE(2100,12,31)),FALSE()))),FALSE()),"Blocker de-scope review missing / invalid (X-Z)",""),IF(IF(IFERROR(IF(OR($E35="Blocker",$E35="Major",$E35="Moderate",$E35="Minor"),$F35&lt;IF($AD35="Blocker",Lookups!$B$8,IF($AD35="Major",Lookups!$B$9,IF($AD35="Moderate",Lookups!$B$10,Lookups!$B$11))),FALSE()),FALSE()),NOT(AND(IFERROR($T35&lt;&gt;"",FALSE()),IFERROR($Y35&lt;&gt;"",FALSE()),IF(IFERROR($Z35&lt;&gt;"",FALSE()),IFERROR(AND(ISNUMBER($Z35),$Z35&gt;=DATE(2020,1,1),$Z35&lt;=DATE(2100,12,31)),FALSE()),NOT(ISERROR($Z35))))),FALSE()),"Criticality below baseline: review missing / invalid (T,Y,Z)",""))</f>
        <v/>
      </c>
      <c r="AW35" t="str">
        <f t="shared" si="41"/>
        <v/>
      </c>
    </row>
    <row r="36" spans="1:49" ht="30" customHeight="1" x14ac:dyDescent="0.3">
      <c r="A36" s="22" t="s">
        <v>321</v>
      </c>
      <c r="B36" s="23" t="s">
        <v>311</v>
      </c>
      <c r="C36" s="24" t="s">
        <v>185</v>
      </c>
      <c r="D36" s="24" t="s">
        <v>322</v>
      </c>
      <c r="E36" s="25" t="s">
        <v>187</v>
      </c>
      <c r="F36" s="26">
        <f>IFERROR(IF($E36="Blocker",Lookups!$B$8,IF($E36="Major",Lookups!$B$9,IF($E36="Moderate",Lookups!$B$10,IF($E36="Minor",Lookups!$B$11,0)))),0)</f>
        <v>4</v>
      </c>
      <c r="G36" s="16">
        <v>3</v>
      </c>
      <c r="H36" s="16">
        <v>4</v>
      </c>
      <c r="I36" s="27" t="str">
        <f>IFERROR(IF(OR($J36="Yes",$J36="No"),$J36,"Yes"),"Yes")</f>
        <v>Yes</v>
      </c>
      <c r="J36" s="25"/>
      <c r="K36" s="25"/>
      <c r="L36" s="27" t="str">
        <f t="shared" si="21"/>
        <v/>
      </c>
      <c r="M36" s="27">
        <f t="shared" si="22"/>
        <v>48</v>
      </c>
      <c r="N36" s="27" t="str">
        <f t="shared" si="23"/>
        <v/>
      </c>
      <c r="O36" s="25"/>
      <c r="P36" s="25"/>
      <c r="Q36" s="25"/>
      <c r="R36" s="28"/>
      <c r="S36" s="25"/>
      <c r="T36" s="25"/>
      <c r="U36" s="29" t="str">
        <f t="shared" si="24"/>
        <v/>
      </c>
      <c r="V36" s="24" t="s">
        <v>323</v>
      </c>
      <c r="W36" s="24" t="s">
        <v>324</v>
      </c>
      <c r="X36" s="13"/>
      <c r="Y36" s="13"/>
      <c r="Z36" s="14"/>
      <c r="AA36" t="str">
        <f t="shared" si="25"/>
        <v/>
      </c>
      <c r="AB36" t="str">
        <f t="shared" si="26"/>
        <v/>
      </c>
      <c r="AC36" t="str">
        <f t="shared" si="27"/>
        <v/>
      </c>
      <c r="AD36" t="s">
        <v>187</v>
      </c>
      <c r="AF36">
        <f>IF(OR(IFERROR(NOT(OR($J36="",$J36="Yes",$J36="No")),TRUE()),IFERROR(IF($E36="",$I36="Yes",NOT(OR($E36="Blocker",$E36="Major",$E36="Moderate",$E36="Minor"))),TRUE()),IFERROR(IF($J36&lt;&gt;"",$T36="",FALSE()),TRUE()),IFERROR(IF(AND($A36="2.7",$I36="Yes",p_confidential="Yes"),$E36&lt;&gt;"Blocker",FALSE()),TRUE()),IFERROR(IF(AND($A36="5.8",$I36="Yes"),OR($E36="Moderate",$E36="Minor"),FALSE()),TRUE()),IF(IFERROR(AND($J36="No",$AI36="Yes",OR($AD36="Blocker",AND($A36="2.7",p_confidential="Yes"))),FALSE()),NOT(AND(IFERROR($X36&lt;&gt;"",FALSE()),IFERROR($Y36&lt;&gt;"",FALSE()),IFERROR(AND(ISNUMBER($Z36),$Z36&gt;=DATE(2020,1,1),$Z36&lt;=DATE(2100,12,31)),FALSE()))),FALSE()),IF(IFERROR(IF(OR($E36="Blocker",$E36="Major",$E36="Moderate",$E36="Minor"),$F36&lt;IF($AD36="Blocker",Lookups!$B$8,IF($AD36="Major",Lookups!$B$9,IF($AD36="Moderate",Lookups!$B$10,Lookups!$B$11))),FALSE()),FALSE()),NOT(AND(IFERROR($T36&lt;&gt;"",FALSE()),IFERROR($Y36&lt;&gt;"",FALSE()),IF(IFERROR($Z36&lt;&gt;"",FALSE()),IFERROR(AND(ISNUMBER($Z36),$Z36&gt;=DATE(2020,1,1),$Z36&lt;=DATE(2100,12,31)),FALSE()),NOT(ISERROR($Z36))))),FALSE())),1,0)</f>
        <v>0</v>
      </c>
      <c r="AG36">
        <f t="shared" si="28"/>
        <v>0</v>
      </c>
      <c r="AH36" t="str">
        <f t="shared" si="29"/>
        <v/>
      </c>
      <c r="AI36" t="str">
        <f>IFERROR("Yes","Yes")</f>
        <v>Yes</v>
      </c>
      <c r="AJ36">
        <f t="shared" si="30"/>
        <v>0</v>
      </c>
      <c r="AK36">
        <f t="shared" si="31"/>
        <v>0</v>
      </c>
      <c r="AL36">
        <f t="shared" si="32"/>
        <v>0</v>
      </c>
      <c r="AM36">
        <f t="shared" si="33"/>
        <v>0</v>
      </c>
      <c r="AN36">
        <f t="shared" si="34"/>
        <v>0</v>
      </c>
      <c r="AO36">
        <f t="shared" si="35"/>
        <v>0</v>
      </c>
      <c r="AP36">
        <f t="shared" si="36"/>
        <v>0</v>
      </c>
      <c r="AQ36">
        <f t="shared" si="37"/>
        <v>0</v>
      </c>
      <c r="AR36">
        <f t="shared" si="38"/>
        <v>0</v>
      </c>
      <c r="AS36">
        <f t="shared" si="39"/>
        <v>0</v>
      </c>
      <c r="AT36">
        <f t="shared" si="40"/>
        <v>0</v>
      </c>
      <c r="AU36" t="str">
        <f>_xlfn.TEXTJOIN(", ",TRUE(),IF(ISERROR($E36),"E36",""),IF(ISERROR($G36),"G36",""),IF(ISERROR($H36),"H36",""),IF(ISERROR($J36),"J36",""),IF(ISERROR($K36),"K36",""),IF(ISERROR($O36),"O36",""),IF(ISERROR($P36),"P36",""),IF(ISERROR($Q36),"Q36",""),IF(ISERROR($R36),"R36",""),IF(ISERROR($S36),"S36",""),IF(ISERROR($T36),"T36",""),IF(ISERROR($X36),"X36",""),IF(ISERROR($Y36),"Y36",""),IF(ISERROR($Z36),"Z36",""))</f>
        <v/>
      </c>
      <c r="AV36" t="str">
        <f>_xlfn.TEXTJOIN("; ",TRUE(),IF(IFERROR(NOT(OR($J36="",$J36="Yes",$J36="No")),TRUE()),"Invalid override value (J)",""),IF(IFERROR(IF($E36="",$I36="Yes",NOT(OR($E36="Blocker",$E36="Major",$E36="Moderate",$E36="Minor"))),TRUE()),"Invalid or missing criticality (E)",""),IF(IFERROR(IF($J36&lt;&gt;"",$T36="",FALSE()),TRUE()),"Override rationale missing / invalid (T)",""),IF(IFERROR(IF(AND($A36="2.7",$I36="Yes",p_confidential="Yes"),$E36&lt;&gt;"Blocker",FALSE()),TRUE()),"2.7 must be Blocker when S4 = Yes",""),IF(IFERROR(IF(AND($A36="5.8",$I36="Yes"),OR($E36="Moderate",$E36="Minor"),FALSE()),TRUE()),"5.8 should be at least Major",""),IF(IF(IFERROR(AND($J36="No",$AI36="Yes",OR($AD36="Blocker",AND($A36="2.7",p_confidential="Yes"))),FALSE()),NOT(AND(IFERROR($X36&lt;&gt;"",FALSE()),IFERROR($Y36&lt;&gt;"",FALSE()),IFERROR(AND(ISNUMBER($Z36),$Z36&gt;=DATE(2020,1,1),$Z36&lt;=DATE(2100,12,31)),FALSE()))),FALSE()),"Blocker de-scope review missing / invalid (X-Z)",""),IF(IF(IFERROR(IF(OR($E36="Blocker",$E36="Major",$E36="Moderate",$E36="Minor"),$F36&lt;IF($AD36="Blocker",Lookups!$B$8,IF($AD36="Major",Lookups!$B$9,IF($AD36="Moderate",Lookups!$B$10,Lookups!$B$11))),FALSE()),FALSE()),NOT(AND(IFERROR($T36&lt;&gt;"",FALSE()),IFERROR($Y36&lt;&gt;"",FALSE()),IF(IFERROR($Z36&lt;&gt;"",FALSE()),IFERROR(AND(ISNUMBER($Z36),$Z36&gt;=DATE(2020,1,1),$Z36&lt;=DATE(2100,12,31)),FALSE()),NOT(ISERROR($Z36))))),FALSE()),"Criticality below baseline: review missing / invalid (T,Y,Z)",""))</f>
        <v/>
      </c>
      <c r="AW36" t="str">
        <f t="shared" si="41"/>
        <v/>
      </c>
    </row>
    <row r="37" spans="1:49" ht="30" customHeight="1" x14ac:dyDescent="0.3">
      <c r="A37" s="22" t="s">
        <v>325</v>
      </c>
      <c r="B37" s="23" t="s">
        <v>311</v>
      </c>
      <c r="C37" s="24" t="s">
        <v>326</v>
      </c>
      <c r="D37" s="24" t="s">
        <v>327</v>
      </c>
      <c r="E37" s="25" t="s">
        <v>187</v>
      </c>
      <c r="F37" s="26">
        <f>IFERROR(IF($E37="Blocker",Lookups!$B$8,IF($E37="Major",Lookups!$B$9,IF($E37="Moderate",Lookups!$B$10,IF($E37="Minor",Lookups!$B$11,0)))),0)</f>
        <v>4</v>
      </c>
      <c r="G37" s="16">
        <v>3</v>
      </c>
      <c r="H37" s="16">
        <v>4</v>
      </c>
      <c r="I37" s="27" t="str">
        <f>IFERROR(IF(OR($J37="Yes",$J37="No"),$J37,IF(AND(p_finetune="No",p_rag="No"),"No","Yes")),"Yes")</f>
        <v>Yes</v>
      </c>
      <c r="J37" s="25"/>
      <c r="K37" s="25"/>
      <c r="L37" s="27" t="str">
        <f t="shared" si="21"/>
        <v/>
      </c>
      <c r="M37" s="27">
        <f t="shared" si="22"/>
        <v>48</v>
      </c>
      <c r="N37" s="27" t="str">
        <f t="shared" si="23"/>
        <v/>
      </c>
      <c r="O37" s="25"/>
      <c r="P37" s="25"/>
      <c r="Q37" s="25"/>
      <c r="R37" s="28"/>
      <c r="S37" s="25"/>
      <c r="T37" s="25"/>
      <c r="U37" s="29" t="str">
        <f t="shared" si="24"/>
        <v/>
      </c>
      <c r="V37" s="24"/>
      <c r="W37" s="24" t="s">
        <v>328</v>
      </c>
      <c r="X37" s="13"/>
      <c r="Y37" s="13"/>
      <c r="Z37" s="14"/>
      <c r="AA37" t="str">
        <f t="shared" si="25"/>
        <v/>
      </c>
      <c r="AB37" t="str">
        <f t="shared" si="26"/>
        <v/>
      </c>
      <c r="AC37" t="str">
        <f t="shared" si="27"/>
        <v/>
      </c>
      <c r="AD37" t="s">
        <v>187</v>
      </c>
      <c r="AF37">
        <f>IF(OR(IFERROR(NOT(OR($J37="",$J37="Yes",$J37="No")),TRUE()),IFERROR(IF($E37="",$I37="Yes",NOT(OR($E37="Blocker",$E37="Major",$E37="Moderate",$E37="Minor"))),TRUE()),IFERROR(IF($J37&lt;&gt;"",$T37="",FALSE()),TRUE()),IFERROR(IF(AND($A37="2.7",$I37="Yes",p_confidential="Yes"),$E37&lt;&gt;"Blocker",FALSE()),TRUE()),IFERROR(IF(AND($A37="5.8",$I37="Yes"),OR($E37="Moderate",$E37="Minor"),FALSE()),TRUE()),IF(IFERROR(AND($J37="No",$AI37="Yes",OR($AD37="Blocker",AND($A37="2.7",p_confidential="Yes"))),FALSE()),NOT(AND(IFERROR($X37&lt;&gt;"",FALSE()),IFERROR($Y37&lt;&gt;"",FALSE()),IFERROR(AND(ISNUMBER($Z37),$Z37&gt;=DATE(2020,1,1),$Z37&lt;=DATE(2100,12,31)),FALSE()))),FALSE()),IF(IFERROR(IF(OR($E37="Blocker",$E37="Major",$E37="Moderate",$E37="Minor"),$F37&lt;IF($AD37="Blocker",Lookups!$B$8,IF($AD37="Major",Lookups!$B$9,IF($AD37="Moderate",Lookups!$B$10,Lookups!$B$11))),FALSE()),FALSE()),NOT(AND(IFERROR($T37&lt;&gt;"",FALSE()),IFERROR($Y37&lt;&gt;"",FALSE()),IF(IFERROR($Z37&lt;&gt;"",FALSE()),IFERROR(AND(ISNUMBER($Z37),$Z37&gt;=DATE(2020,1,1),$Z37&lt;=DATE(2100,12,31)),FALSE()),NOT(ISERROR($Z37))))),FALSE())),1,0)</f>
        <v>0</v>
      </c>
      <c r="AG37">
        <f t="shared" si="28"/>
        <v>0</v>
      </c>
      <c r="AH37" t="str">
        <f t="shared" si="29"/>
        <v/>
      </c>
      <c r="AI37" t="str">
        <f>IFERROR(IF(AND(p_finetune="No",p_rag="No"),"No","Yes"),"Yes")</f>
        <v>Yes</v>
      </c>
      <c r="AJ37">
        <f t="shared" si="30"/>
        <v>0</v>
      </c>
      <c r="AK37">
        <f t="shared" si="31"/>
        <v>0</v>
      </c>
      <c r="AL37">
        <f t="shared" si="32"/>
        <v>0</v>
      </c>
      <c r="AM37">
        <f t="shared" si="33"/>
        <v>0</v>
      </c>
      <c r="AN37">
        <f t="shared" si="34"/>
        <v>0</v>
      </c>
      <c r="AO37">
        <f t="shared" si="35"/>
        <v>0</v>
      </c>
      <c r="AP37">
        <f t="shared" si="36"/>
        <v>0</v>
      </c>
      <c r="AQ37">
        <f t="shared" si="37"/>
        <v>0</v>
      </c>
      <c r="AR37">
        <f t="shared" si="38"/>
        <v>0</v>
      </c>
      <c r="AS37">
        <f t="shared" si="39"/>
        <v>0</v>
      </c>
      <c r="AT37">
        <f t="shared" si="40"/>
        <v>0</v>
      </c>
      <c r="AU37" t="str">
        <f>_xlfn.TEXTJOIN(", ",TRUE(),IF(ISERROR($E37),"E37",""),IF(ISERROR($G37),"G37",""),IF(ISERROR($H37),"H37",""),IF(ISERROR($J37),"J37",""),IF(ISERROR($K37),"K37",""),IF(ISERROR($O37),"O37",""),IF(ISERROR($P37),"P37",""),IF(ISERROR($Q37),"Q37",""),IF(ISERROR($R37),"R37",""),IF(ISERROR($S37),"S37",""),IF(ISERROR($T37),"T37",""),IF(ISERROR($X37),"X37",""),IF(ISERROR($Y37),"Y37",""),IF(ISERROR($Z37),"Z37",""))</f>
        <v/>
      </c>
      <c r="AV37" t="str">
        <f>_xlfn.TEXTJOIN("; ",TRUE(),IF(IFERROR(NOT(OR($J37="",$J37="Yes",$J37="No")),TRUE()),"Invalid override value (J)",""),IF(IFERROR(IF($E37="",$I37="Yes",NOT(OR($E37="Blocker",$E37="Major",$E37="Moderate",$E37="Minor"))),TRUE()),"Invalid or missing criticality (E)",""),IF(IFERROR(IF($J37&lt;&gt;"",$T37="",FALSE()),TRUE()),"Override rationale missing / invalid (T)",""),IF(IFERROR(IF(AND($A37="2.7",$I37="Yes",p_confidential="Yes"),$E37&lt;&gt;"Blocker",FALSE()),TRUE()),"2.7 must be Blocker when S4 = Yes",""),IF(IFERROR(IF(AND($A37="5.8",$I37="Yes"),OR($E37="Moderate",$E37="Minor"),FALSE()),TRUE()),"5.8 should be at least Major",""),IF(IF(IFERROR(AND($J37="No",$AI37="Yes",OR($AD37="Blocker",AND($A37="2.7",p_confidential="Yes"))),FALSE()),NOT(AND(IFERROR($X37&lt;&gt;"",FALSE()),IFERROR($Y37&lt;&gt;"",FALSE()),IFERROR(AND(ISNUMBER($Z37),$Z37&gt;=DATE(2020,1,1),$Z37&lt;=DATE(2100,12,31)),FALSE()))),FALSE()),"Blocker de-scope review missing / invalid (X-Z)",""),IF(IF(IFERROR(IF(OR($E37="Blocker",$E37="Major",$E37="Moderate",$E37="Minor"),$F37&lt;IF($AD37="Blocker",Lookups!$B$8,IF($AD37="Major",Lookups!$B$9,IF($AD37="Moderate",Lookups!$B$10,Lookups!$B$11))),FALSE()),FALSE()),NOT(AND(IFERROR($T37&lt;&gt;"",FALSE()),IFERROR($Y37&lt;&gt;"",FALSE()),IF(IFERROR($Z37&lt;&gt;"",FALSE()),IFERROR(AND(ISNUMBER($Z37),$Z37&gt;=DATE(2020,1,1),$Z37&lt;=DATE(2100,12,31)),FALSE()),NOT(ISERROR($Z37))))),FALSE()),"Criticality below baseline: review missing / invalid (T,Y,Z)",""))</f>
        <v/>
      </c>
      <c r="AW37" t="str">
        <f t="shared" si="41"/>
        <v/>
      </c>
    </row>
    <row r="38" spans="1:49" ht="30" customHeight="1" x14ac:dyDescent="0.3">
      <c r="A38" s="22" t="s">
        <v>329</v>
      </c>
      <c r="B38" s="23" t="s">
        <v>311</v>
      </c>
      <c r="C38" s="24" t="s">
        <v>315</v>
      </c>
      <c r="D38" s="24" t="s">
        <v>330</v>
      </c>
      <c r="E38" s="25" t="s">
        <v>187</v>
      </c>
      <c r="F38" s="26">
        <f>IFERROR(IF($E38="Blocker",Lookups!$B$8,IF($E38="Major",Lookups!$B$9,IF($E38="Moderate",Lookups!$B$10,IF($E38="Minor",Lookups!$B$11,0)))),0)</f>
        <v>4</v>
      </c>
      <c r="G38" s="16">
        <v>4</v>
      </c>
      <c r="H38" s="16">
        <v>4</v>
      </c>
      <c r="I38" s="27" t="str">
        <f>IFERROR(IF(OR($J38="Yes",$J38="No"),$J38,IF(p_provider="External SaaS / API","No","Yes")),"Yes")</f>
        <v>Yes</v>
      </c>
      <c r="J38" s="25"/>
      <c r="K38" s="25"/>
      <c r="L38" s="27" t="str">
        <f t="shared" si="21"/>
        <v/>
      </c>
      <c r="M38" s="27">
        <f t="shared" si="22"/>
        <v>64</v>
      </c>
      <c r="N38" s="27" t="str">
        <f t="shared" si="23"/>
        <v/>
      </c>
      <c r="O38" s="25"/>
      <c r="P38" s="25"/>
      <c r="Q38" s="25"/>
      <c r="R38" s="28"/>
      <c r="S38" s="25"/>
      <c r="T38" s="25"/>
      <c r="U38" s="29" t="str">
        <f t="shared" si="24"/>
        <v/>
      </c>
      <c r="V38" s="24"/>
      <c r="W38" s="24" t="s">
        <v>331</v>
      </c>
      <c r="X38" s="13"/>
      <c r="Y38" s="13"/>
      <c r="Z38" s="14"/>
      <c r="AA38" t="str">
        <f t="shared" si="25"/>
        <v/>
      </c>
      <c r="AB38" t="str">
        <f t="shared" si="26"/>
        <v/>
      </c>
      <c r="AC38" t="str">
        <f t="shared" si="27"/>
        <v/>
      </c>
      <c r="AD38" t="s">
        <v>187</v>
      </c>
      <c r="AF38">
        <f>IF(OR(IFERROR(NOT(OR($J38="",$J38="Yes",$J38="No")),TRUE()),IFERROR(IF($E38="",$I38="Yes",NOT(OR($E38="Blocker",$E38="Major",$E38="Moderate",$E38="Minor"))),TRUE()),IFERROR(IF($J38&lt;&gt;"",$T38="",FALSE()),TRUE()),IFERROR(IF(AND($A38="2.7",$I38="Yes",p_confidential="Yes"),$E38&lt;&gt;"Blocker",FALSE()),TRUE()),IFERROR(IF(AND($A38="5.8",$I38="Yes"),OR($E38="Moderate",$E38="Minor"),FALSE()),TRUE()),IF(IFERROR(AND($J38="No",$AI38="Yes",OR($AD38="Blocker",AND($A38="2.7",p_confidential="Yes"))),FALSE()),NOT(AND(IFERROR($X38&lt;&gt;"",FALSE()),IFERROR($Y38&lt;&gt;"",FALSE()),IFERROR(AND(ISNUMBER($Z38),$Z38&gt;=DATE(2020,1,1),$Z38&lt;=DATE(2100,12,31)),FALSE()))),FALSE()),IF(IFERROR(IF(OR($E38="Blocker",$E38="Major",$E38="Moderate",$E38="Minor"),$F38&lt;IF($AD38="Blocker",Lookups!$B$8,IF($AD38="Major",Lookups!$B$9,IF($AD38="Moderate",Lookups!$B$10,Lookups!$B$11))),FALSE()),FALSE()),NOT(AND(IFERROR($T38&lt;&gt;"",FALSE()),IFERROR($Y38&lt;&gt;"",FALSE()),IF(IFERROR($Z38&lt;&gt;"",FALSE()),IFERROR(AND(ISNUMBER($Z38),$Z38&gt;=DATE(2020,1,1),$Z38&lt;=DATE(2100,12,31)),FALSE()),NOT(ISERROR($Z38))))),FALSE())),1,0)</f>
        <v>0</v>
      </c>
      <c r="AG38">
        <f t="shared" si="28"/>
        <v>0</v>
      </c>
      <c r="AH38" t="str">
        <f t="shared" si="29"/>
        <v/>
      </c>
      <c r="AI38" t="str">
        <f>IFERROR(IF(p_provider="External SaaS / API","No","Yes"),"Yes")</f>
        <v>Yes</v>
      </c>
      <c r="AJ38">
        <f t="shared" si="30"/>
        <v>0</v>
      </c>
      <c r="AK38">
        <f t="shared" si="31"/>
        <v>0</v>
      </c>
      <c r="AL38">
        <f t="shared" si="32"/>
        <v>0</v>
      </c>
      <c r="AM38">
        <f t="shared" si="33"/>
        <v>0</v>
      </c>
      <c r="AN38">
        <f t="shared" si="34"/>
        <v>0</v>
      </c>
      <c r="AO38">
        <f t="shared" si="35"/>
        <v>0</v>
      </c>
      <c r="AP38">
        <f t="shared" si="36"/>
        <v>0</v>
      </c>
      <c r="AQ38">
        <f t="shared" si="37"/>
        <v>0</v>
      </c>
      <c r="AR38">
        <f t="shared" si="38"/>
        <v>0</v>
      </c>
      <c r="AS38">
        <f t="shared" si="39"/>
        <v>0</v>
      </c>
      <c r="AT38">
        <f t="shared" si="40"/>
        <v>0</v>
      </c>
      <c r="AU38" t="str">
        <f>_xlfn.TEXTJOIN(", ",TRUE(),IF(ISERROR($E38),"E38",""),IF(ISERROR($G38),"G38",""),IF(ISERROR($H38),"H38",""),IF(ISERROR($J38),"J38",""),IF(ISERROR($K38),"K38",""),IF(ISERROR($O38),"O38",""),IF(ISERROR($P38),"P38",""),IF(ISERROR($Q38),"Q38",""),IF(ISERROR($R38),"R38",""),IF(ISERROR($S38),"S38",""),IF(ISERROR($T38),"T38",""),IF(ISERROR($X38),"X38",""),IF(ISERROR($Y38),"Y38",""),IF(ISERROR($Z38),"Z38",""))</f>
        <v/>
      </c>
      <c r="AV38" t="str">
        <f>_xlfn.TEXTJOIN("; ",TRUE(),IF(IFERROR(NOT(OR($J38="",$J38="Yes",$J38="No")),TRUE()),"Invalid override value (J)",""),IF(IFERROR(IF($E38="",$I38="Yes",NOT(OR($E38="Blocker",$E38="Major",$E38="Moderate",$E38="Minor"))),TRUE()),"Invalid or missing criticality (E)",""),IF(IFERROR(IF($J38&lt;&gt;"",$T38="",FALSE()),TRUE()),"Override rationale missing / invalid (T)",""),IF(IFERROR(IF(AND($A38="2.7",$I38="Yes",p_confidential="Yes"),$E38&lt;&gt;"Blocker",FALSE()),TRUE()),"2.7 must be Blocker when S4 = Yes",""),IF(IFERROR(IF(AND($A38="5.8",$I38="Yes"),OR($E38="Moderate",$E38="Minor"),FALSE()),TRUE()),"5.8 should be at least Major",""),IF(IF(IFERROR(AND($J38="No",$AI38="Yes",OR($AD38="Blocker",AND($A38="2.7",p_confidential="Yes"))),FALSE()),NOT(AND(IFERROR($X38&lt;&gt;"",FALSE()),IFERROR($Y38&lt;&gt;"",FALSE()),IFERROR(AND(ISNUMBER($Z38),$Z38&gt;=DATE(2020,1,1),$Z38&lt;=DATE(2100,12,31)),FALSE()))),FALSE()),"Blocker de-scope review missing / invalid (X-Z)",""),IF(IF(IFERROR(IF(OR($E38="Blocker",$E38="Major",$E38="Moderate",$E38="Minor"),$F38&lt;IF($AD38="Blocker",Lookups!$B$8,IF($AD38="Major",Lookups!$B$9,IF($AD38="Moderate",Lookups!$B$10,Lookups!$B$11))),FALSE()),FALSE()),NOT(AND(IFERROR($T38&lt;&gt;"",FALSE()),IFERROR($Y38&lt;&gt;"",FALSE()),IF(IFERROR($Z38&lt;&gt;"",FALSE()),IFERROR(AND(ISNUMBER($Z38),$Z38&gt;=DATE(2020,1,1),$Z38&lt;=DATE(2100,12,31)),FALSE()),NOT(ISERROR($Z38))))),FALSE()),"Criticality below baseline: review missing / invalid (T,Y,Z)",""))</f>
        <v/>
      </c>
      <c r="AW38" t="str">
        <f t="shared" si="41"/>
        <v/>
      </c>
    </row>
    <row r="39" spans="1:49" ht="45" customHeight="1" x14ac:dyDescent="0.3">
      <c r="A39" s="22" t="s">
        <v>332</v>
      </c>
      <c r="B39" s="23" t="s">
        <v>311</v>
      </c>
      <c r="C39" s="24" t="s">
        <v>333</v>
      </c>
      <c r="D39" s="24" t="s">
        <v>334</v>
      </c>
      <c r="E39" s="25" t="s">
        <v>191</v>
      </c>
      <c r="F39" s="26">
        <f>IFERROR(IF($E39="Blocker",Lookups!$B$8,IF($E39="Major",Lookups!$B$9,IF($E39="Moderate",Lookups!$B$10,IF($E39="Minor",Lookups!$B$11,0)))),0)</f>
        <v>5</v>
      </c>
      <c r="G39" s="16">
        <v>3</v>
      </c>
      <c r="H39" s="16">
        <v>5</v>
      </c>
      <c r="I39" s="27" t="str">
        <f>IFERROR(IF(OR($J39="Yes",$J39="No"),$J39,IF(p_provider="External SaaS / API","No","Yes")),"Yes")</f>
        <v>Yes</v>
      </c>
      <c r="J39" s="25"/>
      <c r="K39" s="25"/>
      <c r="L39" s="27" t="str">
        <f t="shared" si="21"/>
        <v/>
      </c>
      <c r="M39" s="27">
        <f t="shared" si="22"/>
        <v>75</v>
      </c>
      <c r="N39" s="27" t="str">
        <f t="shared" si="23"/>
        <v/>
      </c>
      <c r="O39" s="25"/>
      <c r="P39" s="25"/>
      <c r="Q39" s="25"/>
      <c r="R39" s="28"/>
      <c r="S39" s="25"/>
      <c r="T39" s="25"/>
      <c r="U39" s="29" t="str">
        <f t="shared" si="24"/>
        <v/>
      </c>
      <c r="V39" s="24" t="s">
        <v>335</v>
      </c>
      <c r="W39" s="24" t="s">
        <v>336</v>
      </c>
      <c r="X39" s="13"/>
      <c r="Y39" s="13"/>
      <c r="Z39" s="14"/>
      <c r="AA39" t="str">
        <f t="shared" si="25"/>
        <v/>
      </c>
      <c r="AB39" t="str">
        <f t="shared" si="26"/>
        <v/>
      </c>
      <c r="AC39" t="str">
        <f t="shared" si="27"/>
        <v/>
      </c>
      <c r="AD39" t="s">
        <v>191</v>
      </c>
      <c r="AF39">
        <f>IF(OR(IFERROR(NOT(OR($J39="",$J39="Yes",$J39="No")),TRUE()),IFERROR(IF($E39="",$I39="Yes",NOT(OR($E39="Blocker",$E39="Major",$E39="Moderate",$E39="Minor"))),TRUE()),IFERROR(IF($J39&lt;&gt;"",$T39="",FALSE()),TRUE()),IFERROR(IF(AND($A39="2.7",$I39="Yes",p_confidential="Yes"),$E39&lt;&gt;"Blocker",FALSE()),TRUE()),IFERROR(IF(AND($A39="5.8",$I39="Yes"),OR($E39="Moderate",$E39="Minor"),FALSE()),TRUE()),IF(IFERROR(AND($J39="No",$AI39="Yes",OR($AD39="Blocker",AND($A39="2.7",p_confidential="Yes"))),FALSE()),NOT(AND(IFERROR($X39&lt;&gt;"",FALSE()),IFERROR($Y39&lt;&gt;"",FALSE()),IFERROR(AND(ISNUMBER($Z39),$Z39&gt;=DATE(2020,1,1),$Z39&lt;=DATE(2100,12,31)),FALSE()))),FALSE()),IF(IFERROR(IF(OR($E39="Blocker",$E39="Major",$E39="Moderate",$E39="Minor"),$F39&lt;IF($AD39="Blocker",Lookups!$B$8,IF($AD39="Major",Lookups!$B$9,IF($AD39="Moderate",Lookups!$B$10,Lookups!$B$11))),FALSE()),FALSE()),NOT(AND(IFERROR($T39&lt;&gt;"",FALSE()),IFERROR($Y39&lt;&gt;"",FALSE()),IF(IFERROR($Z39&lt;&gt;"",FALSE()),IFERROR(AND(ISNUMBER($Z39),$Z39&gt;=DATE(2020,1,1),$Z39&lt;=DATE(2100,12,31)),FALSE()),NOT(ISERROR($Z39))))),FALSE())),1,0)</f>
        <v>0</v>
      </c>
      <c r="AG39">
        <f t="shared" si="28"/>
        <v>0</v>
      </c>
      <c r="AH39" t="str">
        <f t="shared" si="29"/>
        <v/>
      </c>
      <c r="AI39" t="str">
        <f>IFERROR(IF(p_provider="External SaaS / API","No","Yes"),"Yes")</f>
        <v>Yes</v>
      </c>
      <c r="AJ39">
        <f t="shared" si="30"/>
        <v>0</v>
      </c>
      <c r="AK39">
        <f t="shared" si="31"/>
        <v>0</v>
      </c>
      <c r="AL39">
        <f t="shared" si="32"/>
        <v>0</v>
      </c>
      <c r="AM39">
        <f t="shared" si="33"/>
        <v>0</v>
      </c>
      <c r="AN39">
        <f t="shared" si="34"/>
        <v>0</v>
      </c>
      <c r="AO39">
        <f t="shared" si="35"/>
        <v>0</v>
      </c>
      <c r="AP39">
        <f t="shared" si="36"/>
        <v>0</v>
      </c>
      <c r="AQ39">
        <f t="shared" si="37"/>
        <v>0</v>
      </c>
      <c r="AR39">
        <f t="shared" si="38"/>
        <v>0</v>
      </c>
      <c r="AS39">
        <f t="shared" si="39"/>
        <v>0</v>
      </c>
      <c r="AT39">
        <f t="shared" si="40"/>
        <v>0</v>
      </c>
      <c r="AU39" t="str">
        <f>_xlfn.TEXTJOIN(", ",TRUE(),IF(ISERROR($E39),"E39",""),IF(ISERROR($G39),"G39",""),IF(ISERROR($H39),"H39",""),IF(ISERROR($J39),"J39",""),IF(ISERROR($K39),"K39",""),IF(ISERROR($O39),"O39",""),IF(ISERROR($P39),"P39",""),IF(ISERROR($Q39),"Q39",""),IF(ISERROR($R39),"R39",""),IF(ISERROR($S39),"S39",""),IF(ISERROR($T39),"T39",""),IF(ISERROR($X39),"X39",""),IF(ISERROR($Y39),"Y39",""),IF(ISERROR($Z39),"Z39",""))</f>
        <v/>
      </c>
      <c r="AV39" t="str">
        <f>_xlfn.TEXTJOIN("; ",TRUE(),IF(IFERROR(NOT(OR($J39="",$J39="Yes",$J39="No")),TRUE()),"Invalid override value (J)",""),IF(IFERROR(IF($E39="",$I39="Yes",NOT(OR($E39="Blocker",$E39="Major",$E39="Moderate",$E39="Minor"))),TRUE()),"Invalid or missing criticality (E)",""),IF(IFERROR(IF($J39&lt;&gt;"",$T39="",FALSE()),TRUE()),"Override rationale missing / invalid (T)",""),IF(IFERROR(IF(AND($A39="2.7",$I39="Yes",p_confidential="Yes"),$E39&lt;&gt;"Blocker",FALSE()),TRUE()),"2.7 must be Blocker when S4 = Yes",""),IF(IFERROR(IF(AND($A39="5.8",$I39="Yes"),OR($E39="Moderate",$E39="Minor"),FALSE()),TRUE()),"5.8 should be at least Major",""),IF(IF(IFERROR(AND($J39="No",$AI39="Yes",OR($AD39="Blocker",AND($A39="2.7",p_confidential="Yes"))),FALSE()),NOT(AND(IFERROR($X39&lt;&gt;"",FALSE()),IFERROR($Y39&lt;&gt;"",FALSE()),IFERROR(AND(ISNUMBER($Z39),$Z39&gt;=DATE(2020,1,1),$Z39&lt;=DATE(2100,12,31)),FALSE()))),FALSE()),"Blocker de-scope review missing / invalid (X-Z)",""),IF(IF(IFERROR(IF(OR($E39="Blocker",$E39="Major",$E39="Moderate",$E39="Minor"),$F39&lt;IF($AD39="Blocker",Lookups!$B$8,IF($AD39="Major",Lookups!$B$9,IF($AD39="Moderate",Lookups!$B$10,Lookups!$B$11))),FALSE()),FALSE()),NOT(AND(IFERROR($T39&lt;&gt;"",FALSE()),IFERROR($Y39&lt;&gt;"",FALSE()),IF(IFERROR($Z39&lt;&gt;"",FALSE()),IFERROR(AND(ISNUMBER($Z39),$Z39&gt;=DATE(2020,1,1),$Z39&lt;=DATE(2100,12,31)),FALSE()),NOT(ISERROR($Z39))))),FALSE()),"Criticality below baseline: review missing / invalid (T,Y,Z)",""))</f>
        <v/>
      </c>
      <c r="AW39" t="str">
        <f t="shared" si="41"/>
        <v/>
      </c>
    </row>
    <row r="40" spans="1:49" ht="45" customHeight="1" x14ac:dyDescent="0.3">
      <c r="A40" s="22" t="s">
        <v>337</v>
      </c>
      <c r="B40" s="23" t="s">
        <v>311</v>
      </c>
      <c r="C40" s="24" t="s">
        <v>333</v>
      </c>
      <c r="D40" s="24" t="s">
        <v>338</v>
      </c>
      <c r="E40" s="25" t="s">
        <v>187</v>
      </c>
      <c r="F40" s="26">
        <f>IFERROR(IF($E40="Blocker",Lookups!$B$8,IF($E40="Major",Lookups!$B$9,IF($E40="Moderate",Lookups!$B$10,IF($E40="Minor",Lookups!$B$11,0)))),0)</f>
        <v>4</v>
      </c>
      <c r="G40" s="16">
        <v>3</v>
      </c>
      <c r="H40" s="16">
        <v>4</v>
      </c>
      <c r="I40" s="27" t="str">
        <f>IFERROR(IF(OR($J40="Yes",$J40="No"),$J40,IF(p_provider="External SaaS / API","No","Yes")),"Yes")</f>
        <v>Yes</v>
      </c>
      <c r="J40" s="25"/>
      <c r="K40" s="25"/>
      <c r="L40" s="27" t="str">
        <f t="shared" si="21"/>
        <v/>
      </c>
      <c r="M40" s="27">
        <f t="shared" si="22"/>
        <v>48</v>
      </c>
      <c r="N40" s="27" t="str">
        <f t="shared" si="23"/>
        <v/>
      </c>
      <c r="O40" s="25"/>
      <c r="P40" s="25"/>
      <c r="Q40" s="25"/>
      <c r="R40" s="28"/>
      <c r="S40" s="25"/>
      <c r="T40" s="25"/>
      <c r="U40" s="29" t="str">
        <f t="shared" si="24"/>
        <v/>
      </c>
      <c r="V40" s="24" t="s">
        <v>339</v>
      </c>
      <c r="W40" s="24" t="s">
        <v>340</v>
      </c>
      <c r="X40" s="13"/>
      <c r="Y40" s="13"/>
      <c r="Z40" s="14"/>
      <c r="AA40" t="str">
        <f t="shared" si="25"/>
        <v/>
      </c>
      <c r="AB40" t="str">
        <f t="shared" si="26"/>
        <v/>
      </c>
      <c r="AC40" t="str">
        <f t="shared" si="27"/>
        <v/>
      </c>
      <c r="AD40" t="s">
        <v>187</v>
      </c>
      <c r="AF40">
        <f>IF(OR(IFERROR(NOT(OR($J40="",$J40="Yes",$J40="No")),TRUE()),IFERROR(IF($E40="",$I40="Yes",NOT(OR($E40="Blocker",$E40="Major",$E40="Moderate",$E40="Minor"))),TRUE()),IFERROR(IF($J40&lt;&gt;"",$T40="",FALSE()),TRUE()),IFERROR(IF(AND($A40="2.7",$I40="Yes",p_confidential="Yes"),$E40&lt;&gt;"Blocker",FALSE()),TRUE()),IFERROR(IF(AND($A40="5.8",$I40="Yes"),OR($E40="Moderate",$E40="Minor"),FALSE()),TRUE()),IF(IFERROR(AND($J40="No",$AI40="Yes",OR($AD40="Blocker",AND($A40="2.7",p_confidential="Yes"))),FALSE()),NOT(AND(IFERROR($X40&lt;&gt;"",FALSE()),IFERROR($Y40&lt;&gt;"",FALSE()),IFERROR(AND(ISNUMBER($Z40),$Z40&gt;=DATE(2020,1,1),$Z40&lt;=DATE(2100,12,31)),FALSE()))),FALSE()),IF(IFERROR(IF(OR($E40="Blocker",$E40="Major",$E40="Moderate",$E40="Minor"),$F40&lt;IF($AD40="Blocker",Lookups!$B$8,IF($AD40="Major",Lookups!$B$9,IF($AD40="Moderate",Lookups!$B$10,Lookups!$B$11))),FALSE()),FALSE()),NOT(AND(IFERROR($T40&lt;&gt;"",FALSE()),IFERROR($Y40&lt;&gt;"",FALSE()),IF(IFERROR($Z40&lt;&gt;"",FALSE()),IFERROR(AND(ISNUMBER($Z40),$Z40&gt;=DATE(2020,1,1),$Z40&lt;=DATE(2100,12,31)),FALSE()),NOT(ISERROR($Z40))))),FALSE())),1,0)</f>
        <v>0</v>
      </c>
      <c r="AG40">
        <f t="shared" si="28"/>
        <v>0</v>
      </c>
      <c r="AH40" t="str">
        <f t="shared" si="29"/>
        <v/>
      </c>
      <c r="AI40" t="str">
        <f>IFERROR(IF(p_provider="External SaaS / API","No","Yes"),"Yes")</f>
        <v>Yes</v>
      </c>
      <c r="AJ40">
        <f t="shared" si="30"/>
        <v>0</v>
      </c>
      <c r="AK40">
        <f t="shared" si="31"/>
        <v>0</v>
      </c>
      <c r="AL40">
        <f t="shared" si="32"/>
        <v>0</v>
      </c>
      <c r="AM40">
        <f t="shared" si="33"/>
        <v>0</v>
      </c>
      <c r="AN40">
        <f t="shared" si="34"/>
        <v>0</v>
      </c>
      <c r="AO40">
        <f t="shared" si="35"/>
        <v>0</v>
      </c>
      <c r="AP40">
        <f t="shared" si="36"/>
        <v>0</v>
      </c>
      <c r="AQ40">
        <f t="shared" si="37"/>
        <v>0</v>
      </c>
      <c r="AR40">
        <f t="shared" si="38"/>
        <v>0</v>
      </c>
      <c r="AS40">
        <f t="shared" si="39"/>
        <v>0</v>
      </c>
      <c r="AT40">
        <f t="shared" si="40"/>
        <v>0</v>
      </c>
      <c r="AU40" t="str">
        <f>_xlfn.TEXTJOIN(", ",TRUE(),IF(ISERROR($E40),"E40",""),IF(ISERROR($G40),"G40",""),IF(ISERROR($H40),"H40",""),IF(ISERROR($J40),"J40",""),IF(ISERROR($K40),"K40",""),IF(ISERROR($O40),"O40",""),IF(ISERROR($P40),"P40",""),IF(ISERROR($Q40),"Q40",""),IF(ISERROR($R40),"R40",""),IF(ISERROR($S40),"S40",""),IF(ISERROR($T40),"T40",""),IF(ISERROR($X40),"X40",""),IF(ISERROR($Y40),"Y40",""),IF(ISERROR($Z40),"Z40",""))</f>
        <v/>
      </c>
      <c r="AV40" t="str">
        <f>_xlfn.TEXTJOIN("; ",TRUE(),IF(IFERROR(NOT(OR($J40="",$J40="Yes",$J40="No")),TRUE()),"Invalid override value (J)",""),IF(IFERROR(IF($E40="",$I40="Yes",NOT(OR($E40="Blocker",$E40="Major",$E40="Moderate",$E40="Minor"))),TRUE()),"Invalid or missing criticality (E)",""),IF(IFERROR(IF($J40&lt;&gt;"",$T40="",FALSE()),TRUE()),"Override rationale missing / invalid (T)",""),IF(IFERROR(IF(AND($A40="2.7",$I40="Yes",p_confidential="Yes"),$E40&lt;&gt;"Blocker",FALSE()),TRUE()),"2.7 must be Blocker when S4 = Yes",""),IF(IFERROR(IF(AND($A40="5.8",$I40="Yes"),OR($E40="Moderate",$E40="Minor"),FALSE()),TRUE()),"5.8 should be at least Major",""),IF(IF(IFERROR(AND($J40="No",$AI40="Yes",OR($AD40="Blocker",AND($A40="2.7",p_confidential="Yes"))),FALSE()),NOT(AND(IFERROR($X40&lt;&gt;"",FALSE()),IFERROR($Y40&lt;&gt;"",FALSE()),IFERROR(AND(ISNUMBER($Z40),$Z40&gt;=DATE(2020,1,1),$Z40&lt;=DATE(2100,12,31)),FALSE()))),FALSE()),"Blocker de-scope review missing / invalid (X-Z)",""),IF(IF(IFERROR(IF(OR($E40="Blocker",$E40="Major",$E40="Moderate",$E40="Minor"),$F40&lt;IF($AD40="Blocker",Lookups!$B$8,IF($AD40="Major",Lookups!$B$9,IF($AD40="Moderate",Lookups!$B$10,Lookups!$B$11))),FALSE()),FALSE()),NOT(AND(IFERROR($T40&lt;&gt;"",FALSE()),IFERROR($Y40&lt;&gt;"",FALSE()),IF(IFERROR($Z40&lt;&gt;"",FALSE()),IFERROR(AND(ISNUMBER($Z40),$Z40&gt;=DATE(2020,1,1),$Z40&lt;=DATE(2100,12,31)),FALSE()),NOT(ISERROR($Z40))))),FALSE()),"Criticality below baseline: review missing / invalid (T,Y,Z)",""))</f>
        <v/>
      </c>
      <c r="AW40" t="str">
        <f t="shared" si="41"/>
        <v/>
      </c>
    </row>
    <row r="41" spans="1:49" ht="30" customHeight="1" x14ac:dyDescent="0.3">
      <c r="A41" s="22" t="s">
        <v>341</v>
      </c>
      <c r="B41" s="23" t="s">
        <v>342</v>
      </c>
      <c r="C41" s="24" t="s">
        <v>343</v>
      </c>
      <c r="D41" s="24" t="s">
        <v>344</v>
      </c>
      <c r="E41" s="25" t="s">
        <v>187</v>
      </c>
      <c r="F41" s="26">
        <f>IFERROR(IF($E41="Blocker",Lookups!$B$8,IF($E41="Major",Lookups!$B$9,IF($E41="Moderate",Lookups!$B$10,IF($E41="Minor",Lookups!$B$11,0)))),0)</f>
        <v>4</v>
      </c>
      <c r="G41" s="16">
        <v>4</v>
      </c>
      <c r="H41" s="16">
        <v>4</v>
      </c>
      <c r="I41" s="27" t="str">
        <f>IFERROR(IF(OR($J41="Yes",$J41="No"),$J41,IF(AND(p_stage="Pilot / PoC",p_personal="No",p_confidential="No"),"No","Yes")),"Yes")</f>
        <v>Yes</v>
      </c>
      <c r="J41" s="25"/>
      <c r="K41" s="25"/>
      <c r="L41" s="27" t="str">
        <f t="shared" si="21"/>
        <v/>
      </c>
      <c r="M41" s="27">
        <f t="shared" si="22"/>
        <v>64</v>
      </c>
      <c r="N41" s="27" t="str">
        <f t="shared" si="23"/>
        <v/>
      </c>
      <c r="O41" s="25"/>
      <c r="P41" s="25"/>
      <c r="Q41" s="25"/>
      <c r="R41" s="28"/>
      <c r="S41" s="25"/>
      <c r="T41" s="25"/>
      <c r="U41" s="29" t="str">
        <f t="shared" si="24"/>
        <v/>
      </c>
      <c r="V41" s="24"/>
      <c r="W41" s="24" t="s">
        <v>345</v>
      </c>
      <c r="X41" s="13"/>
      <c r="Y41" s="13"/>
      <c r="Z41" s="14"/>
      <c r="AA41" t="str">
        <f t="shared" si="25"/>
        <v/>
      </c>
      <c r="AB41" t="str">
        <f t="shared" si="26"/>
        <v/>
      </c>
      <c r="AC41" t="str">
        <f t="shared" si="27"/>
        <v/>
      </c>
      <c r="AD41" t="s">
        <v>187</v>
      </c>
      <c r="AF41">
        <f>IF(OR(IFERROR(NOT(OR($J41="",$J41="Yes",$J41="No")),TRUE()),IFERROR(IF($E41="",$I41="Yes",NOT(OR($E41="Blocker",$E41="Major",$E41="Moderate",$E41="Minor"))),TRUE()),IFERROR(IF($J41&lt;&gt;"",$T41="",FALSE()),TRUE()),IFERROR(IF(AND($A41="2.7",$I41="Yes",p_confidential="Yes"),$E41&lt;&gt;"Blocker",FALSE()),TRUE()),IFERROR(IF(AND($A41="5.8",$I41="Yes"),OR($E41="Moderate",$E41="Minor"),FALSE()),TRUE()),IF(IFERROR(AND($J41="No",$AI41="Yes",OR($AD41="Blocker",AND($A41="2.7",p_confidential="Yes"))),FALSE()),NOT(AND(IFERROR($X41&lt;&gt;"",FALSE()),IFERROR($Y41&lt;&gt;"",FALSE()),IFERROR(AND(ISNUMBER($Z41),$Z41&gt;=DATE(2020,1,1),$Z41&lt;=DATE(2100,12,31)),FALSE()))),FALSE()),IF(IFERROR(IF(OR($E41="Blocker",$E41="Major",$E41="Moderate",$E41="Minor"),$F41&lt;IF($AD41="Blocker",Lookups!$B$8,IF($AD41="Major",Lookups!$B$9,IF($AD41="Moderate",Lookups!$B$10,Lookups!$B$11))),FALSE()),FALSE()),NOT(AND(IFERROR($T41&lt;&gt;"",FALSE()),IFERROR($Y41&lt;&gt;"",FALSE()),IF(IFERROR($Z41&lt;&gt;"",FALSE()),IFERROR(AND(ISNUMBER($Z41),$Z41&gt;=DATE(2020,1,1),$Z41&lt;=DATE(2100,12,31)),FALSE()),NOT(ISERROR($Z41))))),FALSE())),1,0)</f>
        <v>0</v>
      </c>
      <c r="AG41">
        <f t="shared" si="28"/>
        <v>0</v>
      </c>
      <c r="AH41" t="str">
        <f t="shared" si="29"/>
        <v/>
      </c>
      <c r="AI41" t="str">
        <f>IFERROR(IF(AND(p_stage="Pilot / PoC",p_personal="No",p_confidential="No"),"No","Yes"),"Yes")</f>
        <v>Yes</v>
      </c>
      <c r="AJ41">
        <f t="shared" si="30"/>
        <v>0</v>
      </c>
      <c r="AK41">
        <f t="shared" si="31"/>
        <v>0</v>
      </c>
      <c r="AL41">
        <f t="shared" si="32"/>
        <v>0</v>
      </c>
      <c r="AM41">
        <f t="shared" si="33"/>
        <v>0</v>
      </c>
      <c r="AN41">
        <f t="shared" si="34"/>
        <v>0</v>
      </c>
      <c r="AO41">
        <f t="shared" si="35"/>
        <v>0</v>
      </c>
      <c r="AP41">
        <f t="shared" si="36"/>
        <v>0</v>
      </c>
      <c r="AQ41">
        <f t="shared" si="37"/>
        <v>0</v>
      </c>
      <c r="AR41">
        <f t="shared" si="38"/>
        <v>0</v>
      </c>
      <c r="AS41">
        <f t="shared" si="39"/>
        <v>0</v>
      </c>
      <c r="AT41">
        <f t="shared" si="40"/>
        <v>0</v>
      </c>
      <c r="AU41" t="str">
        <f>_xlfn.TEXTJOIN(", ",TRUE(),IF(ISERROR($E41),"E41",""),IF(ISERROR($G41),"G41",""),IF(ISERROR($H41),"H41",""),IF(ISERROR($J41),"J41",""),IF(ISERROR($K41),"K41",""),IF(ISERROR($O41),"O41",""),IF(ISERROR($P41),"P41",""),IF(ISERROR($Q41),"Q41",""),IF(ISERROR($R41),"R41",""),IF(ISERROR($S41),"S41",""),IF(ISERROR($T41),"T41",""),IF(ISERROR($X41),"X41",""),IF(ISERROR($Y41),"Y41",""),IF(ISERROR($Z41),"Z41",""))</f>
        <v/>
      </c>
      <c r="AV41" t="str">
        <f>_xlfn.TEXTJOIN("; ",TRUE(),IF(IFERROR(NOT(OR($J41="",$J41="Yes",$J41="No")),TRUE()),"Invalid override value (J)",""),IF(IFERROR(IF($E41="",$I41="Yes",NOT(OR($E41="Blocker",$E41="Major",$E41="Moderate",$E41="Minor"))),TRUE()),"Invalid or missing criticality (E)",""),IF(IFERROR(IF($J41&lt;&gt;"",$T41="",FALSE()),TRUE()),"Override rationale missing / invalid (T)",""),IF(IFERROR(IF(AND($A41="2.7",$I41="Yes",p_confidential="Yes"),$E41&lt;&gt;"Blocker",FALSE()),TRUE()),"2.7 must be Blocker when S4 = Yes",""),IF(IFERROR(IF(AND($A41="5.8",$I41="Yes"),OR($E41="Moderate",$E41="Minor"),FALSE()),TRUE()),"5.8 should be at least Major",""),IF(IF(IFERROR(AND($J41="No",$AI41="Yes",OR($AD41="Blocker",AND($A41="2.7",p_confidential="Yes"))),FALSE()),NOT(AND(IFERROR($X41&lt;&gt;"",FALSE()),IFERROR($Y41&lt;&gt;"",FALSE()),IFERROR(AND(ISNUMBER($Z41),$Z41&gt;=DATE(2020,1,1),$Z41&lt;=DATE(2100,12,31)),FALSE()))),FALSE()),"Blocker de-scope review missing / invalid (X-Z)",""),IF(IF(IFERROR(IF(OR($E41="Blocker",$E41="Major",$E41="Moderate",$E41="Minor"),$F41&lt;IF($AD41="Blocker",Lookups!$B$8,IF($AD41="Major",Lookups!$B$9,IF($AD41="Moderate",Lookups!$B$10,Lookups!$B$11))),FALSE()),FALSE()),NOT(AND(IFERROR($T41&lt;&gt;"",FALSE()),IFERROR($Y41&lt;&gt;"",FALSE()),IF(IFERROR($Z41&lt;&gt;"",FALSE()),IFERROR(AND(ISNUMBER($Z41),$Z41&gt;=DATE(2020,1,1),$Z41&lt;=DATE(2100,12,31)),FALSE()),NOT(ISERROR($Z41))))),FALSE()),"Criticality below baseline: review missing / invalid (T,Y,Z)",""))</f>
        <v/>
      </c>
      <c r="AW41" t="str">
        <f t="shared" si="41"/>
        <v/>
      </c>
    </row>
    <row r="42" spans="1:49" ht="30" customHeight="1" x14ac:dyDescent="0.3">
      <c r="A42" s="22" t="s">
        <v>346</v>
      </c>
      <c r="B42" s="23" t="s">
        <v>342</v>
      </c>
      <c r="C42" s="24" t="s">
        <v>185</v>
      </c>
      <c r="D42" s="24" t="s">
        <v>347</v>
      </c>
      <c r="E42" s="25" t="s">
        <v>187</v>
      </c>
      <c r="F42" s="26">
        <f>IFERROR(IF($E42="Blocker",Lookups!$B$8,IF($E42="Major",Lookups!$B$9,IF($E42="Moderate",Lookups!$B$10,IF($E42="Minor",Lookups!$B$11,0)))),0)</f>
        <v>4</v>
      </c>
      <c r="G42" s="16">
        <v>4</v>
      </c>
      <c r="H42" s="16">
        <v>4</v>
      </c>
      <c r="I42" s="27" t="str">
        <f>IFERROR(IF(OR($J42="Yes",$J42="No"),$J42,"Yes"),"Yes")</f>
        <v>Yes</v>
      </c>
      <c r="J42" s="25"/>
      <c r="K42" s="25"/>
      <c r="L42" s="27" t="str">
        <f t="shared" si="21"/>
        <v/>
      </c>
      <c r="M42" s="27">
        <f t="shared" si="22"/>
        <v>64</v>
      </c>
      <c r="N42" s="27" t="str">
        <f t="shared" si="23"/>
        <v/>
      </c>
      <c r="O42" s="25"/>
      <c r="P42" s="25"/>
      <c r="Q42" s="25"/>
      <c r="R42" s="28"/>
      <c r="S42" s="25"/>
      <c r="T42" s="25"/>
      <c r="U42" s="29" t="str">
        <f t="shared" si="24"/>
        <v/>
      </c>
      <c r="V42" s="24"/>
      <c r="W42" s="24" t="s">
        <v>348</v>
      </c>
      <c r="X42" s="13"/>
      <c r="Y42" s="13"/>
      <c r="Z42" s="14"/>
      <c r="AA42" t="str">
        <f t="shared" si="25"/>
        <v/>
      </c>
      <c r="AB42" t="str">
        <f t="shared" si="26"/>
        <v/>
      </c>
      <c r="AC42" t="str">
        <f t="shared" si="27"/>
        <v/>
      </c>
      <c r="AD42" t="s">
        <v>187</v>
      </c>
      <c r="AF42">
        <f>IF(OR(IFERROR(NOT(OR($J42="",$J42="Yes",$J42="No")),TRUE()),IFERROR(IF($E42="",$I42="Yes",NOT(OR($E42="Blocker",$E42="Major",$E42="Moderate",$E42="Minor"))),TRUE()),IFERROR(IF($J42&lt;&gt;"",$T42="",FALSE()),TRUE()),IFERROR(IF(AND($A42="2.7",$I42="Yes",p_confidential="Yes"),$E42&lt;&gt;"Blocker",FALSE()),TRUE()),IFERROR(IF(AND($A42="5.8",$I42="Yes"),OR($E42="Moderate",$E42="Minor"),FALSE()),TRUE()),IF(IFERROR(AND($J42="No",$AI42="Yes",OR($AD42="Blocker",AND($A42="2.7",p_confidential="Yes"))),FALSE()),NOT(AND(IFERROR($X42&lt;&gt;"",FALSE()),IFERROR($Y42&lt;&gt;"",FALSE()),IFERROR(AND(ISNUMBER($Z42),$Z42&gt;=DATE(2020,1,1),$Z42&lt;=DATE(2100,12,31)),FALSE()))),FALSE()),IF(IFERROR(IF(OR($E42="Blocker",$E42="Major",$E42="Moderate",$E42="Minor"),$F42&lt;IF($AD42="Blocker",Lookups!$B$8,IF($AD42="Major",Lookups!$B$9,IF($AD42="Moderate",Lookups!$B$10,Lookups!$B$11))),FALSE()),FALSE()),NOT(AND(IFERROR($T42&lt;&gt;"",FALSE()),IFERROR($Y42&lt;&gt;"",FALSE()),IF(IFERROR($Z42&lt;&gt;"",FALSE()),IFERROR(AND(ISNUMBER($Z42),$Z42&gt;=DATE(2020,1,1),$Z42&lt;=DATE(2100,12,31)),FALSE()),NOT(ISERROR($Z42))))),FALSE())),1,0)</f>
        <v>0</v>
      </c>
      <c r="AG42">
        <f t="shared" si="28"/>
        <v>0</v>
      </c>
      <c r="AH42" t="str">
        <f t="shared" si="29"/>
        <v/>
      </c>
      <c r="AI42" t="str">
        <f>IFERROR("Yes","Yes")</f>
        <v>Yes</v>
      </c>
      <c r="AJ42">
        <f t="shared" si="30"/>
        <v>0</v>
      </c>
      <c r="AK42">
        <f t="shared" si="31"/>
        <v>0</v>
      </c>
      <c r="AL42">
        <f t="shared" si="32"/>
        <v>0</v>
      </c>
      <c r="AM42">
        <f t="shared" si="33"/>
        <v>0</v>
      </c>
      <c r="AN42">
        <f t="shared" si="34"/>
        <v>0</v>
      </c>
      <c r="AO42">
        <f t="shared" si="35"/>
        <v>0</v>
      </c>
      <c r="AP42">
        <f t="shared" si="36"/>
        <v>0</v>
      </c>
      <c r="AQ42">
        <f t="shared" si="37"/>
        <v>0</v>
      </c>
      <c r="AR42">
        <f t="shared" si="38"/>
        <v>0</v>
      </c>
      <c r="AS42">
        <f t="shared" si="39"/>
        <v>0</v>
      </c>
      <c r="AT42">
        <f t="shared" si="40"/>
        <v>0</v>
      </c>
      <c r="AU42" t="str">
        <f>_xlfn.TEXTJOIN(", ",TRUE(),IF(ISERROR($E42),"E42",""),IF(ISERROR($G42),"G42",""),IF(ISERROR($H42),"H42",""),IF(ISERROR($J42),"J42",""),IF(ISERROR($K42),"K42",""),IF(ISERROR($O42),"O42",""),IF(ISERROR($P42),"P42",""),IF(ISERROR($Q42),"Q42",""),IF(ISERROR($R42),"R42",""),IF(ISERROR($S42),"S42",""),IF(ISERROR($T42),"T42",""),IF(ISERROR($X42),"X42",""),IF(ISERROR($Y42),"Y42",""),IF(ISERROR($Z42),"Z42",""))</f>
        <v/>
      </c>
      <c r="AV42" t="str">
        <f>_xlfn.TEXTJOIN("; ",TRUE(),IF(IFERROR(NOT(OR($J42="",$J42="Yes",$J42="No")),TRUE()),"Invalid override value (J)",""),IF(IFERROR(IF($E42="",$I42="Yes",NOT(OR($E42="Blocker",$E42="Major",$E42="Moderate",$E42="Minor"))),TRUE()),"Invalid or missing criticality (E)",""),IF(IFERROR(IF($J42&lt;&gt;"",$T42="",FALSE()),TRUE()),"Override rationale missing / invalid (T)",""),IF(IFERROR(IF(AND($A42="2.7",$I42="Yes",p_confidential="Yes"),$E42&lt;&gt;"Blocker",FALSE()),TRUE()),"2.7 must be Blocker when S4 = Yes",""),IF(IFERROR(IF(AND($A42="5.8",$I42="Yes"),OR($E42="Moderate",$E42="Minor"),FALSE()),TRUE()),"5.8 should be at least Major",""),IF(IF(IFERROR(AND($J42="No",$AI42="Yes",OR($AD42="Blocker",AND($A42="2.7",p_confidential="Yes"))),FALSE()),NOT(AND(IFERROR($X42&lt;&gt;"",FALSE()),IFERROR($Y42&lt;&gt;"",FALSE()),IFERROR(AND(ISNUMBER($Z42),$Z42&gt;=DATE(2020,1,1),$Z42&lt;=DATE(2100,12,31)),FALSE()))),FALSE()),"Blocker de-scope review missing / invalid (X-Z)",""),IF(IF(IFERROR(IF(OR($E42="Blocker",$E42="Major",$E42="Moderate",$E42="Minor"),$F42&lt;IF($AD42="Blocker",Lookups!$B$8,IF($AD42="Major",Lookups!$B$9,IF($AD42="Moderate",Lookups!$B$10,Lookups!$B$11))),FALSE()),FALSE()),NOT(AND(IFERROR($T42&lt;&gt;"",FALSE()),IFERROR($Y42&lt;&gt;"",FALSE()),IF(IFERROR($Z42&lt;&gt;"",FALSE()),IFERROR(AND(ISNUMBER($Z42),$Z42&gt;=DATE(2020,1,1),$Z42&lt;=DATE(2100,12,31)),FALSE()),NOT(ISERROR($Z42))))),FALSE()),"Criticality below baseline: review missing / invalid (T,Y,Z)",""))</f>
        <v/>
      </c>
      <c r="AW42" t="str">
        <f t="shared" si="41"/>
        <v/>
      </c>
    </row>
    <row r="43" spans="1:49" ht="30" customHeight="1" x14ac:dyDescent="0.3">
      <c r="A43" s="22" t="s">
        <v>349</v>
      </c>
      <c r="B43" s="23" t="s">
        <v>342</v>
      </c>
      <c r="C43" s="24" t="s">
        <v>283</v>
      </c>
      <c r="D43" s="24" t="s">
        <v>350</v>
      </c>
      <c r="E43" s="25" t="s">
        <v>187</v>
      </c>
      <c r="F43" s="26">
        <f>IFERROR(IF($E43="Blocker",Lookups!$B$8,IF($E43="Major",Lookups!$B$9,IF($E43="Moderate",Lookups!$B$10,IF($E43="Minor",Lookups!$B$11,0)))),0)</f>
        <v>4</v>
      </c>
      <c r="G43" s="16">
        <v>4</v>
      </c>
      <c r="H43" s="16">
        <v>4</v>
      </c>
      <c r="I43" s="27" t="str">
        <f>IFERROR(IF(OR($J43="Yes",$J43="No"),$J43,IF(p_users="Internal (limited group)","No","Yes")),"Yes")</f>
        <v>Yes</v>
      </c>
      <c r="J43" s="25"/>
      <c r="K43" s="25"/>
      <c r="L43" s="27" t="str">
        <f t="shared" si="21"/>
        <v/>
      </c>
      <c r="M43" s="27">
        <f t="shared" si="22"/>
        <v>64</v>
      </c>
      <c r="N43" s="27" t="str">
        <f t="shared" si="23"/>
        <v/>
      </c>
      <c r="O43" s="25"/>
      <c r="P43" s="25"/>
      <c r="Q43" s="25"/>
      <c r="R43" s="28"/>
      <c r="S43" s="25"/>
      <c r="T43" s="25"/>
      <c r="U43" s="29" t="str">
        <f t="shared" si="24"/>
        <v/>
      </c>
      <c r="V43" s="24"/>
      <c r="W43" s="24" t="s">
        <v>351</v>
      </c>
      <c r="X43" s="13"/>
      <c r="Y43" s="13"/>
      <c r="Z43" s="14"/>
      <c r="AA43" t="str">
        <f t="shared" si="25"/>
        <v/>
      </c>
      <c r="AB43" t="str">
        <f t="shared" si="26"/>
        <v/>
      </c>
      <c r="AC43" t="str">
        <f t="shared" si="27"/>
        <v/>
      </c>
      <c r="AD43" t="s">
        <v>187</v>
      </c>
      <c r="AF43">
        <f>IF(OR(IFERROR(NOT(OR($J43="",$J43="Yes",$J43="No")),TRUE()),IFERROR(IF($E43="",$I43="Yes",NOT(OR($E43="Blocker",$E43="Major",$E43="Moderate",$E43="Minor"))),TRUE()),IFERROR(IF($J43&lt;&gt;"",$T43="",FALSE()),TRUE()),IFERROR(IF(AND($A43="2.7",$I43="Yes",p_confidential="Yes"),$E43&lt;&gt;"Blocker",FALSE()),TRUE()),IFERROR(IF(AND($A43="5.8",$I43="Yes"),OR($E43="Moderate",$E43="Minor"),FALSE()),TRUE()),IF(IFERROR(AND($J43="No",$AI43="Yes",OR($AD43="Blocker",AND($A43="2.7",p_confidential="Yes"))),FALSE()),NOT(AND(IFERROR($X43&lt;&gt;"",FALSE()),IFERROR($Y43&lt;&gt;"",FALSE()),IFERROR(AND(ISNUMBER($Z43),$Z43&gt;=DATE(2020,1,1),$Z43&lt;=DATE(2100,12,31)),FALSE()))),FALSE()),IF(IFERROR(IF(OR($E43="Blocker",$E43="Major",$E43="Moderate",$E43="Minor"),$F43&lt;IF($AD43="Blocker",Lookups!$B$8,IF($AD43="Major",Lookups!$B$9,IF($AD43="Moderate",Lookups!$B$10,Lookups!$B$11))),FALSE()),FALSE()),NOT(AND(IFERROR($T43&lt;&gt;"",FALSE()),IFERROR($Y43&lt;&gt;"",FALSE()),IF(IFERROR($Z43&lt;&gt;"",FALSE()),IFERROR(AND(ISNUMBER($Z43),$Z43&gt;=DATE(2020,1,1),$Z43&lt;=DATE(2100,12,31)),FALSE()),NOT(ISERROR($Z43))))),FALSE())),1,0)</f>
        <v>0</v>
      </c>
      <c r="AG43">
        <f t="shared" si="28"/>
        <v>0</v>
      </c>
      <c r="AH43" t="str">
        <f t="shared" si="29"/>
        <v/>
      </c>
      <c r="AI43" t="str">
        <f>IFERROR(IF(p_users="Internal (limited group)","No","Yes"),"Yes")</f>
        <v>Yes</v>
      </c>
      <c r="AJ43">
        <f t="shared" si="30"/>
        <v>0</v>
      </c>
      <c r="AK43">
        <f t="shared" si="31"/>
        <v>0</v>
      </c>
      <c r="AL43">
        <f t="shared" si="32"/>
        <v>0</v>
      </c>
      <c r="AM43">
        <f t="shared" si="33"/>
        <v>0</v>
      </c>
      <c r="AN43">
        <f t="shared" si="34"/>
        <v>0</v>
      </c>
      <c r="AO43">
        <f t="shared" si="35"/>
        <v>0</v>
      </c>
      <c r="AP43">
        <f t="shared" si="36"/>
        <v>0</v>
      </c>
      <c r="AQ43">
        <f t="shared" si="37"/>
        <v>0</v>
      </c>
      <c r="AR43">
        <f t="shared" si="38"/>
        <v>0</v>
      </c>
      <c r="AS43">
        <f t="shared" si="39"/>
        <v>0</v>
      </c>
      <c r="AT43">
        <f t="shared" si="40"/>
        <v>0</v>
      </c>
      <c r="AU43" t="str">
        <f>_xlfn.TEXTJOIN(", ",TRUE(),IF(ISERROR($E43),"E43",""),IF(ISERROR($G43),"G43",""),IF(ISERROR($H43),"H43",""),IF(ISERROR($J43),"J43",""),IF(ISERROR($K43),"K43",""),IF(ISERROR($O43),"O43",""),IF(ISERROR($P43),"P43",""),IF(ISERROR($Q43),"Q43",""),IF(ISERROR($R43),"R43",""),IF(ISERROR($S43),"S43",""),IF(ISERROR($T43),"T43",""),IF(ISERROR($X43),"X43",""),IF(ISERROR($Y43),"Y43",""),IF(ISERROR($Z43),"Z43",""))</f>
        <v/>
      </c>
      <c r="AV43" t="str">
        <f>_xlfn.TEXTJOIN("; ",TRUE(),IF(IFERROR(NOT(OR($J43="",$J43="Yes",$J43="No")),TRUE()),"Invalid override value (J)",""),IF(IFERROR(IF($E43="",$I43="Yes",NOT(OR($E43="Blocker",$E43="Major",$E43="Moderate",$E43="Minor"))),TRUE()),"Invalid or missing criticality (E)",""),IF(IFERROR(IF($J43&lt;&gt;"",$T43="",FALSE()),TRUE()),"Override rationale missing / invalid (T)",""),IF(IFERROR(IF(AND($A43="2.7",$I43="Yes",p_confidential="Yes"),$E43&lt;&gt;"Blocker",FALSE()),TRUE()),"2.7 must be Blocker when S4 = Yes",""),IF(IFERROR(IF(AND($A43="5.8",$I43="Yes"),OR($E43="Moderate",$E43="Minor"),FALSE()),TRUE()),"5.8 should be at least Major",""),IF(IF(IFERROR(AND($J43="No",$AI43="Yes",OR($AD43="Blocker",AND($A43="2.7",p_confidential="Yes"))),FALSE()),NOT(AND(IFERROR($X43&lt;&gt;"",FALSE()),IFERROR($Y43&lt;&gt;"",FALSE()),IFERROR(AND(ISNUMBER($Z43),$Z43&gt;=DATE(2020,1,1),$Z43&lt;=DATE(2100,12,31)),FALSE()))),FALSE()),"Blocker de-scope review missing / invalid (X-Z)",""),IF(IF(IFERROR(IF(OR($E43="Blocker",$E43="Major",$E43="Moderate",$E43="Minor"),$F43&lt;IF($AD43="Blocker",Lookups!$B$8,IF($AD43="Major",Lookups!$B$9,IF($AD43="Moderate",Lookups!$B$10,Lookups!$B$11))),FALSE()),FALSE()),NOT(AND(IFERROR($T43&lt;&gt;"",FALSE()),IFERROR($Y43&lt;&gt;"",FALSE()),IF(IFERROR($Z43&lt;&gt;"",FALSE()),IFERROR(AND(ISNUMBER($Z43),$Z43&gt;=DATE(2020,1,1),$Z43&lt;=DATE(2100,12,31)),FALSE()),NOT(ISERROR($Z43))))),FALSE()),"Criticality below baseline: review missing / invalid (T,Y,Z)",""))</f>
        <v/>
      </c>
      <c r="AW43" t="str">
        <f t="shared" si="41"/>
        <v/>
      </c>
    </row>
    <row r="44" spans="1:49" ht="30" customHeight="1" x14ac:dyDescent="0.3">
      <c r="A44" s="22" t="s">
        <v>352</v>
      </c>
      <c r="B44" s="23" t="s">
        <v>342</v>
      </c>
      <c r="C44" s="24" t="s">
        <v>220</v>
      </c>
      <c r="D44" s="24" t="s">
        <v>353</v>
      </c>
      <c r="E44" s="25" t="s">
        <v>187</v>
      </c>
      <c r="F44" s="26">
        <f>IFERROR(IF($E44="Blocker",Lookups!$B$8,IF($E44="Major",Lookups!$B$9,IF($E44="Moderate",Lookups!$B$10,IF($E44="Minor",Lookups!$B$11,0)))),0)</f>
        <v>4</v>
      </c>
      <c r="G44" s="16">
        <v>3</v>
      </c>
      <c r="H44" s="16">
        <v>4</v>
      </c>
      <c r="I44" s="27" t="str">
        <f>IFERROR(IF(OR($J44="Yes",$J44="No"),$J44,IF(p_stage="Pilot / PoC","No","Yes")),"Yes")</f>
        <v>Yes</v>
      </c>
      <c r="J44" s="25"/>
      <c r="K44" s="25"/>
      <c r="L44" s="27" t="str">
        <f t="shared" si="21"/>
        <v/>
      </c>
      <c r="M44" s="27">
        <f t="shared" si="22"/>
        <v>48</v>
      </c>
      <c r="N44" s="27" t="str">
        <f t="shared" si="23"/>
        <v/>
      </c>
      <c r="O44" s="25"/>
      <c r="P44" s="25"/>
      <c r="Q44" s="25"/>
      <c r="R44" s="28"/>
      <c r="S44" s="25"/>
      <c r="T44" s="25"/>
      <c r="U44" s="29" t="str">
        <f t="shared" si="24"/>
        <v/>
      </c>
      <c r="V44" s="24" t="s">
        <v>354</v>
      </c>
      <c r="W44" s="24" t="s">
        <v>355</v>
      </c>
      <c r="X44" s="13"/>
      <c r="Y44" s="13"/>
      <c r="Z44" s="14"/>
      <c r="AA44" t="str">
        <f t="shared" si="25"/>
        <v/>
      </c>
      <c r="AB44" t="str">
        <f t="shared" si="26"/>
        <v/>
      </c>
      <c r="AC44" t="str">
        <f t="shared" si="27"/>
        <v/>
      </c>
      <c r="AD44" t="s">
        <v>187</v>
      </c>
      <c r="AF44">
        <f>IF(OR(IFERROR(NOT(OR($J44="",$J44="Yes",$J44="No")),TRUE()),IFERROR(IF($E44="",$I44="Yes",NOT(OR($E44="Blocker",$E44="Major",$E44="Moderate",$E44="Minor"))),TRUE()),IFERROR(IF($J44&lt;&gt;"",$T44="",FALSE()),TRUE()),IFERROR(IF(AND($A44="2.7",$I44="Yes",p_confidential="Yes"),$E44&lt;&gt;"Blocker",FALSE()),TRUE()),IFERROR(IF(AND($A44="5.8",$I44="Yes"),OR($E44="Moderate",$E44="Minor"),FALSE()),TRUE()),IF(IFERROR(AND($J44="No",$AI44="Yes",OR($AD44="Blocker",AND($A44="2.7",p_confidential="Yes"))),FALSE()),NOT(AND(IFERROR($X44&lt;&gt;"",FALSE()),IFERROR($Y44&lt;&gt;"",FALSE()),IFERROR(AND(ISNUMBER($Z44),$Z44&gt;=DATE(2020,1,1),$Z44&lt;=DATE(2100,12,31)),FALSE()))),FALSE()),IF(IFERROR(IF(OR($E44="Blocker",$E44="Major",$E44="Moderate",$E44="Minor"),$F44&lt;IF($AD44="Blocker",Lookups!$B$8,IF($AD44="Major",Lookups!$B$9,IF($AD44="Moderate",Lookups!$B$10,Lookups!$B$11))),FALSE()),FALSE()),NOT(AND(IFERROR($T44&lt;&gt;"",FALSE()),IFERROR($Y44&lt;&gt;"",FALSE()),IF(IFERROR($Z44&lt;&gt;"",FALSE()),IFERROR(AND(ISNUMBER($Z44),$Z44&gt;=DATE(2020,1,1),$Z44&lt;=DATE(2100,12,31)),FALSE()),NOT(ISERROR($Z44))))),FALSE())),1,0)</f>
        <v>0</v>
      </c>
      <c r="AG44">
        <f t="shared" si="28"/>
        <v>0</v>
      </c>
      <c r="AH44" t="str">
        <f t="shared" si="29"/>
        <v/>
      </c>
      <c r="AI44" t="str">
        <f>IFERROR(IF(p_stage="Pilot / PoC","No","Yes"),"Yes")</f>
        <v>Yes</v>
      </c>
      <c r="AJ44">
        <f t="shared" si="30"/>
        <v>0</v>
      </c>
      <c r="AK44">
        <f t="shared" si="31"/>
        <v>0</v>
      </c>
      <c r="AL44">
        <f t="shared" si="32"/>
        <v>0</v>
      </c>
      <c r="AM44">
        <f t="shared" si="33"/>
        <v>0</v>
      </c>
      <c r="AN44">
        <f t="shared" si="34"/>
        <v>0</v>
      </c>
      <c r="AO44">
        <f t="shared" si="35"/>
        <v>0</v>
      </c>
      <c r="AP44">
        <f t="shared" si="36"/>
        <v>0</v>
      </c>
      <c r="AQ44">
        <f t="shared" si="37"/>
        <v>0</v>
      </c>
      <c r="AR44">
        <f t="shared" si="38"/>
        <v>0</v>
      </c>
      <c r="AS44">
        <f t="shared" si="39"/>
        <v>0</v>
      </c>
      <c r="AT44">
        <f t="shared" si="40"/>
        <v>0</v>
      </c>
      <c r="AU44" t="str">
        <f>_xlfn.TEXTJOIN(", ",TRUE(),IF(ISERROR($E44),"E44",""),IF(ISERROR($G44),"G44",""),IF(ISERROR($H44),"H44",""),IF(ISERROR($J44),"J44",""),IF(ISERROR($K44),"K44",""),IF(ISERROR($O44),"O44",""),IF(ISERROR($P44),"P44",""),IF(ISERROR($Q44),"Q44",""),IF(ISERROR($R44),"R44",""),IF(ISERROR($S44),"S44",""),IF(ISERROR($T44),"T44",""),IF(ISERROR($X44),"X44",""),IF(ISERROR($Y44),"Y44",""),IF(ISERROR($Z44),"Z44",""))</f>
        <v/>
      </c>
      <c r="AV44" t="str">
        <f>_xlfn.TEXTJOIN("; ",TRUE(),IF(IFERROR(NOT(OR($J44="",$J44="Yes",$J44="No")),TRUE()),"Invalid override value (J)",""),IF(IFERROR(IF($E44="",$I44="Yes",NOT(OR($E44="Blocker",$E44="Major",$E44="Moderate",$E44="Minor"))),TRUE()),"Invalid or missing criticality (E)",""),IF(IFERROR(IF($J44&lt;&gt;"",$T44="",FALSE()),TRUE()),"Override rationale missing / invalid (T)",""),IF(IFERROR(IF(AND($A44="2.7",$I44="Yes",p_confidential="Yes"),$E44&lt;&gt;"Blocker",FALSE()),TRUE()),"2.7 must be Blocker when S4 = Yes",""),IF(IFERROR(IF(AND($A44="5.8",$I44="Yes"),OR($E44="Moderate",$E44="Minor"),FALSE()),TRUE()),"5.8 should be at least Major",""),IF(IF(IFERROR(AND($J44="No",$AI44="Yes",OR($AD44="Blocker",AND($A44="2.7",p_confidential="Yes"))),FALSE()),NOT(AND(IFERROR($X44&lt;&gt;"",FALSE()),IFERROR($Y44&lt;&gt;"",FALSE()),IFERROR(AND(ISNUMBER($Z44),$Z44&gt;=DATE(2020,1,1),$Z44&lt;=DATE(2100,12,31)),FALSE()))),FALSE()),"Blocker de-scope review missing / invalid (X-Z)",""),IF(IF(IFERROR(IF(OR($E44="Blocker",$E44="Major",$E44="Moderate",$E44="Minor"),$F44&lt;IF($AD44="Blocker",Lookups!$B$8,IF($AD44="Major",Lookups!$B$9,IF($AD44="Moderate",Lookups!$B$10,Lookups!$B$11))),FALSE()),FALSE()),NOT(AND(IFERROR($T44&lt;&gt;"",FALSE()),IFERROR($Y44&lt;&gt;"",FALSE()),IF(IFERROR($Z44&lt;&gt;"",FALSE()),IFERROR(AND(ISNUMBER($Z44),$Z44&gt;=DATE(2020,1,1),$Z44&lt;=DATE(2100,12,31)),FALSE()),NOT(ISERROR($Z44))))),FALSE()),"Criticality below baseline: review missing / invalid (T,Y,Z)",""))</f>
        <v/>
      </c>
      <c r="AW44" t="str">
        <f t="shared" si="41"/>
        <v/>
      </c>
    </row>
    <row r="45" spans="1:49" ht="30" customHeight="1" x14ac:dyDescent="0.3">
      <c r="A45" s="22" t="s">
        <v>356</v>
      </c>
      <c r="B45" s="23" t="s">
        <v>342</v>
      </c>
      <c r="C45" s="24" t="s">
        <v>343</v>
      </c>
      <c r="D45" s="24" t="s">
        <v>357</v>
      </c>
      <c r="E45" s="25" t="s">
        <v>187</v>
      </c>
      <c r="F45" s="26">
        <f>IFERROR(IF($E45="Blocker",Lookups!$B$8,IF($E45="Major",Lookups!$B$9,IF($E45="Moderate",Lookups!$B$10,IF($E45="Minor",Lookups!$B$11,0)))),0)</f>
        <v>4</v>
      </c>
      <c r="G45" s="16">
        <v>3</v>
      </c>
      <c r="H45" s="16">
        <v>4</v>
      </c>
      <c r="I45" s="27" t="str">
        <f>IFERROR(IF(OR($J45="Yes",$J45="No"),$J45,IF(AND(p_stage="Pilot / PoC",p_personal="No",p_confidential="No"),"No","Yes")),"Yes")</f>
        <v>Yes</v>
      </c>
      <c r="J45" s="25"/>
      <c r="K45" s="25"/>
      <c r="L45" s="27" t="str">
        <f t="shared" si="21"/>
        <v/>
      </c>
      <c r="M45" s="27">
        <f t="shared" si="22"/>
        <v>48</v>
      </c>
      <c r="N45" s="27" t="str">
        <f t="shared" si="23"/>
        <v/>
      </c>
      <c r="O45" s="25"/>
      <c r="P45" s="25"/>
      <c r="Q45" s="25"/>
      <c r="R45" s="28"/>
      <c r="S45" s="25"/>
      <c r="T45" s="25"/>
      <c r="U45" s="29" t="str">
        <f t="shared" si="24"/>
        <v/>
      </c>
      <c r="V45" s="24"/>
      <c r="W45" s="24" t="s">
        <v>358</v>
      </c>
      <c r="X45" s="13"/>
      <c r="Y45" s="13"/>
      <c r="Z45" s="14"/>
      <c r="AA45" t="str">
        <f t="shared" si="25"/>
        <v/>
      </c>
      <c r="AB45" t="str">
        <f t="shared" si="26"/>
        <v/>
      </c>
      <c r="AC45" t="str">
        <f t="shared" si="27"/>
        <v/>
      </c>
      <c r="AD45" t="s">
        <v>187</v>
      </c>
      <c r="AF45">
        <f>IF(OR(IFERROR(NOT(OR($J45="",$J45="Yes",$J45="No")),TRUE()),IFERROR(IF($E45="",$I45="Yes",NOT(OR($E45="Blocker",$E45="Major",$E45="Moderate",$E45="Minor"))),TRUE()),IFERROR(IF($J45&lt;&gt;"",$T45="",FALSE()),TRUE()),IFERROR(IF(AND($A45="2.7",$I45="Yes",p_confidential="Yes"),$E45&lt;&gt;"Blocker",FALSE()),TRUE()),IFERROR(IF(AND($A45="5.8",$I45="Yes"),OR($E45="Moderate",$E45="Minor"),FALSE()),TRUE()),IF(IFERROR(AND($J45="No",$AI45="Yes",OR($AD45="Blocker",AND($A45="2.7",p_confidential="Yes"))),FALSE()),NOT(AND(IFERROR($X45&lt;&gt;"",FALSE()),IFERROR($Y45&lt;&gt;"",FALSE()),IFERROR(AND(ISNUMBER($Z45),$Z45&gt;=DATE(2020,1,1),$Z45&lt;=DATE(2100,12,31)),FALSE()))),FALSE()),IF(IFERROR(IF(OR($E45="Blocker",$E45="Major",$E45="Moderate",$E45="Minor"),$F45&lt;IF($AD45="Blocker",Lookups!$B$8,IF($AD45="Major",Lookups!$B$9,IF($AD45="Moderate",Lookups!$B$10,Lookups!$B$11))),FALSE()),FALSE()),NOT(AND(IFERROR($T45&lt;&gt;"",FALSE()),IFERROR($Y45&lt;&gt;"",FALSE()),IF(IFERROR($Z45&lt;&gt;"",FALSE()),IFERROR(AND(ISNUMBER($Z45),$Z45&gt;=DATE(2020,1,1),$Z45&lt;=DATE(2100,12,31)),FALSE()),NOT(ISERROR($Z45))))),FALSE())),1,0)</f>
        <v>0</v>
      </c>
      <c r="AG45">
        <f t="shared" si="28"/>
        <v>0</v>
      </c>
      <c r="AH45" t="str">
        <f t="shared" si="29"/>
        <v/>
      </c>
      <c r="AI45" t="str">
        <f>IFERROR(IF(AND(p_stage="Pilot / PoC",p_personal="No",p_confidential="No"),"No","Yes"),"Yes")</f>
        <v>Yes</v>
      </c>
      <c r="AJ45">
        <f t="shared" si="30"/>
        <v>0</v>
      </c>
      <c r="AK45">
        <f t="shared" si="31"/>
        <v>0</v>
      </c>
      <c r="AL45">
        <f t="shared" si="32"/>
        <v>0</v>
      </c>
      <c r="AM45">
        <f t="shared" si="33"/>
        <v>0</v>
      </c>
      <c r="AN45">
        <f t="shared" si="34"/>
        <v>0</v>
      </c>
      <c r="AO45">
        <f t="shared" si="35"/>
        <v>0</v>
      </c>
      <c r="AP45">
        <f t="shared" si="36"/>
        <v>0</v>
      </c>
      <c r="AQ45">
        <f t="shared" si="37"/>
        <v>0</v>
      </c>
      <c r="AR45">
        <f t="shared" si="38"/>
        <v>0</v>
      </c>
      <c r="AS45">
        <f t="shared" si="39"/>
        <v>0</v>
      </c>
      <c r="AT45">
        <f t="shared" si="40"/>
        <v>0</v>
      </c>
      <c r="AU45" t="str">
        <f>_xlfn.TEXTJOIN(", ",TRUE(),IF(ISERROR($E45),"E45",""),IF(ISERROR($G45),"G45",""),IF(ISERROR($H45),"H45",""),IF(ISERROR($J45),"J45",""),IF(ISERROR($K45),"K45",""),IF(ISERROR($O45),"O45",""),IF(ISERROR($P45),"P45",""),IF(ISERROR($Q45),"Q45",""),IF(ISERROR($R45),"R45",""),IF(ISERROR($S45),"S45",""),IF(ISERROR($T45),"T45",""),IF(ISERROR($X45),"X45",""),IF(ISERROR($Y45),"Y45",""),IF(ISERROR($Z45),"Z45",""))</f>
        <v/>
      </c>
      <c r="AV45" t="str">
        <f>_xlfn.TEXTJOIN("; ",TRUE(),IF(IFERROR(NOT(OR($J45="",$J45="Yes",$J45="No")),TRUE()),"Invalid override value (J)",""),IF(IFERROR(IF($E45="",$I45="Yes",NOT(OR($E45="Blocker",$E45="Major",$E45="Moderate",$E45="Minor"))),TRUE()),"Invalid or missing criticality (E)",""),IF(IFERROR(IF($J45&lt;&gt;"",$T45="",FALSE()),TRUE()),"Override rationale missing / invalid (T)",""),IF(IFERROR(IF(AND($A45="2.7",$I45="Yes",p_confidential="Yes"),$E45&lt;&gt;"Blocker",FALSE()),TRUE()),"2.7 must be Blocker when S4 = Yes",""),IF(IFERROR(IF(AND($A45="5.8",$I45="Yes"),OR($E45="Moderate",$E45="Minor"),FALSE()),TRUE()),"5.8 should be at least Major",""),IF(IF(IFERROR(AND($J45="No",$AI45="Yes",OR($AD45="Blocker",AND($A45="2.7",p_confidential="Yes"))),FALSE()),NOT(AND(IFERROR($X45&lt;&gt;"",FALSE()),IFERROR($Y45&lt;&gt;"",FALSE()),IFERROR(AND(ISNUMBER($Z45),$Z45&gt;=DATE(2020,1,1),$Z45&lt;=DATE(2100,12,31)),FALSE()))),FALSE()),"Blocker de-scope review missing / invalid (X-Z)",""),IF(IF(IFERROR(IF(OR($E45="Blocker",$E45="Major",$E45="Moderate",$E45="Minor"),$F45&lt;IF($AD45="Blocker",Lookups!$B$8,IF($AD45="Major",Lookups!$B$9,IF($AD45="Moderate",Lookups!$B$10,Lookups!$B$11))),FALSE()),FALSE()),NOT(AND(IFERROR($T45&lt;&gt;"",FALSE()),IFERROR($Y45&lt;&gt;"",FALSE()),IF(IFERROR($Z45&lt;&gt;"",FALSE()),IFERROR(AND(ISNUMBER($Z45),$Z45&gt;=DATE(2020,1,1),$Z45&lt;=DATE(2100,12,31)),FALSE()),NOT(ISERROR($Z45))))),FALSE()),"Criticality below baseline: review missing / invalid (T,Y,Z)",""))</f>
        <v/>
      </c>
      <c r="AW45" t="str">
        <f t="shared" si="41"/>
        <v/>
      </c>
    </row>
    <row r="46" spans="1:49" ht="45" customHeight="1" x14ac:dyDescent="0.3">
      <c r="A46" s="22" t="s">
        <v>359</v>
      </c>
      <c r="B46" s="23" t="s">
        <v>342</v>
      </c>
      <c r="C46" s="24" t="s">
        <v>220</v>
      </c>
      <c r="D46" s="24" t="s">
        <v>360</v>
      </c>
      <c r="E46" s="25" t="s">
        <v>187</v>
      </c>
      <c r="F46" s="26">
        <f>IFERROR(IF($E46="Blocker",Lookups!$B$8,IF($E46="Major",Lookups!$B$9,IF($E46="Moderate",Lookups!$B$10,IF($E46="Minor",Lookups!$B$11,0)))),0)</f>
        <v>4</v>
      </c>
      <c r="G46" s="16">
        <v>3</v>
      </c>
      <c r="H46" s="16">
        <v>4</v>
      </c>
      <c r="I46" s="27" t="str">
        <f>IFERROR(IF(OR($J46="Yes",$J46="No"),$J46,IF(p_stage="Pilot / PoC","No","Yes")),"Yes")</f>
        <v>Yes</v>
      </c>
      <c r="J46" s="25"/>
      <c r="K46" s="25"/>
      <c r="L46" s="27" t="str">
        <f t="shared" si="21"/>
        <v/>
      </c>
      <c r="M46" s="27">
        <f t="shared" si="22"/>
        <v>48</v>
      </c>
      <c r="N46" s="27" t="str">
        <f t="shared" si="23"/>
        <v/>
      </c>
      <c r="O46" s="25"/>
      <c r="P46" s="25"/>
      <c r="Q46" s="25"/>
      <c r="R46" s="28"/>
      <c r="S46" s="25"/>
      <c r="T46" s="25"/>
      <c r="U46" s="29" t="str">
        <f t="shared" si="24"/>
        <v/>
      </c>
      <c r="V46" s="24" t="s">
        <v>361</v>
      </c>
      <c r="W46" s="24" t="s">
        <v>362</v>
      </c>
      <c r="X46" s="13"/>
      <c r="Y46" s="13"/>
      <c r="Z46" s="14"/>
      <c r="AA46" t="str">
        <f t="shared" si="25"/>
        <v/>
      </c>
      <c r="AB46" t="str">
        <f t="shared" si="26"/>
        <v/>
      </c>
      <c r="AC46" t="str">
        <f t="shared" si="27"/>
        <v/>
      </c>
      <c r="AD46" t="s">
        <v>187</v>
      </c>
      <c r="AF46">
        <f>IF(OR(IFERROR(NOT(OR($J46="",$J46="Yes",$J46="No")),TRUE()),IFERROR(IF($E46="",$I46="Yes",NOT(OR($E46="Blocker",$E46="Major",$E46="Moderate",$E46="Minor"))),TRUE()),IFERROR(IF($J46&lt;&gt;"",$T46="",FALSE()),TRUE()),IFERROR(IF(AND($A46="2.7",$I46="Yes",p_confidential="Yes"),$E46&lt;&gt;"Blocker",FALSE()),TRUE()),IFERROR(IF(AND($A46="5.8",$I46="Yes"),OR($E46="Moderate",$E46="Minor"),FALSE()),TRUE()),IF(IFERROR(AND($J46="No",$AI46="Yes",OR($AD46="Blocker",AND($A46="2.7",p_confidential="Yes"))),FALSE()),NOT(AND(IFERROR($X46&lt;&gt;"",FALSE()),IFERROR($Y46&lt;&gt;"",FALSE()),IFERROR(AND(ISNUMBER($Z46),$Z46&gt;=DATE(2020,1,1),$Z46&lt;=DATE(2100,12,31)),FALSE()))),FALSE()),IF(IFERROR(IF(OR($E46="Blocker",$E46="Major",$E46="Moderate",$E46="Minor"),$F46&lt;IF($AD46="Blocker",Lookups!$B$8,IF($AD46="Major",Lookups!$B$9,IF($AD46="Moderate",Lookups!$B$10,Lookups!$B$11))),FALSE()),FALSE()),NOT(AND(IFERROR($T46&lt;&gt;"",FALSE()),IFERROR($Y46&lt;&gt;"",FALSE()),IF(IFERROR($Z46&lt;&gt;"",FALSE()),IFERROR(AND(ISNUMBER($Z46),$Z46&gt;=DATE(2020,1,1),$Z46&lt;=DATE(2100,12,31)),FALSE()),NOT(ISERROR($Z46))))),FALSE())),1,0)</f>
        <v>0</v>
      </c>
      <c r="AG46">
        <f t="shared" si="28"/>
        <v>0</v>
      </c>
      <c r="AH46" t="str">
        <f t="shared" si="29"/>
        <v/>
      </c>
      <c r="AI46" t="str">
        <f>IFERROR(IF(p_stage="Pilot / PoC","No","Yes"),"Yes")</f>
        <v>Yes</v>
      </c>
      <c r="AJ46">
        <f t="shared" si="30"/>
        <v>0</v>
      </c>
      <c r="AK46">
        <f t="shared" si="31"/>
        <v>0</v>
      </c>
      <c r="AL46">
        <f t="shared" si="32"/>
        <v>0</v>
      </c>
      <c r="AM46">
        <f t="shared" si="33"/>
        <v>0</v>
      </c>
      <c r="AN46">
        <f t="shared" si="34"/>
        <v>0</v>
      </c>
      <c r="AO46">
        <f t="shared" si="35"/>
        <v>0</v>
      </c>
      <c r="AP46">
        <f t="shared" si="36"/>
        <v>0</v>
      </c>
      <c r="AQ46">
        <f t="shared" si="37"/>
        <v>0</v>
      </c>
      <c r="AR46">
        <f t="shared" si="38"/>
        <v>0</v>
      </c>
      <c r="AS46">
        <f t="shared" si="39"/>
        <v>0</v>
      </c>
      <c r="AT46">
        <f t="shared" si="40"/>
        <v>0</v>
      </c>
      <c r="AU46" t="str">
        <f>_xlfn.TEXTJOIN(", ",TRUE(),IF(ISERROR($E46),"E46",""),IF(ISERROR($G46),"G46",""),IF(ISERROR($H46),"H46",""),IF(ISERROR($J46),"J46",""),IF(ISERROR($K46),"K46",""),IF(ISERROR($O46),"O46",""),IF(ISERROR($P46),"P46",""),IF(ISERROR($Q46),"Q46",""),IF(ISERROR($R46),"R46",""),IF(ISERROR($S46),"S46",""),IF(ISERROR($T46),"T46",""),IF(ISERROR($X46),"X46",""),IF(ISERROR($Y46),"Y46",""),IF(ISERROR($Z46),"Z46",""))</f>
        <v/>
      </c>
      <c r="AV46" t="str">
        <f>_xlfn.TEXTJOIN("; ",TRUE(),IF(IFERROR(NOT(OR($J46="",$J46="Yes",$J46="No")),TRUE()),"Invalid override value (J)",""),IF(IFERROR(IF($E46="",$I46="Yes",NOT(OR($E46="Blocker",$E46="Major",$E46="Moderate",$E46="Minor"))),TRUE()),"Invalid or missing criticality (E)",""),IF(IFERROR(IF($J46&lt;&gt;"",$T46="",FALSE()),TRUE()),"Override rationale missing / invalid (T)",""),IF(IFERROR(IF(AND($A46="2.7",$I46="Yes",p_confidential="Yes"),$E46&lt;&gt;"Blocker",FALSE()),TRUE()),"2.7 must be Blocker when S4 = Yes",""),IF(IFERROR(IF(AND($A46="5.8",$I46="Yes"),OR($E46="Moderate",$E46="Minor"),FALSE()),TRUE()),"5.8 should be at least Major",""),IF(IF(IFERROR(AND($J46="No",$AI46="Yes",OR($AD46="Blocker",AND($A46="2.7",p_confidential="Yes"))),FALSE()),NOT(AND(IFERROR($X46&lt;&gt;"",FALSE()),IFERROR($Y46&lt;&gt;"",FALSE()),IFERROR(AND(ISNUMBER($Z46),$Z46&gt;=DATE(2020,1,1),$Z46&lt;=DATE(2100,12,31)),FALSE()))),FALSE()),"Blocker de-scope review missing / invalid (X-Z)",""),IF(IF(IFERROR(IF(OR($E46="Blocker",$E46="Major",$E46="Moderate",$E46="Minor"),$F46&lt;IF($AD46="Blocker",Lookups!$B$8,IF($AD46="Major",Lookups!$B$9,IF($AD46="Moderate",Lookups!$B$10,Lookups!$B$11))),FALSE()),FALSE()),NOT(AND(IFERROR($T46&lt;&gt;"",FALSE()),IFERROR($Y46&lt;&gt;"",FALSE()),IF(IFERROR($Z46&lt;&gt;"",FALSE()),IFERROR(AND(ISNUMBER($Z46),$Z46&gt;=DATE(2020,1,1),$Z46&lt;=DATE(2100,12,31)),FALSE()),NOT(ISERROR($Z46))))),FALSE()),"Criticality below baseline: review missing / invalid (T,Y,Z)",""))</f>
        <v/>
      </c>
      <c r="AW46" t="str">
        <f t="shared" si="41"/>
        <v/>
      </c>
    </row>
    <row r="47" spans="1:49" ht="45" customHeight="1" x14ac:dyDescent="0.3">
      <c r="A47" s="22" t="s">
        <v>363</v>
      </c>
      <c r="B47" s="23" t="s">
        <v>364</v>
      </c>
      <c r="C47" s="24" t="s">
        <v>365</v>
      </c>
      <c r="D47" s="24" t="s">
        <v>366</v>
      </c>
      <c r="E47" s="25" t="s">
        <v>191</v>
      </c>
      <c r="F47" s="26">
        <f>IFERROR(IF($E47="Blocker",Lookups!$B$8,IF($E47="Major",Lookups!$B$9,IF($E47="Moderate",Lookups!$B$10,IF($E47="Minor",Lookups!$B$11,0)))),0)</f>
        <v>5</v>
      </c>
      <c r="G47" s="16">
        <v>4</v>
      </c>
      <c r="H47" s="16">
        <v>5</v>
      </c>
      <c r="I47" s="27" t="str">
        <f>IFERROR(IF(OR($J47="Yes",$J47="No"),$J47,IF(p_personal="No","No","Yes")),"Yes")</f>
        <v>Yes</v>
      </c>
      <c r="J47" s="25"/>
      <c r="K47" s="25"/>
      <c r="L47" s="27" t="str">
        <f t="shared" si="21"/>
        <v/>
      </c>
      <c r="M47" s="27">
        <f t="shared" si="22"/>
        <v>100</v>
      </c>
      <c r="N47" s="27" t="str">
        <f t="shared" si="23"/>
        <v/>
      </c>
      <c r="O47" s="25"/>
      <c r="P47" s="25"/>
      <c r="Q47" s="25"/>
      <c r="R47" s="28"/>
      <c r="S47" s="25"/>
      <c r="T47" s="25"/>
      <c r="U47" s="29" t="str">
        <f t="shared" si="24"/>
        <v/>
      </c>
      <c r="V47" s="24"/>
      <c r="W47" s="24" t="s">
        <v>367</v>
      </c>
      <c r="X47" s="13"/>
      <c r="Y47" s="13"/>
      <c r="Z47" s="14"/>
      <c r="AA47" t="str">
        <f t="shared" si="25"/>
        <v/>
      </c>
      <c r="AB47" t="str">
        <f t="shared" si="26"/>
        <v/>
      </c>
      <c r="AC47" t="str">
        <f t="shared" si="27"/>
        <v/>
      </c>
      <c r="AD47" t="s">
        <v>191</v>
      </c>
      <c r="AF47">
        <f>IF(OR(IFERROR(NOT(OR($J47="",$J47="Yes",$J47="No")),TRUE()),IFERROR(IF($E47="",$I47="Yes",NOT(OR($E47="Blocker",$E47="Major",$E47="Moderate",$E47="Minor"))),TRUE()),IFERROR(IF($J47&lt;&gt;"",$T47="",FALSE()),TRUE()),IFERROR(IF(AND($A47="2.7",$I47="Yes",p_confidential="Yes"),$E47&lt;&gt;"Blocker",FALSE()),TRUE()),IFERROR(IF(AND($A47="5.8",$I47="Yes"),OR($E47="Moderate",$E47="Minor"),FALSE()),TRUE()),IF(IFERROR(AND($J47="No",$AI47="Yes",OR($AD47="Blocker",AND($A47="2.7",p_confidential="Yes"))),FALSE()),NOT(AND(IFERROR($X47&lt;&gt;"",FALSE()),IFERROR($Y47&lt;&gt;"",FALSE()),IFERROR(AND(ISNUMBER($Z47),$Z47&gt;=DATE(2020,1,1),$Z47&lt;=DATE(2100,12,31)),FALSE()))),FALSE()),IF(IFERROR(IF(OR($E47="Blocker",$E47="Major",$E47="Moderate",$E47="Minor"),$F47&lt;IF($AD47="Blocker",Lookups!$B$8,IF($AD47="Major",Lookups!$B$9,IF($AD47="Moderate",Lookups!$B$10,Lookups!$B$11))),FALSE()),FALSE()),NOT(AND(IFERROR($T47&lt;&gt;"",FALSE()),IFERROR($Y47&lt;&gt;"",FALSE()),IF(IFERROR($Z47&lt;&gt;"",FALSE()),IFERROR(AND(ISNUMBER($Z47),$Z47&gt;=DATE(2020,1,1),$Z47&lt;=DATE(2100,12,31)),FALSE()),NOT(ISERROR($Z47))))),FALSE())),1,0)</f>
        <v>0</v>
      </c>
      <c r="AG47">
        <f t="shared" si="28"/>
        <v>0</v>
      </c>
      <c r="AH47" t="str">
        <f t="shared" si="29"/>
        <v/>
      </c>
      <c r="AI47" t="str">
        <f>IFERROR(IF(p_personal="No","No","Yes"),"Yes")</f>
        <v>Yes</v>
      </c>
      <c r="AJ47">
        <f t="shared" si="30"/>
        <v>0</v>
      </c>
      <c r="AK47">
        <f t="shared" si="31"/>
        <v>0</v>
      </c>
      <c r="AL47">
        <f t="shared" si="32"/>
        <v>0</v>
      </c>
      <c r="AM47">
        <f t="shared" si="33"/>
        <v>0</v>
      </c>
      <c r="AN47">
        <f t="shared" si="34"/>
        <v>0</v>
      </c>
      <c r="AO47">
        <f t="shared" si="35"/>
        <v>0</v>
      </c>
      <c r="AP47">
        <f t="shared" si="36"/>
        <v>0</v>
      </c>
      <c r="AQ47">
        <f t="shared" si="37"/>
        <v>0</v>
      </c>
      <c r="AR47">
        <f t="shared" si="38"/>
        <v>0</v>
      </c>
      <c r="AS47">
        <f t="shared" si="39"/>
        <v>0</v>
      </c>
      <c r="AT47">
        <f t="shared" si="40"/>
        <v>0</v>
      </c>
      <c r="AU47" t="str">
        <f>_xlfn.TEXTJOIN(", ",TRUE(),IF(ISERROR($E47),"E47",""),IF(ISERROR($G47),"G47",""),IF(ISERROR($H47),"H47",""),IF(ISERROR($J47),"J47",""),IF(ISERROR($K47),"K47",""),IF(ISERROR($O47),"O47",""),IF(ISERROR($P47),"P47",""),IF(ISERROR($Q47),"Q47",""),IF(ISERROR($R47),"R47",""),IF(ISERROR($S47),"S47",""),IF(ISERROR($T47),"T47",""),IF(ISERROR($X47),"X47",""),IF(ISERROR($Y47),"Y47",""),IF(ISERROR($Z47),"Z47",""))</f>
        <v/>
      </c>
      <c r="AV47" t="str">
        <f>_xlfn.TEXTJOIN("; ",TRUE(),IF(IFERROR(NOT(OR($J47="",$J47="Yes",$J47="No")),TRUE()),"Invalid override value (J)",""),IF(IFERROR(IF($E47="",$I47="Yes",NOT(OR($E47="Blocker",$E47="Major",$E47="Moderate",$E47="Minor"))),TRUE()),"Invalid or missing criticality (E)",""),IF(IFERROR(IF($J47&lt;&gt;"",$T47="",FALSE()),TRUE()),"Override rationale missing / invalid (T)",""),IF(IFERROR(IF(AND($A47="2.7",$I47="Yes",p_confidential="Yes"),$E47&lt;&gt;"Blocker",FALSE()),TRUE()),"2.7 must be Blocker when S4 = Yes",""),IF(IFERROR(IF(AND($A47="5.8",$I47="Yes"),OR($E47="Moderate",$E47="Minor"),FALSE()),TRUE()),"5.8 should be at least Major",""),IF(IF(IFERROR(AND($J47="No",$AI47="Yes",OR($AD47="Blocker",AND($A47="2.7",p_confidential="Yes"))),FALSE()),NOT(AND(IFERROR($X47&lt;&gt;"",FALSE()),IFERROR($Y47&lt;&gt;"",FALSE()),IFERROR(AND(ISNUMBER($Z47),$Z47&gt;=DATE(2020,1,1),$Z47&lt;=DATE(2100,12,31)),FALSE()))),FALSE()),"Blocker de-scope review missing / invalid (X-Z)",""),IF(IF(IFERROR(IF(OR($E47="Blocker",$E47="Major",$E47="Moderate",$E47="Minor"),$F47&lt;IF($AD47="Blocker",Lookups!$B$8,IF($AD47="Major",Lookups!$B$9,IF($AD47="Moderate",Lookups!$B$10,Lookups!$B$11))),FALSE()),FALSE()),NOT(AND(IFERROR($T47&lt;&gt;"",FALSE()),IFERROR($Y47&lt;&gt;"",FALSE()),IF(IFERROR($Z47&lt;&gt;"",FALSE()),IFERROR(AND(ISNUMBER($Z47),$Z47&gt;=DATE(2020,1,1),$Z47&lt;=DATE(2100,12,31)),FALSE()),NOT(ISERROR($Z47))))),FALSE()),"Criticality below baseline: review missing / invalid (T,Y,Z)",""))</f>
        <v/>
      </c>
      <c r="AW47" t="str">
        <f t="shared" si="41"/>
        <v/>
      </c>
    </row>
    <row r="48" spans="1:49" ht="30" customHeight="1" x14ac:dyDescent="0.3">
      <c r="A48" s="22" t="s">
        <v>368</v>
      </c>
      <c r="B48" s="23" t="s">
        <v>364</v>
      </c>
      <c r="C48" s="24" t="s">
        <v>369</v>
      </c>
      <c r="D48" s="24" t="s">
        <v>370</v>
      </c>
      <c r="E48" s="25" t="s">
        <v>191</v>
      </c>
      <c r="F48" s="26">
        <f>IFERROR(IF($E48="Blocker",Lookups!$B$8,IF($E48="Major",Lookups!$B$9,IF($E48="Moderate",Lookups!$B$10,IF($E48="Minor",Lookups!$B$11,0)))),0)</f>
        <v>5</v>
      </c>
      <c r="G48" s="16">
        <v>4</v>
      </c>
      <c r="H48" s="16">
        <v>5</v>
      </c>
      <c r="I48" s="27" t="str">
        <f>IFERROR(IF(OR($J48="Yes",$J48="No"),$J48,IF(OR(p_provider="Self-hosted / open weights",p_provider="Internal development",AND(p_personal="No",p_confidential="No")),"No","Yes")),"Yes")</f>
        <v>Yes</v>
      </c>
      <c r="J48" s="25"/>
      <c r="K48" s="25"/>
      <c r="L48" s="27" t="str">
        <f t="shared" si="21"/>
        <v/>
      </c>
      <c r="M48" s="27">
        <f t="shared" si="22"/>
        <v>100</v>
      </c>
      <c r="N48" s="27" t="str">
        <f t="shared" si="23"/>
        <v/>
      </c>
      <c r="O48" s="25"/>
      <c r="P48" s="25"/>
      <c r="Q48" s="25"/>
      <c r="R48" s="28"/>
      <c r="S48" s="25"/>
      <c r="T48" s="25"/>
      <c r="U48" s="29" t="str">
        <f t="shared" si="24"/>
        <v/>
      </c>
      <c r="V48" s="24"/>
      <c r="W48" s="24" t="s">
        <v>371</v>
      </c>
      <c r="X48" s="13"/>
      <c r="Y48" s="13"/>
      <c r="Z48" s="14"/>
      <c r="AA48" t="str">
        <f t="shared" si="25"/>
        <v/>
      </c>
      <c r="AB48" t="str">
        <f t="shared" si="26"/>
        <v/>
      </c>
      <c r="AC48" t="str">
        <f t="shared" si="27"/>
        <v/>
      </c>
      <c r="AD48" t="s">
        <v>191</v>
      </c>
      <c r="AF48">
        <f>IF(OR(IFERROR(NOT(OR($J48="",$J48="Yes",$J48="No")),TRUE()),IFERROR(IF($E48="",$I48="Yes",NOT(OR($E48="Blocker",$E48="Major",$E48="Moderate",$E48="Minor"))),TRUE()),IFERROR(IF($J48&lt;&gt;"",$T48="",FALSE()),TRUE()),IFERROR(IF(AND($A48="2.7",$I48="Yes",p_confidential="Yes"),$E48&lt;&gt;"Blocker",FALSE()),TRUE()),IFERROR(IF(AND($A48="5.8",$I48="Yes"),OR($E48="Moderate",$E48="Minor"),FALSE()),TRUE()),IF(IFERROR(AND($J48="No",$AI48="Yes",OR($AD48="Blocker",AND($A48="2.7",p_confidential="Yes"))),FALSE()),NOT(AND(IFERROR($X48&lt;&gt;"",FALSE()),IFERROR($Y48&lt;&gt;"",FALSE()),IFERROR(AND(ISNUMBER($Z48),$Z48&gt;=DATE(2020,1,1),$Z48&lt;=DATE(2100,12,31)),FALSE()))),FALSE()),IF(IFERROR(IF(OR($E48="Blocker",$E48="Major",$E48="Moderate",$E48="Minor"),$F48&lt;IF($AD48="Blocker",Lookups!$B$8,IF($AD48="Major",Lookups!$B$9,IF($AD48="Moderate",Lookups!$B$10,Lookups!$B$11))),FALSE()),FALSE()),NOT(AND(IFERROR($T48&lt;&gt;"",FALSE()),IFERROR($Y48&lt;&gt;"",FALSE()),IF(IFERROR($Z48&lt;&gt;"",FALSE()),IFERROR(AND(ISNUMBER($Z48),$Z48&gt;=DATE(2020,1,1),$Z48&lt;=DATE(2100,12,31)),FALSE()),NOT(ISERROR($Z48))))),FALSE())),1,0)</f>
        <v>0</v>
      </c>
      <c r="AG48">
        <f t="shared" si="28"/>
        <v>0</v>
      </c>
      <c r="AH48" t="str">
        <f t="shared" si="29"/>
        <v/>
      </c>
      <c r="AI48" t="str">
        <f>IFERROR(IF(OR(p_provider="Self-hosted / open weights",p_provider="Internal development",AND(p_personal="No",p_confidential="No")),"No","Yes"),"Yes")</f>
        <v>Yes</v>
      </c>
      <c r="AJ48">
        <f t="shared" si="30"/>
        <v>0</v>
      </c>
      <c r="AK48">
        <f t="shared" si="31"/>
        <v>0</v>
      </c>
      <c r="AL48">
        <f t="shared" si="32"/>
        <v>0</v>
      </c>
      <c r="AM48">
        <f t="shared" si="33"/>
        <v>0</v>
      </c>
      <c r="AN48">
        <f t="shared" si="34"/>
        <v>0</v>
      </c>
      <c r="AO48">
        <f t="shared" si="35"/>
        <v>0</v>
      </c>
      <c r="AP48">
        <f t="shared" si="36"/>
        <v>0</v>
      </c>
      <c r="AQ48">
        <f t="shared" si="37"/>
        <v>0</v>
      </c>
      <c r="AR48">
        <f t="shared" si="38"/>
        <v>0</v>
      </c>
      <c r="AS48">
        <f t="shared" si="39"/>
        <v>0</v>
      </c>
      <c r="AT48">
        <f t="shared" si="40"/>
        <v>0</v>
      </c>
      <c r="AU48" t="str">
        <f>_xlfn.TEXTJOIN(", ",TRUE(),IF(ISERROR($E48),"E48",""),IF(ISERROR($G48),"G48",""),IF(ISERROR($H48),"H48",""),IF(ISERROR($J48),"J48",""),IF(ISERROR($K48),"K48",""),IF(ISERROR($O48),"O48",""),IF(ISERROR($P48),"P48",""),IF(ISERROR($Q48),"Q48",""),IF(ISERROR($R48),"R48",""),IF(ISERROR($S48),"S48",""),IF(ISERROR($T48),"T48",""),IF(ISERROR($X48),"X48",""),IF(ISERROR($Y48),"Y48",""),IF(ISERROR($Z48),"Z48",""))</f>
        <v/>
      </c>
      <c r="AV48" t="str">
        <f>_xlfn.TEXTJOIN("; ",TRUE(),IF(IFERROR(NOT(OR($J48="",$J48="Yes",$J48="No")),TRUE()),"Invalid override value (J)",""),IF(IFERROR(IF($E48="",$I48="Yes",NOT(OR($E48="Blocker",$E48="Major",$E48="Moderate",$E48="Minor"))),TRUE()),"Invalid or missing criticality (E)",""),IF(IFERROR(IF($J48&lt;&gt;"",$T48="",FALSE()),TRUE()),"Override rationale missing / invalid (T)",""),IF(IFERROR(IF(AND($A48="2.7",$I48="Yes",p_confidential="Yes"),$E48&lt;&gt;"Blocker",FALSE()),TRUE()),"2.7 must be Blocker when S4 = Yes",""),IF(IFERROR(IF(AND($A48="5.8",$I48="Yes"),OR($E48="Moderate",$E48="Minor"),FALSE()),TRUE()),"5.8 should be at least Major",""),IF(IF(IFERROR(AND($J48="No",$AI48="Yes",OR($AD48="Blocker",AND($A48="2.7",p_confidential="Yes"))),FALSE()),NOT(AND(IFERROR($X48&lt;&gt;"",FALSE()),IFERROR($Y48&lt;&gt;"",FALSE()),IFERROR(AND(ISNUMBER($Z48),$Z48&gt;=DATE(2020,1,1),$Z48&lt;=DATE(2100,12,31)),FALSE()))),FALSE()),"Blocker de-scope review missing / invalid (X-Z)",""),IF(IF(IFERROR(IF(OR($E48="Blocker",$E48="Major",$E48="Moderate",$E48="Minor"),$F48&lt;IF($AD48="Blocker",Lookups!$B$8,IF($AD48="Major",Lookups!$B$9,IF($AD48="Moderate",Lookups!$B$10,Lookups!$B$11))),FALSE()),FALSE()),NOT(AND(IFERROR($T48&lt;&gt;"",FALSE()),IFERROR($Y48&lt;&gt;"",FALSE()),IF(IFERROR($Z48&lt;&gt;"",FALSE()),IFERROR(AND(ISNUMBER($Z48),$Z48&gt;=DATE(2020,1,1),$Z48&lt;=DATE(2100,12,31)),FALSE()),NOT(ISERROR($Z48))))),FALSE()),"Criticality below baseline: review missing / invalid (T,Y,Z)",""))</f>
        <v/>
      </c>
      <c r="AW48" t="str">
        <f t="shared" si="41"/>
        <v/>
      </c>
    </row>
    <row r="49" spans="1:49" ht="30" customHeight="1" x14ac:dyDescent="0.3">
      <c r="A49" s="22" t="s">
        <v>372</v>
      </c>
      <c r="B49" s="23" t="s">
        <v>364</v>
      </c>
      <c r="C49" s="24" t="s">
        <v>224</v>
      </c>
      <c r="D49" s="24" t="s">
        <v>373</v>
      </c>
      <c r="E49" s="25" t="s">
        <v>191</v>
      </c>
      <c r="F49" s="26">
        <f>IFERROR(IF($E49="Blocker",Lookups!$B$8,IF($E49="Major",Lookups!$B$9,IF($E49="Moderate",Lookups!$B$10,IF($E49="Minor",Lookups!$B$11,0)))),0)</f>
        <v>5</v>
      </c>
      <c r="G49" s="16">
        <v>3</v>
      </c>
      <c r="H49" s="16">
        <v>5</v>
      </c>
      <c r="I49" s="27" t="str">
        <f>IFERROR(IF(OR($J49="Yes",$J49="No"),$J49,IF(p_provider="Internal development","No","Yes")),"Yes")</f>
        <v>Yes</v>
      </c>
      <c r="J49" s="25"/>
      <c r="K49" s="25"/>
      <c r="L49" s="27" t="str">
        <f t="shared" si="21"/>
        <v/>
      </c>
      <c r="M49" s="27">
        <f t="shared" si="22"/>
        <v>75</v>
      </c>
      <c r="N49" s="27" t="str">
        <f t="shared" si="23"/>
        <v/>
      </c>
      <c r="O49" s="25"/>
      <c r="P49" s="25"/>
      <c r="Q49" s="25"/>
      <c r="R49" s="28"/>
      <c r="S49" s="25"/>
      <c r="T49" s="25"/>
      <c r="U49" s="29" t="str">
        <f t="shared" si="24"/>
        <v/>
      </c>
      <c r="V49" s="24" t="s">
        <v>374</v>
      </c>
      <c r="W49" s="24" t="s">
        <v>375</v>
      </c>
      <c r="X49" s="13"/>
      <c r="Y49" s="13"/>
      <c r="Z49" s="14"/>
      <c r="AA49" t="str">
        <f t="shared" si="25"/>
        <v/>
      </c>
      <c r="AB49" t="str">
        <f t="shared" si="26"/>
        <v/>
      </c>
      <c r="AC49" t="str">
        <f t="shared" si="27"/>
        <v/>
      </c>
      <c r="AD49" t="s">
        <v>191</v>
      </c>
      <c r="AF49">
        <f>IF(OR(IFERROR(NOT(OR($J49="",$J49="Yes",$J49="No")),TRUE()),IFERROR(IF($E49="",$I49="Yes",NOT(OR($E49="Blocker",$E49="Major",$E49="Moderate",$E49="Minor"))),TRUE()),IFERROR(IF($J49&lt;&gt;"",$T49="",FALSE()),TRUE()),IFERROR(IF(AND($A49="2.7",$I49="Yes",p_confidential="Yes"),$E49&lt;&gt;"Blocker",FALSE()),TRUE()),IFERROR(IF(AND($A49="5.8",$I49="Yes"),OR($E49="Moderate",$E49="Minor"),FALSE()),TRUE()),IF(IFERROR(AND($J49="No",$AI49="Yes",OR($AD49="Blocker",AND($A49="2.7",p_confidential="Yes"))),FALSE()),NOT(AND(IFERROR($X49&lt;&gt;"",FALSE()),IFERROR($Y49&lt;&gt;"",FALSE()),IFERROR(AND(ISNUMBER($Z49),$Z49&gt;=DATE(2020,1,1),$Z49&lt;=DATE(2100,12,31)),FALSE()))),FALSE()),IF(IFERROR(IF(OR($E49="Blocker",$E49="Major",$E49="Moderate",$E49="Minor"),$F49&lt;IF($AD49="Blocker",Lookups!$B$8,IF($AD49="Major",Lookups!$B$9,IF($AD49="Moderate",Lookups!$B$10,Lookups!$B$11))),FALSE()),FALSE()),NOT(AND(IFERROR($T49&lt;&gt;"",FALSE()),IFERROR($Y49&lt;&gt;"",FALSE()),IF(IFERROR($Z49&lt;&gt;"",FALSE()),IFERROR(AND(ISNUMBER($Z49),$Z49&gt;=DATE(2020,1,1),$Z49&lt;=DATE(2100,12,31)),FALSE()),NOT(ISERROR($Z49))))),FALSE())),1,0)</f>
        <v>0</v>
      </c>
      <c r="AG49">
        <f t="shared" si="28"/>
        <v>0</v>
      </c>
      <c r="AH49" t="str">
        <f t="shared" si="29"/>
        <v/>
      </c>
      <c r="AI49" t="str">
        <f>IFERROR(IF(p_provider="Internal development","No","Yes"),"Yes")</f>
        <v>Yes</v>
      </c>
      <c r="AJ49">
        <f t="shared" si="30"/>
        <v>0</v>
      </c>
      <c r="AK49">
        <f t="shared" si="31"/>
        <v>0</v>
      </c>
      <c r="AL49">
        <f t="shared" si="32"/>
        <v>0</v>
      </c>
      <c r="AM49">
        <f t="shared" si="33"/>
        <v>0</v>
      </c>
      <c r="AN49">
        <f t="shared" si="34"/>
        <v>0</v>
      </c>
      <c r="AO49">
        <f t="shared" si="35"/>
        <v>0</v>
      </c>
      <c r="AP49">
        <f t="shared" si="36"/>
        <v>0</v>
      </c>
      <c r="AQ49">
        <f t="shared" si="37"/>
        <v>0</v>
      </c>
      <c r="AR49">
        <f t="shared" si="38"/>
        <v>0</v>
      </c>
      <c r="AS49">
        <f t="shared" si="39"/>
        <v>0</v>
      </c>
      <c r="AT49">
        <f t="shared" si="40"/>
        <v>0</v>
      </c>
      <c r="AU49" t="str">
        <f>_xlfn.TEXTJOIN(", ",TRUE(),IF(ISERROR($E49),"E49",""),IF(ISERROR($G49),"G49",""),IF(ISERROR($H49),"H49",""),IF(ISERROR($J49),"J49",""),IF(ISERROR($K49),"K49",""),IF(ISERROR($O49),"O49",""),IF(ISERROR($P49),"P49",""),IF(ISERROR($Q49),"Q49",""),IF(ISERROR($R49),"R49",""),IF(ISERROR($S49),"S49",""),IF(ISERROR($T49),"T49",""),IF(ISERROR($X49),"X49",""),IF(ISERROR($Y49),"Y49",""),IF(ISERROR($Z49),"Z49",""))</f>
        <v/>
      </c>
      <c r="AV49" t="str">
        <f>_xlfn.TEXTJOIN("; ",TRUE(),IF(IFERROR(NOT(OR($J49="",$J49="Yes",$J49="No")),TRUE()),"Invalid override value (J)",""),IF(IFERROR(IF($E49="",$I49="Yes",NOT(OR($E49="Blocker",$E49="Major",$E49="Moderate",$E49="Minor"))),TRUE()),"Invalid or missing criticality (E)",""),IF(IFERROR(IF($J49&lt;&gt;"",$T49="",FALSE()),TRUE()),"Override rationale missing / invalid (T)",""),IF(IFERROR(IF(AND($A49="2.7",$I49="Yes",p_confidential="Yes"),$E49&lt;&gt;"Blocker",FALSE()),TRUE()),"2.7 must be Blocker when S4 = Yes",""),IF(IFERROR(IF(AND($A49="5.8",$I49="Yes"),OR($E49="Moderate",$E49="Minor"),FALSE()),TRUE()),"5.8 should be at least Major",""),IF(IF(IFERROR(AND($J49="No",$AI49="Yes",OR($AD49="Blocker",AND($A49="2.7",p_confidential="Yes"))),FALSE()),NOT(AND(IFERROR($X49&lt;&gt;"",FALSE()),IFERROR($Y49&lt;&gt;"",FALSE()),IFERROR(AND(ISNUMBER($Z49),$Z49&gt;=DATE(2020,1,1),$Z49&lt;=DATE(2100,12,31)),FALSE()))),FALSE()),"Blocker de-scope review missing / invalid (X-Z)",""),IF(IF(IFERROR(IF(OR($E49="Blocker",$E49="Major",$E49="Moderate",$E49="Minor"),$F49&lt;IF($AD49="Blocker",Lookups!$B$8,IF($AD49="Major",Lookups!$B$9,IF($AD49="Moderate",Lookups!$B$10,Lookups!$B$11))),FALSE()),FALSE()),NOT(AND(IFERROR($T49&lt;&gt;"",FALSE()),IFERROR($Y49&lt;&gt;"",FALSE()),IF(IFERROR($Z49&lt;&gt;"",FALSE()),IFERROR(AND(ISNUMBER($Z49),$Z49&gt;=DATE(2020,1,1),$Z49&lt;=DATE(2100,12,31)),FALSE()),NOT(ISERROR($Z49))))),FALSE()),"Criticality below baseline: review missing / invalid (T,Y,Z)",""))</f>
        <v/>
      </c>
      <c r="AW49" t="str">
        <f t="shared" si="41"/>
        <v/>
      </c>
    </row>
    <row r="50" spans="1:49" ht="45" customHeight="1" x14ac:dyDescent="0.3">
      <c r="A50" s="22" t="s">
        <v>376</v>
      </c>
      <c r="B50" s="23" t="s">
        <v>364</v>
      </c>
      <c r="C50" s="24" t="s">
        <v>194</v>
      </c>
      <c r="D50" s="24" t="s">
        <v>377</v>
      </c>
      <c r="E50" s="25" t="s">
        <v>187</v>
      </c>
      <c r="F50" s="26">
        <f>IFERROR(IF($E50="Blocker",Lookups!$B$8,IF($E50="Major",Lookups!$B$9,IF($E50="Moderate",Lookups!$B$10,IF($E50="Minor",Lookups!$B$11,0)))),0)</f>
        <v>4</v>
      </c>
      <c r="G50" s="16">
        <v>3</v>
      </c>
      <c r="H50" s="16">
        <v>5</v>
      </c>
      <c r="I50" s="27" t="str">
        <f>IFERROR(IF(OR($J50="Yes",$J50="No"),$J50,IF(p_eu="No","No","Yes")),"Yes")</f>
        <v>Yes</v>
      </c>
      <c r="J50" s="25"/>
      <c r="K50" s="25"/>
      <c r="L50" s="27" t="str">
        <f t="shared" si="21"/>
        <v/>
      </c>
      <c r="M50" s="27">
        <f t="shared" si="22"/>
        <v>60</v>
      </c>
      <c r="N50" s="27" t="str">
        <f t="shared" si="23"/>
        <v/>
      </c>
      <c r="O50" s="25"/>
      <c r="P50" s="25"/>
      <c r="Q50" s="25"/>
      <c r="R50" s="28"/>
      <c r="S50" s="25"/>
      <c r="T50" s="25"/>
      <c r="U50" s="29" t="str">
        <f t="shared" si="24"/>
        <v/>
      </c>
      <c r="V50" s="24"/>
      <c r="W50" s="24" t="s">
        <v>378</v>
      </c>
      <c r="X50" s="13"/>
      <c r="Y50" s="13"/>
      <c r="Z50" s="14"/>
      <c r="AA50" t="str">
        <f t="shared" si="25"/>
        <v/>
      </c>
      <c r="AB50" t="str">
        <f t="shared" si="26"/>
        <v/>
      </c>
      <c r="AC50" t="str">
        <f t="shared" si="27"/>
        <v/>
      </c>
      <c r="AD50" t="s">
        <v>187</v>
      </c>
      <c r="AF50">
        <f>IF(OR(IFERROR(NOT(OR($J50="",$J50="Yes",$J50="No")),TRUE()),IFERROR(IF($E50="",$I50="Yes",NOT(OR($E50="Blocker",$E50="Major",$E50="Moderate",$E50="Minor"))),TRUE()),IFERROR(IF($J50&lt;&gt;"",$T50="",FALSE()),TRUE()),IFERROR(IF(AND($A50="2.7",$I50="Yes",p_confidential="Yes"),$E50&lt;&gt;"Blocker",FALSE()),TRUE()),IFERROR(IF(AND($A50="5.8",$I50="Yes"),OR($E50="Moderate",$E50="Minor"),FALSE()),TRUE()),IF(IFERROR(AND($J50="No",$AI50="Yes",OR($AD50="Blocker",AND($A50="2.7",p_confidential="Yes"))),FALSE()),NOT(AND(IFERROR($X50&lt;&gt;"",FALSE()),IFERROR($Y50&lt;&gt;"",FALSE()),IFERROR(AND(ISNUMBER($Z50),$Z50&gt;=DATE(2020,1,1),$Z50&lt;=DATE(2100,12,31)),FALSE()))),FALSE()),IF(IFERROR(IF(OR($E50="Blocker",$E50="Major",$E50="Moderate",$E50="Minor"),$F50&lt;IF($AD50="Blocker",Lookups!$B$8,IF($AD50="Major",Lookups!$B$9,IF($AD50="Moderate",Lookups!$B$10,Lookups!$B$11))),FALSE()),FALSE()),NOT(AND(IFERROR($T50&lt;&gt;"",FALSE()),IFERROR($Y50&lt;&gt;"",FALSE()),IF(IFERROR($Z50&lt;&gt;"",FALSE()),IFERROR(AND(ISNUMBER($Z50),$Z50&gt;=DATE(2020,1,1),$Z50&lt;=DATE(2100,12,31)),FALSE()),NOT(ISERROR($Z50))))),FALSE())),1,0)</f>
        <v>0</v>
      </c>
      <c r="AG50">
        <f t="shared" si="28"/>
        <v>0</v>
      </c>
      <c r="AH50" t="str">
        <f t="shared" si="29"/>
        <v/>
      </c>
      <c r="AI50" t="str">
        <f>IFERROR(IF(p_eu="No","No","Yes"),"Yes")</f>
        <v>Yes</v>
      </c>
      <c r="AJ50">
        <f t="shared" si="30"/>
        <v>0</v>
      </c>
      <c r="AK50">
        <f t="shared" si="31"/>
        <v>0</v>
      </c>
      <c r="AL50">
        <f t="shared" si="32"/>
        <v>0</v>
      </c>
      <c r="AM50">
        <f t="shared" si="33"/>
        <v>0</v>
      </c>
      <c r="AN50">
        <f t="shared" si="34"/>
        <v>0</v>
      </c>
      <c r="AO50">
        <f t="shared" si="35"/>
        <v>0</v>
      </c>
      <c r="AP50">
        <f t="shared" si="36"/>
        <v>0</v>
      </c>
      <c r="AQ50">
        <f t="shared" si="37"/>
        <v>0</v>
      </c>
      <c r="AR50">
        <f t="shared" si="38"/>
        <v>0</v>
      </c>
      <c r="AS50">
        <f t="shared" si="39"/>
        <v>0</v>
      </c>
      <c r="AT50">
        <f t="shared" si="40"/>
        <v>0</v>
      </c>
      <c r="AU50" t="str">
        <f>_xlfn.TEXTJOIN(", ",TRUE(),IF(ISERROR($E50),"E50",""),IF(ISERROR($G50),"G50",""),IF(ISERROR($H50),"H50",""),IF(ISERROR($J50),"J50",""),IF(ISERROR($K50),"K50",""),IF(ISERROR($O50),"O50",""),IF(ISERROR($P50),"P50",""),IF(ISERROR($Q50),"Q50",""),IF(ISERROR($R50),"R50",""),IF(ISERROR($S50),"S50",""),IF(ISERROR($T50),"T50",""),IF(ISERROR($X50),"X50",""),IF(ISERROR($Y50),"Y50",""),IF(ISERROR($Z50),"Z50",""))</f>
        <v/>
      </c>
      <c r="AV50" t="str">
        <f>_xlfn.TEXTJOIN("; ",TRUE(),IF(IFERROR(NOT(OR($J50="",$J50="Yes",$J50="No")),TRUE()),"Invalid override value (J)",""),IF(IFERROR(IF($E50="",$I50="Yes",NOT(OR($E50="Blocker",$E50="Major",$E50="Moderate",$E50="Minor"))),TRUE()),"Invalid or missing criticality (E)",""),IF(IFERROR(IF($J50&lt;&gt;"",$T50="",FALSE()),TRUE()),"Override rationale missing / invalid (T)",""),IF(IFERROR(IF(AND($A50="2.7",$I50="Yes",p_confidential="Yes"),$E50&lt;&gt;"Blocker",FALSE()),TRUE()),"2.7 must be Blocker when S4 = Yes",""),IF(IFERROR(IF(AND($A50="5.8",$I50="Yes"),OR($E50="Moderate",$E50="Minor"),FALSE()),TRUE()),"5.8 should be at least Major",""),IF(IF(IFERROR(AND($J50="No",$AI50="Yes",OR($AD50="Blocker",AND($A50="2.7",p_confidential="Yes"))),FALSE()),NOT(AND(IFERROR($X50&lt;&gt;"",FALSE()),IFERROR($Y50&lt;&gt;"",FALSE()),IFERROR(AND(ISNUMBER($Z50),$Z50&gt;=DATE(2020,1,1),$Z50&lt;=DATE(2100,12,31)),FALSE()))),FALSE()),"Blocker de-scope review missing / invalid (X-Z)",""),IF(IF(IFERROR(IF(OR($E50="Blocker",$E50="Major",$E50="Moderate",$E50="Minor"),$F50&lt;IF($AD50="Blocker",Lookups!$B$8,IF($AD50="Major",Lookups!$B$9,IF($AD50="Moderate",Lookups!$B$10,Lookups!$B$11))),FALSE()),FALSE()),NOT(AND(IFERROR($T50&lt;&gt;"",FALSE()),IFERROR($Y50&lt;&gt;"",FALSE()),IF(IFERROR($Z50&lt;&gt;"",FALSE()),IFERROR(AND(ISNUMBER($Z50),$Z50&gt;=DATE(2020,1,1),$Z50&lt;=DATE(2100,12,31)),FALSE()),NOT(ISERROR($Z50))))),FALSE()),"Criticality below baseline: review missing / invalid (T,Y,Z)",""))</f>
        <v/>
      </c>
      <c r="AW50" t="str">
        <f t="shared" si="41"/>
        <v/>
      </c>
    </row>
    <row r="51" spans="1:49" ht="30" customHeight="1" x14ac:dyDescent="0.3">
      <c r="A51" s="22" t="s">
        <v>379</v>
      </c>
      <c r="B51" s="23" t="s">
        <v>364</v>
      </c>
      <c r="C51" s="24" t="s">
        <v>185</v>
      </c>
      <c r="D51" s="24" t="s">
        <v>380</v>
      </c>
      <c r="E51" s="25" t="s">
        <v>187</v>
      </c>
      <c r="F51" s="26">
        <f>IFERROR(IF($E51="Blocker",Lookups!$B$8,IF($E51="Major",Lookups!$B$9,IF($E51="Moderate",Lookups!$B$10,IF($E51="Minor",Lookups!$B$11,0)))),0)</f>
        <v>4</v>
      </c>
      <c r="G51" s="16">
        <v>3</v>
      </c>
      <c r="H51" s="16">
        <v>4</v>
      </c>
      <c r="I51" s="27" t="str">
        <f>IFERROR(IF(OR($J51="Yes",$J51="No"),$J51,"Yes"),"Yes")</f>
        <v>Yes</v>
      </c>
      <c r="J51" s="25"/>
      <c r="K51" s="25"/>
      <c r="L51" s="27" t="str">
        <f t="shared" si="21"/>
        <v/>
      </c>
      <c r="M51" s="27">
        <f t="shared" si="22"/>
        <v>48</v>
      </c>
      <c r="N51" s="27" t="str">
        <f t="shared" si="23"/>
        <v/>
      </c>
      <c r="O51" s="25"/>
      <c r="P51" s="25"/>
      <c r="Q51" s="25"/>
      <c r="R51" s="28"/>
      <c r="S51" s="25"/>
      <c r="T51" s="25"/>
      <c r="U51" s="29" t="str">
        <f t="shared" si="24"/>
        <v/>
      </c>
      <c r="V51" s="24" t="s">
        <v>381</v>
      </c>
      <c r="W51" s="24" t="s">
        <v>382</v>
      </c>
      <c r="X51" s="13"/>
      <c r="Y51" s="13"/>
      <c r="Z51" s="14"/>
      <c r="AA51" t="str">
        <f t="shared" si="25"/>
        <v/>
      </c>
      <c r="AB51" t="str">
        <f t="shared" si="26"/>
        <v/>
      </c>
      <c r="AC51" t="str">
        <f t="shared" si="27"/>
        <v/>
      </c>
      <c r="AD51" t="s">
        <v>187</v>
      </c>
      <c r="AF51">
        <f>IF(OR(IFERROR(NOT(OR($J51="",$J51="Yes",$J51="No")),TRUE()),IFERROR(IF($E51="",$I51="Yes",NOT(OR($E51="Blocker",$E51="Major",$E51="Moderate",$E51="Minor"))),TRUE()),IFERROR(IF($J51&lt;&gt;"",$T51="",FALSE()),TRUE()),IFERROR(IF(AND($A51="2.7",$I51="Yes",p_confidential="Yes"),$E51&lt;&gt;"Blocker",FALSE()),TRUE()),IFERROR(IF(AND($A51="5.8",$I51="Yes"),OR($E51="Moderate",$E51="Minor"),FALSE()),TRUE()),IF(IFERROR(AND($J51="No",$AI51="Yes",OR($AD51="Blocker",AND($A51="2.7",p_confidential="Yes"))),FALSE()),NOT(AND(IFERROR($X51&lt;&gt;"",FALSE()),IFERROR($Y51&lt;&gt;"",FALSE()),IFERROR(AND(ISNUMBER($Z51),$Z51&gt;=DATE(2020,1,1),$Z51&lt;=DATE(2100,12,31)),FALSE()))),FALSE()),IF(IFERROR(IF(OR($E51="Blocker",$E51="Major",$E51="Moderate",$E51="Minor"),$F51&lt;IF($AD51="Blocker",Lookups!$B$8,IF($AD51="Major",Lookups!$B$9,IF($AD51="Moderate",Lookups!$B$10,Lookups!$B$11))),FALSE()),FALSE()),NOT(AND(IFERROR($T51&lt;&gt;"",FALSE()),IFERROR($Y51&lt;&gt;"",FALSE()),IF(IFERROR($Z51&lt;&gt;"",FALSE()),IFERROR(AND(ISNUMBER($Z51),$Z51&gt;=DATE(2020,1,1),$Z51&lt;=DATE(2100,12,31)),FALSE()),NOT(ISERROR($Z51))))),FALSE())),1,0)</f>
        <v>0</v>
      </c>
      <c r="AG51">
        <f t="shared" si="28"/>
        <v>0</v>
      </c>
      <c r="AH51" t="str">
        <f t="shared" si="29"/>
        <v/>
      </c>
      <c r="AI51" t="str">
        <f>IFERROR("Yes","Yes")</f>
        <v>Yes</v>
      </c>
      <c r="AJ51">
        <f t="shared" si="30"/>
        <v>0</v>
      </c>
      <c r="AK51">
        <f t="shared" si="31"/>
        <v>0</v>
      </c>
      <c r="AL51">
        <f t="shared" si="32"/>
        <v>0</v>
      </c>
      <c r="AM51">
        <f t="shared" si="33"/>
        <v>0</v>
      </c>
      <c r="AN51">
        <f t="shared" si="34"/>
        <v>0</v>
      </c>
      <c r="AO51">
        <f t="shared" si="35"/>
        <v>0</v>
      </c>
      <c r="AP51">
        <f t="shared" si="36"/>
        <v>0</v>
      </c>
      <c r="AQ51">
        <f t="shared" si="37"/>
        <v>0</v>
      </c>
      <c r="AR51">
        <f t="shared" si="38"/>
        <v>0</v>
      </c>
      <c r="AS51">
        <f t="shared" si="39"/>
        <v>0</v>
      </c>
      <c r="AT51">
        <f t="shared" si="40"/>
        <v>0</v>
      </c>
      <c r="AU51" t="str">
        <f>_xlfn.TEXTJOIN(", ",TRUE(),IF(ISERROR($E51),"E51",""),IF(ISERROR($G51),"G51",""),IF(ISERROR($H51),"H51",""),IF(ISERROR($J51),"J51",""),IF(ISERROR($K51),"K51",""),IF(ISERROR($O51),"O51",""),IF(ISERROR($P51),"P51",""),IF(ISERROR($Q51),"Q51",""),IF(ISERROR($R51),"R51",""),IF(ISERROR($S51),"S51",""),IF(ISERROR($T51),"T51",""),IF(ISERROR($X51),"X51",""),IF(ISERROR($Y51),"Y51",""),IF(ISERROR($Z51),"Z51",""))</f>
        <v/>
      </c>
      <c r="AV51" t="str">
        <f>_xlfn.TEXTJOIN("; ",TRUE(),IF(IFERROR(NOT(OR($J51="",$J51="Yes",$J51="No")),TRUE()),"Invalid override value (J)",""),IF(IFERROR(IF($E51="",$I51="Yes",NOT(OR($E51="Blocker",$E51="Major",$E51="Moderate",$E51="Minor"))),TRUE()),"Invalid or missing criticality (E)",""),IF(IFERROR(IF($J51&lt;&gt;"",$T51="",FALSE()),TRUE()),"Override rationale missing / invalid (T)",""),IF(IFERROR(IF(AND($A51="2.7",$I51="Yes",p_confidential="Yes"),$E51&lt;&gt;"Blocker",FALSE()),TRUE()),"2.7 must be Blocker when S4 = Yes",""),IF(IFERROR(IF(AND($A51="5.8",$I51="Yes"),OR($E51="Moderate",$E51="Minor"),FALSE()),TRUE()),"5.8 should be at least Major",""),IF(IF(IFERROR(AND($J51="No",$AI51="Yes",OR($AD51="Blocker",AND($A51="2.7",p_confidential="Yes"))),FALSE()),NOT(AND(IFERROR($X51&lt;&gt;"",FALSE()),IFERROR($Y51&lt;&gt;"",FALSE()),IFERROR(AND(ISNUMBER($Z51),$Z51&gt;=DATE(2020,1,1),$Z51&lt;=DATE(2100,12,31)),FALSE()))),FALSE()),"Blocker de-scope review missing / invalid (X-Z)",""),IF(IF(IFERROR(IF(OR($E51="Blocker",$E51="Major",$E51="Moderate",$E51="Minor"),$F51&lt;IF($AD51="Blocker",Lookups!$B$8,IF($AD51="Major",Lookups!$B$9,IF($AD51="Moderate",Lookups!$B$10,Lookups!$B$11))),FALSE()),FALSE()),NOT(AND(IFERROR($T51&lt;&gt;"",FALSE()),IFERROR($Y51&lt;&gt;"",FALSE()),IF(IFERROR($Z51&lt;&gt;"",FALSE()),IFERROR(AND(ISNUMBER($Z51),$Z51&gt;=DATE(2020,1,1),$Z51&lt;=DATE(2100,12,31)),FALSE()),NOT(ISERROR($Z51))))),FALSE()),"Criticality below baseline: review missing / invalid (T,Y,Z)",""))</f>
        <v/>
      </c>
      <c r="AW51" t="str">
        <f t="shared" si="41"/>
        <v/>
      </c>
    </row>
    <row r="52" spans="1:49" ht="30" customHeight="1" x14ac:dyDescent="0.3">
      <c r="A52" s="22" t="s">
        <v>383</v>
      </c>
      <c r="B52" s="23" t="s">
        <v>384</v>
      </c>
      <c r="C52" s="24" t="s">
        <v>185</v>
      </c>
      <c r="D52" s="24" t="s">
        <v>385</v>
      </c>
      <c r="E52" s="25" t="s">
        <v>187</v>
      </c>
      <c r="F52" s="26">
        <f>IFERROR(IF($E52="Blocker",Lookups!$B$8,IF($E52="Major",Lookups!$B$9,IF($E52="Moderate",Lookups!$B$10,IF($E52="Minor",Lookups!$B$11,0)))),0)</f>
        <v>4</v>
      </c>
      <c r="G52" s="16">
        <v>3</v>
      </c>
      <c r="H52" s="16">
        <v>4</v>
      </c>
      <c r="I52" s="27" t="str">
        <f>IFERROR(IF(OR($J52="Yes",$J52="No"),$J52,"Yes"),"Yes")</f>
        <v>Yes</v>
      </c>
      <c r="J52" s="25"/>
      <c r="K52" s="25"/>
      <c r="L52" s="27" t="str">
        <f t="shared" si="21"/>
        <v/>
      </c>
      <c r="M52" s="27">
        <f t="shared" si="22"/>
        <v>48</v>
      </c>
      <c r="N52" s="27" t="str">
        <f t="shared" si="23"/>
        <v/>
      </c>
      <c r="O52" s="25"/>
      <c r="P52" s="25"/>
      <c r="Q52" s="25"/>
      <c r="R52" s="28"/>
      <c r="S52" s="25"/>
      <c r="T52" s="25"/>
      <c r="U52" s="29" t="str">
        <f t="shared" si="24"/>
        <v/>
      </c>
      <c r="V52" s="24"/>
      <c r="W52" s="24" t="s">
        <v>386</v>
      </c>
      <c r="X52" s="13"/>
      <c r="Y52" s="13"/>
      <c r="Z52" s="14"/>
      <c r="AA52" t="str">
        <f t="shared" si="25"/>
        <v/>
      </c>
      <c r="AB52" t="str">
        <f t="shared" si="26"/>
        <v/>
      </c>
      <c r="AC52" t="str">
        <f t="shared" si="27"/>
        <v/>
      </c>
      <c r="AD52" t="s">
        <v>187</v>
      </c>
      <c r="AF52">
        <f>IF(OR(IFERROR(NOT(OR($J52="",$J52="Yes",$J52="No")),TRUE()),IFERROR(IF($E52="",$I52="Yes",NOT(OR($E52="Blocker",$E52="Major",$E52="Moderate",$E52="Minor"))),TRUE()),IFERROR(IF($J52&lt;&gt;"",$T52="",FALSE()),TRUE()),IFERROR(IF(AND($A52="2.7",$I52="Yes",p_confidential="Yes"),$E52&lt;&gt;"Blocker",FALSE()),TRUE()),IFERROR(IF(AND($A52="5.8",$I52="Yes"),OR($E52="Moderate",$E52="Minor"),FALSE()),TRUE()),IF(IFERROR(AND($J52="No",$AI52="Yes",OR($AD52="Blocker",AND($A52="2.7",p_confidential="Yes"))),FALSE()),NOT(AND(IFERROR($X52&lt;&gt;"",FALSE()),IFERROR($Y52&lt;&gt;"",FALSE()),IFERROR(AND(ISNUMBER($Z52),$Z52&gt;=DATE(2020,1,1),$Z52&lt;=DATE(2100,12,31)),FALSE()))),FALSE()),IF(IFERROR(IF(OR($E52="Blocker",$E52="Major",$E52="Moderate",$E52="Minor"),$F52&lt;IF($AD52="Blocker",Lookups!$B$8,IF($AD52="Major",Lookups!$B$9,IF($AD52="Moderate",Lookups!$B$10,Lookups!$B$11))),FALSE()),FALSE()),NOT(AND(IFERROR($T52&lt;&gt;"",FALSE()),IFERROR($Y52&lt;&gt;"",FALSE()),IF(IFERROR($Z52&lt;&gt;"",FALSE()),IFERROR(AND(ISNUMBER($Z52),$Z52&gt;=DATE(2020,1,1),$Z52&lt;=DATE(2100,12,31)),FALSE()),NOT(ISERROR($Z52))))),FALSE())),1,0)</f>
        <v>0</v>
      </c>
      <c r="AG52">
        <f t="shared" si="28"/>
        <v>0</v>
      </c>
      <c r="AH52" t="str">
        <f t="shared" si="29"/>
        <v/>
      </c>
      <c r="AI52" t="str">
        <f>IFERROR("Yes","Yes")</f>
        <v>Yes</v>
      </c>
      <c r="AJ52">
        <f t="shared" si="30"/>
        <v>0</v>
      </c>
      <c r="AK52">
        <f t="shared" si="31"/>
        <v>0</v>
      </c>
      <c r="AL52">
        <f t="shared" si="32"/>
        <v>0</v>
      </c>
      <c r="AM52">
        <f t="shared" si="33"/>
        <v>0</v>
      </c>
      <c r="AN52">
        <f t="shared" si="34"/>
        <v>0</v>
      </c>
      <c r="AO52">
        <f t="shared" si="35"/>
        <v>0</v>
      </c>
      <c r="AP52">
        <f t="shared" si="36"/>
        <v>0</v>
      </c>
      <c r="AQ52">
        <f t="shared" si="37"/>
        <v>0</v>
      </c>
      <c r="AR52">
        <f t="shared" si="38"/>
        <v>0</v>
      </c>
      <c r="AS52">
        <f t="shared" si="39"/>
        <v>0</v>
      </c>
      <c r="AT52">
        <f t="shared" si="40"/>
        <v>0</v>
      </c>
      <c r="AU52" t="str">
        <f>_xlfn.TEXTJOIN(", ",TRUE(),IF(ISERROR($E52),"E52",""),IF(ISERROR($G52),"G52",""),IF(ISERROR($H52),"H52",""),IF(ISERROR($J52),"J52",""),IF(ISERROR($K52),"K52",""),IF(ISERROR($O52),"O52",""),IF(ISERROR($P52),"P52",""),IF(ISERROR($Q52),"Q52",""),IF(ISERROR($R52),"R52",""),IF(ISERROR($S52),"S52",""),IF(ISERROR($T52),"T52",""),IF(ISERROR($X52),"X52",""),IF(ISERROR($Y52),"Y52",""),IF(ISERROR($Z52),"Z52",""))</f>
        <v/>
      </c>
      <c r="AV52" t="str">
        <f>_xlfn.TEXTJOIN("; ",TRUE(),IF(IFERROR(NOT(OR($J52="",$J52="Yes",$J52="No")),TRUE()),"Invalid override value (J)",""),IF(IFERROR(IF($E52="",$I52="Yes",NOT(OR($E52="Blocker",$E52="Major",$E52="Moderate",$E52="Minor"))),TRUE()),"Invalid or missing criticality (E)",""),IF(IFERROR(IF($J52&lt;&gt;"",$T52="",FALSE()),TRUE()),"Override rationale missing / invalid (T)",""),IF(IFERROR(IF(AND($A52="2.7",$I52="Yes",p_confidential="Yes"),$E52&lt;&gt;"Blocker",FALSE()),TRUE()),"2.7 must be Blocker when S4 = Yes",""),IF(IFERROR(IF(AND($A52="5.8",$I52="Yes"),OR($E52="Moderate",$E52="Minor"),FALSE()),TRUE()),"5.8 should be at least Major",""),IF(IF(IFERROR(AND($J52="No",$AI52="Yes",OR($AD52="Blocker",AND($A52="2.7",p_confidential="Yes"))),FALSE()),NOT(AND(IFERROR($X52&lt;&gt;"",FALSE()),IFERROR($Y52&lt;&gt;"",FALSE()),IFERROR(AND(ISNUMBER($Z52),$Z52&gt;=DATE(2020,1,1),$Z52&lt;=DATE(2100,12,31)),FALSE()))),FALSE()),"Blocker de-scope review missing / invalid (X-Z)",""),IF(IF(IFERROR(IF(OR($E52="Blocker",$E52="Major",$E52="Moderate",$E52="Minor"),$F52&lt;IF($AD52="Blocker",Lookups!$B$8,IF($AD52="Major",Lookups!$B$9,IF($AD52="Moderate",Lookups!$B$10,Lookups!$B$11))),FALSE()),FALSE()),NOT(AND(IFERROR($T52&lt;&gt;"",FALSE()),IFERROR($Y52&lt;&gt;"",FALSE()),IF(IFERROR($Z52&lt;&gt;"",FALSE()),IFERROR(AND(ISNUMBER($Z52),$Z52&gt;=DATE(2020,1,1),$Z52&lt;=DATE(2100,12,31)),FALSE()),NOT(ISERROR($Z52))))),FALSE()),"Criticality below baseline: review missing / invalid (T,Y,Z)",""))</f>
        <v/>
      </c>
      <c r="AW52" t="str">
        <f t="shared" si="41"/>
        <v/>
      </c>
    </row>
    <row r="53" spans="1:49" ht="30" customHeight="1" x14ac:dyDescent="0.3">
      <c r="A53" s="22" t="s">
        <v>387</v>
      </c>
      <c r="B53" s="23" t="s">
        <v>384</v>
      </c>
      <c r="C53" s="24" t="s">
        <v>220</v>
      </c>
      <c r="D53" s="24" t="s">
        <v>388</v>
      </c>
      <c r="E53" s="25" t="s">
        <v>187</v>
      </c>
      <c r="F53" s="26">
        <f>IFERROR(IF($E53="Blocker",Lookups!$B$8,IF($E53="Major",Lookups!$B$9,IF($E53="Moderate",Lookups!$B$10,IF($E53="Minor",Lookups!$B$11,0)))),0)</f>
        <v>4</v>
      </c>
      <c r="G53" s="16">
        <v>4</v>
      </c>
      <c r="H53" s="16">
        <v>4</v>
      </c>
      <c r="I53" s="27" t="str">
        <f>IFERROR(IF(OR($J53="Yes",$J53="No"),$J53,IF(p_stage="Pilot / PoC","No","Yes")),"Yes")</f>
        <v>Yes</v>
      </c>
      <c r="J53" s="25"/>
      <c r="K53" s="25"/>
      <c r="L53" s="27" t="str">
        <f t="shared" si="21"/>
        <v/>
      </c>
      <c r="M53" s="27">
        <f t="shared" si="22"/>
        <v>64</v>
      </c>
      <c r="N53" s="27" t="str">
        <f t="shared" si="23"/>
        <v/>
      </c>
      <c r="O53" s="25"/>
      <c r="P53" s="25"/>
      <c r="Q53" s="25"/>
      <c r="R53" s="28"/>
      <c r="S53" s="25"/>
      <c r="T53" s="25"/>
      <c r="U53" s="29" t="str">
        <f t="shared" si="24"/>
        <v/>
      </c>
      <c r="V53" s="24"/>
      <c r="W53" s="24" t="s">
        <v>389</v>
      </c>
      <c r="X53" s="13"/>
      <c r="Y53" s="13"/>
      <c r="Z53" s="14"/>
      <c r="AA53" t="str">
        <f t="shared" si="25"/>
        <v/>
      </c>
      <c r="AB53" t="str">
        <f t="shared" si="26"/>
        <v/>
      </c>
      <c r="AC53" t="str">
        <f t="shared" si="27"/>
        <v/>
      </c>
      <c r="AD53" t="s">
        <v>187</v>
      </c>
      <c r="AF53">
        <f>IF(OR(IFERROR(NOT(OR($J53="",$J53="Yes",$J53="No")),TRUE()),IFERROR(IF($E53="",$I53="Yes",NOT(OR($E53="Blocker",$E53="Major",$E53="Moderate",$E53="Minor"))),TRUE()),IFERROR(IF($J53&lt;&gt;"",$T53="",FALSE()),TRUE()),IFERROR(IF(AND($A53="2.7",$I53="Yes",p_confidential="Yes"),$E53&lt;&gt;"Blocker",FALSE()),TRUE()),IFERROR(IF(AND($A53="5.8",$I53="Yes"),OR($E53="Moderate",$E53="Minor"),FALSE()),TRUE()),IF(IFERROR(AND($J53="No",$AI53="Yes",OR($AD53="Blocker",AND($A53="2.7",p_confidential="Yes"))),FALSE()),NOT(AND(IFERROR($X53&lt;&gt;"",FALSE()),IFERROR($Y53&lt;&gt;"",FALSE()),IFERROR(AND(ISNUMBER($Z53),$Z53&gt;=DATE(2020,1,1),$Z53&lt;=DATE(2100,12,31)),FALSE()))),FALSE()),IF(IFERROR(IF(OR($E53="Blocker",$E53="Major",$E53="Moderate",$E53="Minor"),$F53&lt;IF($AD53="Blocker",Lookups!$B$8,IF($AD53="Major",Lookups!$B$9,IF($AD53="Moderate",Lookups!$B$10,Lookups!$B$11))),FALSE()),FALSE()),NOT(AND(IFERROR($T53&lt;&gt;"",FALSE()),IFERROR($Y53&lt;&gt;"",FALSE()),IF(IFERROR($Z53&lt;&gt;"",FALSE()),IFERROR(AND(ISNUMBER($Z53),$Z53&gt;=DATE(2020,1,1),$Z53&lt;=DATE(2100,12,31)),FALSE()),NOT(ISERROR($Z53))))),FALSE())),1,0)</f>
        <v>0</v>
      </c>
      <c r="AG53">
        <f t="shared" si="28"/>
        <v>0</v>
      </c>
      <c r="AH53" t="str">
        <f t="shared" si="29"/>
        <v/>
      </c>
      <c r="AI53" t="str">
        <f>IFERROR(IF(p_stage="Pilot / PoC","No","Yes"),"Yes")</f>
        <v>Yes</v>
      </c>
      <c r="AJ53">
        <f t="shared" si="30"/>
        <v>0</v>
      </c>
      <c r="AK53">
        <f t="shared" si="31"/>
        <v>0</v>
      </c>
      <c r="AL53">
        <f t="shared" si="32"/>
        <v>0</v>
      </c>
      <c r="AM53">
        <f t="shared" si="33"/>
        <v>0</v>
      </c>
      <c r="AN53">
        <f t="shared" si="34"/>
        <v>0</v>
      </c>
      <c r="AO53">
        <f t="shared" si="35"/>
        <v>0</v>
      </c>
      <c r="AP53">
        <f t="shared" si="36"/>
        <v>0</v>
      </c>
      <c r="AQ53">
        <f t="shared" si="37"/>
        <v>0</v>
      </c>
      <c r="AR53">
        <f t="shared" si="38"/>
        <v>0</v>
      </c>
      <c r="AS53">
        <f t="shared" si="39"/>
        <v>0</v>
      </c>
      <c r="AT53">
        <f t="shared" si="40"/>
        <v>0</v>
      </c>
      <c r="AU53" t="str">
        <f>_xlfn.TEXTJOIN(", ",TRUE(),IF(ISERROR($E53),"E53",""),IF(ISERROR($G53),"G53",""),IF(ISERROR($H53),"H53",""),IF(ISERROR($J53),"J53",""),IF(ISERROR($K53),"K53",""),IF(ISERROR($O53),"O53",""),IF(ISERROR($P53),"P53",""),IF(ISERROR($Q53),"Q53",""),IF(ISERROR($R53),"R53",""),IF(ISERROR($S53),"S53",""),IF(ISERROR($T53),"T53",""),IF(ISERROR($X53),"X53",""),IF(ISERROR($Y53),"Y53",""),IF(ISERROR($Z53),"Z53",""))</f>
        <v/>
      </c>
      <c r="AV53" t="str">
        <f>_xlfn.TEXTJOIN("; ",TRUE(),IF(IFERROR(NOT(OR($J53="",$J53="Yes",$J53="No")),TRUE()),"Invalid override value (J)",""),IF(IFERROR(IF($E53="",$I53="Yes",NOT(OR($E53="Blocker",$E53="Major",$E53="Moderate",$E53="Minor"))),TRUE()),"Invalid or missing criticality (E)",""),IF(IFERROR(IF($J53&lt;&gt;"",$T53="",FALSE()),TRUE()),"Override rationale missing / invalid (T)",""),IF(IFERROR(IF(AND($A53="2.7",$I53="Yes",p_confidential="Yes"),$E53&lt;&gt;"Blocker",FALSE()),TRUE()),"2.7 must be Blocker when S4 = Yes",""),IF(IFERROR(IF(AND($A53="5.8",$I53="Yes"),OR($E53="Moderate",$E53="Minor"),FALSE()),TRUE()),"5.8 should be at least Major",""),IF(IF(IFERROR(AND($J53="No",$AI53="Yes",OR($AD53="Blocker",AND($A53="2.7",p_confidential="Yes"))),FALSE()),NOT(AND(IFERROR($X53&lt;&gt;"",FALSE()),IFERROR($Y53&lt;&gt;"",FALSE()),IFERROR(AND(ISNUMBER($Z53),$Z53&gt;=DATE(2020,1,1),$Z53&lt;=DATE(2100,12,31)),FALSE()))),FALSE()),"Blocker de-scope review missing / invalid (X-Z)",""),IF(IF(IFERROR(IF(OR($E53="Blocker",$E53="Major",$E53="Moderate",$E53="Minor"),$F53&lt;IF($AD53="Blocker",Lookups!$B$8,IF($AD53="Major",Lookups!$B$9,IF($AD53="Moderate",Lookups!$B$10,Lookups!$B$11))),FALSE()),FALSE()),NOT(AND(IFERROR($T53&lt;&gt;"",FALSE()),IFERROR($Y53&lt;&gt;"",FALSE()),IF(IFERROR($Z53&lt;&gt;"",FALSE()),IFERROR(AND(ISNUMBER($Z53),$Z53&gt;=DATE(2020,1,1),$Z53&lt;=DATE(2100,12,31)),FALSE()),NOT(ISERROR($Z53))))),FALSE()),"Criticality below baseline: review missing / invalid (T,Y,Z)",""))</f>
        <v/>
      </c>
      <c r="AW53" t="str">
        <f t="shared" si="41"/>
        <v/>
      </c>
    </row>
    <row r="54" spans="1:49" ht="45" customHeight="1" x14ac:dyDescent="0.3">
      <c r="A54" s="22" t="s">
        <v>390</v>
      </c>
      <c r="B54" s="23" t="s">
        <v>384</v>
      </c>
      <c r="C54" s="24" t="s">
        <v>185</v>
      </c>
      <c r="D54" s="24" t="s">
        <v>391</v>
      </c>
      <c r="E54" s="25" t="s">
        <v>191</v>
      </c>
      <c r="F54" s="26">
        <f>IFERROR(IF($E54="Blocker",Lookups!$B$8,IF($E54="Major",Lookups!$B$9,IF($E54="Moderate",Lookups!$B$10,IF($E54="Minor",Lookups!$B$11,0)))),0)</f>
        <v>5</v>
      </c>
      <c r="G54" s="16">
        <v>3</v>
      </c>
      <c r="H54" s="16">
        <v>5</v>
      </c>
      <c r="I54" s="27" t="str">
        <f>IFERROR(IF(OR($J54="Yes",$J54="No"),$J54,"Yes"),"Yes")</f>
        <v>Yes</v>
      </c>
      <c r="J54" s="25"/>
      <c r="K54" s="25"/>
      <c r="L54" s="27" t="str">
        <f t="shared" si="21"/>
        <v/>
      </c>
      <c r="M54" s="27">
        <f t="shared" si="22"/>
        <v>75</v>
      </c>
      <c r="N54" s="27" t="str">
        <f t="shared" si="23"/>
        <v/>
      </c>
      <c r="O54" s="25"/>
      <c r="P54" s="25"/>
      <c r="Q54" s="25"/>
      <c r="R54" s="28"/>
      <c r="S54" s="25"/>
      <c r="T54" s="25"/>
      <c r="U54" s="29" t="str">
        <f t="shared" si="24"/>
        <v/>
      </c>
      <c r="V54" s="24"/>
      <c r="W54" s="24" t="s">
        <v>392</v>
      </c>
      <c r="X54" s="13"/>
      <c r="Y54" s="13"/>
      <c r="Z54" s="14"/>
      <c r="AA54" t="str">
        <f t="shared" si="25"/>
        <v/>
      </c>
      <c r="AB54" t="str">
        <f t="shared" si="26"/>
        <v/>
      </c>
      <c r="AC54" t="str">
        <f t="shared" si="27"/>
        <v/>
      </c>
      <c r="AD54" t="s">
        <v>191</v>
      </c>
      <c r="AF54">
        <f>IF(OR(IFERROR(NOT(OR($J54="",$J54="Yes",$J54="No")),TRUE()),IFERROR(IF($E54="",$I54="Yes",NOT(OR($E54="Blocker",$E54="Major",$E54="Moderate",$E54="Minor"))),TRUE()),IFERROR(IF($J54&lt;&gt;"",$T54="",FALSE()),TRUE()),IFERROR(IF(AND($A54="2.7",$I54="Yes",p_confidential="Yes"),$E54&lt;&gt;"Blocker",FALSE()),TRUE()),IFERROR(IF(AND($A54="5.8",$I54="Yes"),OR($E54="Moderate",$E54="Minor"),FALSE()),TRUE()),IF(IFERROR(AND($J54="No",$AI54="Yes",OR($AD54="Blocker",AND($A54="2.7",p_confidential="Yes"))),FALSE()),NOT(AND(IFERROR($X54&lt;&gt;"",FALSE()),IFERROR($Y54&lt;&gt;"",FALSE()),IFERROR(AND(ISNUMBER($Z54),$Z54&gt;=DATE(2020,1,1),$Z54&lt;=DATE(2100,12,31)),FALSE()))),FALSE()),IF(IFERROR(IF(OR($E54="Blocker",$E54="Major",$E54="Moderate",$E54="Minor"),$F54&lt;IF($AD54="Blocker",Lookups!$B$8,IF($AD54="Major",Lookups!$B$9,IF($AD54="Moderate",Lookups!$B$10,Lookups!$B$11))),FALSE()),FALSE()),NOT(AND(IFERROR($T54&lt;&gt;"",FALSE()),IFERROR($Y54&lt;&gt;"",FALSE()),IF(IFERROR($Z54&lt;&gt;"",FALSE()),IFERROR(AND(ISNUMBER($Z54),$Z54&gt;=DATE(2020,1,1),$Z54&lt;=DATE(2100,12,31)),FALSE()),NOT(ISERROR($Z54))))),FALSE())),1,0)</f>
        <v>0</v>
      </c>
      <c r="AG54">
        <f t="shared" si="28"/>
        <v>0</v>
      </c>
      <c r="AH54" t="str">
        <f t="shared" si="29"/>
        <v/>
      </c>
      <c r="AI54" t="str">
        <f>IFERROR("Yes","Yes")</f>
        <v>Yes</v>
      </c>
      <c r="AJ54">
        <f t="shared" si="30"/>
        <v>0</v>
      </c>
      <c r="AK54">
        <f t="shared" si="31"/>
        <v>0</v>
      </c>
      <c r="AL54">
        <f t="shared" si="32"/>
        <v>0</v>
      </c>
      <c r="AM54">
        <f t="shared" si="33"/>
        <v>0</v>
      </c>
      <c r="AN54">
        <f t="shared" si="34"/>
        <v>0</v>
      </c>
      <c r="AO54">
        <f t="shared" si="35"/>
        <v>0</v>
      </c>
      <c r="AP54">
        <f t="shared" si="36"/>
        <v>0</v>
      </c>
      <c r="AQ54">
        <f t="shared" si="37"/>
        <v>0</v>
      </c>
      <c r="AR54">
        <f t="shared" si="38"/>
        <v>0</v>
      </c>
      <c r="AS54">
        <f t="shared" si="39"/>
        <v>0</v>
      </c>
      <c r="AT54">
        <f t="shared" si="40"/>
        <v>0</v>
      </c>
      <c r="AU54" t="str">
        <f>_xlfn.TEXTJOIN(", ",TRUE(),IF(ISERROR($E54),"E54",""),IF(ISERROR($G54),"G54",""),IF(ISERROR($H54),"H54",""),IF(ISERROR($J54),"J54",""),IF(ISERROR($K54),"K54",""),IF(ISERROR($O54),"O54",""),IF(ISERROR($P54),"P54",""),IF(ISERROR($Q54),"Q54",""),IF(ISERROR($R54),"R54",""),IF(ISERROR($S54),"S54",""),IF(ISERROR($T54),"T54",""),IF(ISERROR($X54),"X54",""),IF(ISERROR($Y54),"Y54",""),IF(ISERROR($Z54),"Z54",""))</f>
        <v/>
      </c>
      <c r="AV54" t="str">
        <f>_xlfn.TEXTJOIN("; ",TRUE(),IF(IFERROR(NOT(OR($J54="",$J54="Yes",$J54="No")),TRUE()),"Invalid override value (J)",""),IF(IFERROR(IF($E54="",$I54="Yes",NOT(OR($E54="Blocker",$E54="Major",$E54="Moderate",$E54="Minor"))),TRUE()),"Invalid or missing criticality (E)",""),IF(IFERROR(IF($J54&lt;&gt;"",$T54="",FALSE()),TRUE()),"Override rationale missing / invalid (T)",""),IF(IFERROR(IF(AND($A54="2.7",$I54="Yes",p_confidential="Yes"),$E54&lt;&gt;"Blocker",FALSE()),TRUE()),"2.7 must be Blocker when S4 = Yes",""),IF(IFERROR(IF(AND($A54="5.8",$I54="Yes"),OR($E54="Moderate",$E54="Minor"),FALSE()),TRUE()),"5.8 should be at least Major",""),IF(IF(IFERROR(AND($J54="No",$AI54="Yes",OR($AD54="Blocker",AND($A54="2.7",p_confidential="Yes"))),FALSE()),NOT(AND(IFERROR($X54&lt;&gt;"",FALSE()),IFERROR($Y54&lt;&gt;"",FALSE()),IFERROR(AND(ISNUMBER($Z54),$Z54&gt;=DATE(2020,1,1),$Z54&lt;=DATE(2100,12,31)),FALSE()))),FALSE()),"Blocker de-scope review missing / invalid (X-Z)",""),IF(IF(IFERROR(IF(OR($E54="Blocker",$E54="Major",$E54="Moderate",$E54="Minor"),$F54&lt;IF($AD54="Blocker",Lookups!$B$8,IF($AD54="Major",Lookups!$B$9,IF($AD54="Moderate",Lookups!$B$10,Lookups!$B$11))),FALSE()),FALSE()),NOT(AND(IFERROR($T54&lt;&gt;"",FALSE()),IFERROR($Y54&lt;&gt;"",FALSE()),IF(IFERROR($Z54&lt;&gt;"",FALSE()),IFERROR(AND(ISNUMBER($Z54),$Z54&gt;=DATE(2020,1,1),$Z54&lt;=DATE(2100,12,31)),FALSE()),NOT(ISERROR($Z54))))),FALSE()),"Criticality below baseline: review missing / invalid (T,Y,Z)",""))</f>
        <v/>
      </c>
      <c r="AW54" t="str">
        <f t="shared" si="41"/>
        <v/>
      </c>
    </row>
    <row r="55" spans="1:49" ht="45" customHeight="1" x14ac:dyDescent="0.3">
      <c r="A55" s="22" t="s">
        <v>393</v>
      </c>
      <c r="B55" s="23" t="s">
        <v>384</v>
      </c>
      <c r="C55" s="24" t="s">
        <v>185</v>
      </c>
      <c r="D55" s="24" t="s">
        <v>394</v>
      </c>
      <c r="E55" s="25" t="s">
        <v>187</v>
      </c>
      <c r="F55" s="26">
        <f>IFERROR(IF($E55="Blocker",Lookups!$B$8,IF($E55="Major",Lookups!$B$9,IF($E55="Moderate",Lookups!$B$10,IF($E55="Minor",Lookups!$B$11,0)))),0)</f>
        <v>4</v>
      </c>
      <c r="G55" s="16">
        <v>3</v>
      </c>
      <c r="H55" s="16">
        <v>4</v>
      </c>
      <c r="I55" s="27" t="str">
        <f>IFERROR(IF(OR($J55="Yes",$J55="No"),$J55,"Yes"),"Yes")</f>
        <v>Yes</v>
      </c>
      <c r="J55" s="25"/>
      <c r="K55" s="25"/>
      <c r="L55" s="27" t="str">
        <f t="shared" si="21"/>
        <v/>
      </c>
      <c r="M55" s="27">
        <f t="shared" si="22"/>
        <v>48</v>
      </c>
      <c r="N55" s="27" t="str">
        <f t="shared" si="23"/>
        <v/>
      </c>
      <c r="O55" s="25"/>
      <c r="P55" s="25"/>
      <c r="Q55" s="25"/>
      <c r="R55" s="28"/>
      <c r="S55" s="25"/>
      <c r="T55" s="25"/>
      <c r="U55" s="29" t="str">
        <f t="shared" si="24"/>
        <v/>
      </c>
      <c r="V55" s="24"/>
      <c r="W55" s="24" t="s">
        <v>395</v>
      </c>
      <c r="X55" s="13"/>
      <c r="Y55" s="13"/>
      <c r="Z55" s="14"/>
      <c r="AA55" t="str">
        <f t="shared" si="25"/>
        <v/>
      </c>
      <c r="AB55" t="str">
        <f t="shared" si="26"/>
        <v/>
      </c>
      <c r="AC55" t="str">
        <f t="shared" si="27"/>
        <v/>
      </c>
      <c r="AD55" t="s">
        <v>187</v>
      </c>
      <c r="AF55">
        <f>IF(OR(IFERROR(NOT(OR($J55="",$J55="Yes",$J55="No")),TRUE()),IFERROR(IF($E55="",$I55="Yes",NOT(OR($E55="Blocker",$E55="Major",$E55="Moderate",$E55="Minor"))),TRUE()),IFERROR(IF($J55&lt;&gt;"",$T55="",FALSE()),TRUE()),IFERROR(IF(AND($A55="2.7",$I55="Yes",p_confidential="Yes"),$E55&lt;&gt;"Blocker",FALSE()),TRUE()),IFERROR(IF(AND($A55="5.8",$I55="Yes"),OR($E55="Moderate",$E55="Minor"),FALSE()),TRUE()),IF(IFERROR(AND($J55="No",$AI55="Yes",OR($AD55="Blocker",AND($A55="2.7",p_confidential="Yes"))),FALSE()),NOT(AND(IFERROR($X55&lt;&gt;"",FALSE()),IFERROR($Y55&lt;&gt;"",FALSE()),IFERROR(AND(ISNUMBER($Z55),$Z55&gt;=DATE(2020,1,1),$Z55&lt;=DATE(2100,12,31)),FALSE()))),FALSE()),IF(IFERROR(IF(OR($E55="Blocker",$E55="Major",$E55="Moderate",$E55="Minor"),$F55&lt;IF($AD55="Blocker",Lookups!$B$8,IF($AD55="Major",Lookups!$B$9,IF($AD55="Moderate",Lookups!$B$10,Lookups!$B$11))),FALSE()),FALSE()),NOT(AND(IFERROR($T55&lt;&gt;"",FALSE()),IFERROR($Y55&lt;&gt;"",FALSE()),IF(IFERROR($Z55&lt;&gt;"",FALSE()),IFERROR(AND(ISNUMBER($Z55),$Z55&gt;=DATE(2020,1,1),$Z55&lt;=DATE(2100,12,31)),FALSE()),NOT(ISERROR($Z55))))),FALSE())),1,0)</f>
        <v>0</v>
      </c>
      <c r="AG55">
        <f t="shared" si="28"/>
        <v>0</v>
      </c>
      <c r="AH55" t="str">
        <f t="shared" si="29"/>
        <v/>
      </c>
      <c r="AI55" t="str">
        <f>IFERROR("Yes","Yes")</f>
        <v>Yes</v>
      </c>
      <c r="AJ55">
        <f t="shared" si="30"/>
        <v>0</v>
      </c>
      <c r="AK55">
        <f t="shared" si="31"/>
        <v>0</v>
      </c>
      <c r="AL55">
        <f t="shared" si="32"/>
        <v>0</v>
      </c>
      <c r="AM55">
        <f t="shared" si="33"/>
        <v>0</v>
      </c>
      <c r="AN55">
        <f t="shared" si="34"/>
        <v>0</v>
      </c>
      <c r="AO55">
        <f t="shared" si="35"/>
        <v>0</v>
      </c>
      <c r="AP55">
        <f t="shared" si="36"/>
        <v>0</v>
      </c>
      <c r="AQ55">
        <f t="shared" si="37"/>
        <v>0</v>
      </c>
      <c r="AR55">
        <f t="shared" si="38"/>
        <v>0</v>
      </c>
      <c r="AS55">
        <f t="shared" si="39"/>
        <v>0</v>
      </c>
      <c r="AT55">
        <f t="shared" si="40"/>
        <v>0</v>
      </c>
      <c r="AU55" t="str">
        <f>_xlfn.TEXTJOIN(", ",TRUE(),IF(ISERROR($E55),"E55",""),IF(ISERROR($G55),"G55",""),IF(ISERROR($H55),"H55",""),IF(ISERROR($J55),"J55",""),IF(ISERROR($K55),"K55",""),IF(ISERROR($O55),"O55",""),IF(ISERROR($P55),"P55",""),IF(ISERROR($Q55),"Q55",""),IF(ISERROR($R55),"R55",""),IF(ISERROR($S55),"S55",""),IF(ISERROR($T55),"T55",""),IF(ISERROR($X55),"X55",""),IF(ISERROR($Y55),"Y55",""),IF(ISERROR($Z55),"Z55",""))</f>
        <v/>
      </c>
      <c r="AV55" t="str">
        <f>_xlfn.TEXTJOIN("; ",TRUE(),IF(IFERROR(NOT(OR($J55="",$J55="Yes",$J55="No")),TRUE()),"Invalid override value (J)",""),IF(IFERROR(IF($E55="",$I55="Yes",NOT(OR($E55="Blocker",$E55="Major",$E55="Moderate",$E55="Minor"))),TRUE()),"Invalid or missing criticality (E)",""),IF(IFERROR(IF($J55&lt;&gt;"",$T55="",FALSE()),TRUE()),"Override rationale missing / invalid (T)",""),IF(IFERROR(IF(AND($A55="2.7",$I55="Yes",p_confidential="Yes"),$E55&lt;&gt;"Blocker",FALSE()),TRUE()),"2.7 must be Blocker when S4 = Yes",""),IF(IFERROR(IF(AND($A55="5.8",$I55="Yes"),OR($E55="Moderate",$E55="Minor"),FALSE()),TRUE()),"5.8 should be at least Major",""),IF(IF(IFERROR(AND($J55="No",$AI55="Yes",OR($AD55="Blocker",AND($A55="2.7",p_confidential="Yes"))),FALSE()),NOT(AND(IFERROR($X55&lt;&gt;"",FALSE()),IFERROR($Y55&lt;&gt;"",FALSE()),IFERROR(AND(ISNUMBER($Z55),$Z55&gt;=DATE(2020,1,1),$Z55&lt;=DATE(2100,12,31)),FALSE()))),FALSE()),"Blocker de-scope review missing / invalid (X-Z)",""),IF(IF(IFERROR(IF(OR($E55="Blocker",$E55="Major",$E55="Moderate",$E55="Minor"),$F55&lt;IF($AD55="Blocker",Lookups!$B$8,IF($AD55="Major",Lookups!$B$9,IF($AD55="Moderate",Lookups!$B$10,Lookups!$B$11))),FALSE()),FALSE()),NOT(AND(IFERROR($T55&lt;&gt;"",FALSE()),IFERROR($Y55&lt;&gt;"",FALSE()),IF(IFERROR($Z55&lt;&gt;"",FALSE()),IFERROR(AND(ISNUMBER($Z55),$Z55&gt;=DATE(2020,1,1),$Z55&lt;=DATE(2100,12,31)),FALSE()),NOT(ISERROR($Z55))))),FALSE()),"Criticality below baseline: review missing / invalid (T,Y,Z)",""))</f>
        <v/>
      </c>
      <c r="AW55" t="str">
        <f t="shared" si="41"/>
        <v/>
      </c>
    </row>
    <row r="56" spans="1:49" ht="30" customHeight="1" x14ac:dyDescent="0.3">
      <c r="A56" s="22" t="s">
        <v>396</v>
      </c>
      <c r="B56" s="23" t="s">
        <v>384</v>
      </c>
      <c r="C56" s="24" t="s">
        <v>220</v>
      </c>
      <c r="D56" s="24" t="s">
        <v>397</v>
      </c>
      <c r="E56" s="25" t="s">
        <v>187</v>
      </c>
      <c r="F56" s="26">
        <f>IFERROR(IF($E56="Blocker",Lookups!$B$8,IF($E56="Major",Lookups!$B$9,IF($E56="Moderate",Lookups!$B$10,IF($E56="Minor",Lookups!$B$11,0)))),0)</f>
        <v>4</v>
      </c>
      <c r="G56" s="16">
        <v>3</v>
      </c>
      <c r="H56" s="16">
        <v>4</v>
      </c>
      <c r="I56" s="27" t="str">
        <f>IFERROR(IF(OR($J56="Yes",$J56="No"),$J56,IF(p_stage="Pilot / PoC","No","Yes")),"Yes")</f>
        <v>Yes</v>
      </c>
      <c r="J56" s="25"/>
      <c r="K56" s="25"/>
      <c r="L56" s="27" t="str">
        <f t="shared" si="21"/>
        <v/>
      </c>
      <c r="M56" s="27">
        <f t="shared" si="22"/>
        <v>48</v>
      </c>
      <c r="N56" s="27" t="str">
        <f t="shared" si="23"/>
        <v/>
      </c>
      <c r="O56" s="25"/>
      <c r="P56" s="25"/>
      <c r="Q56" s="25"/>
      <c r="R56" s="28"/>
      <c r="S56" s="25"/>
      <c r="T56" s="25"/>
      <c r="U56" s="29" t="str">
        <f t="shared" si="24"/>
        <v/>
      </c>
      <c r="V56" s="24"/>
      <c r="W56" s="24" t="s">
        <v>398</v>
      </c>
      <c r="X56" s="13"/>
      <c r="Y56" s="13"/>
      <c r="Z56" s="14"/>
      <c r="AA56" t="str">
        <f t="shared" si="25"/>
        <v/>
      </c>
      <c r="AB56" t="str">
        <f t="shared" si="26"/>
        <v/>
      </c>
      <c r="AC56" t="str">
        <f t="shared" si="27"/>
        <v/>
      </c>
      <c r="AD56" t="s">
        <v>187</v>
      </c>
      <c r="AF56">
        <f>IF(OR(IFERROR(NOT(OR($J56="",$J56="Yes",$J56="No")),TRUE()),IFERROR(IF($E56="",$I56="Yes",NOT(OR($E56="Blocker",$E56="Major",$E56="Moderate",$E56="Minor"))),TRUE()),IFERROR(IF($J56&lt;&gt;"",$T56="",FALSE()),TRUE()),IFERROR(IF(AND($A56="2.7",$I56="Yes",p_confidential="Yes"),$E56&lt;&gt;"Blocker",FALSE()),TRUE()),IFERROR(IF(AND($A56="5.8",$I56="Yes"),OR($E56="Moderate",$E56="Minor"),FALSE()),TRUE()),IF(IFERROR(AND($J56="No",$AI56="Yes",OR($AD56="Blocker",AND($A56="2.7",p_confidential="Yes"))),FALSE()),NOT(AND(IFERROR($X56&lt;&gt;"",FALSE()),IFERROR($Y56&lt;&gt;"",FALSE()),IFERROR(AND(ISNUMBER($Z56),$Z56&gt;=DATE(2020,1,1),$Z56&lt;=DATE(2100,12,31)),FALSE()))),FALSE()),IF(IFERROR(IF(OR($E56="Blocker",$E56="Major",$E56="Moderate",$E56="Minor"),$F56&lt;IF($AD56="Blocker",Lookups!$B$8,IF($AD56="Major",Lookups!$B$9,IF($AD56="Moderate",Lookups!$B$10,Lookups!$B$11))),FALSE()),FALSE()),NOT(AND(IFERROR($T56&lt;&gt;"",FALSE()),IFERROR($Y56&lt;&gt;"",FALSE()),IF(IFERROR($Z56&lt;&gt;"",FALSE()),IFERROR(AND(ISNUMBER($Z56),$Z56&gt;=DATE(2020,1,1),$Z56&lt;=DATE(2100,12,31)),FALSE()),NOT(ISERROR($Z56))))),FALSE())),1,0)</f>
        <v>0</v>
      </c>
      <c r="AG56">
        <f t="shared" si="28"/>
        <v>0</v>
      </c>
      <c r="AH56" t="str">
        <f t="shared" si="29"/>
        <v/>
      </c>
      <c r="AI56" t="str">
        <f>IFERROR(IF(p_stage="Pilot / PoC","No","Yes"),"Yes")</f>
        <v>Yes</v>
      </c>
      <c r="AJ56">
        <f t="shared" si="30"/>
        <v>0</v>
      </c>
      <c r="AK56">
        <f t="shared" si="31"/>
        <v>0</v>
      </c>
      <c r="AL56">
        <f t="shared" si="32"/>
        <v>0</v>
      </c>
      <c r="AM56">
        <f t="shared" si="33"/>
        <v>0</v>
      </c>
      <c r="AN56">
        <f t="shared" si="34"/>
        <v>0</v>
      </c>
      <c r="AO56">
        <f t="shared" si="35"/>
        <v>0</v>
      </c>
      <c r="AP56">
        <f t="shared" si="36"/>
        <v>0</v>
      </c>
      <c r="AQ56">
        <f t="shared" si="37"/>
        <v>0</v>
      </c>
      <c r="AR56">
        <f t="shared" si="38"/>
        <v>0</v>
      </c>
      <c r="AS56">
        <f t="shared" si="39"/>
        <v>0</v>
      </c>
      <c r="AT56">
        <f t="shared" si="40"/>
        <v>0</v>
      </c>
      <c r="AU56" t="str">
        <f>_xlfn.TEXTJOIN(", ",TRUE(),IF(ISERROR($E56),"E56",""),IF(ISERROR($G56),"G56",""),IF(ISERROR($H56),"H56",""),IF(ISERROR($J56),"J56",""),IF(ISERROR($K56),"K56",""),IF(ISERROR($O56),"O56",""),IF(ISERROR($P56),"P56",""),IF(ISERROR($Q56),"Q56",""),IF(ISERROR($R56),"R56",""),IF(ISERROR($S56),"S56",""),IF(ISERROR($T56),"T56",""),IF(ISERROR($X56),"X56",""),IF(ISERROR($Y56),"Y56",""),IF(ISERROR($Z56),"Z56",""))</f>
        <v/>
      </c>
      <c r="AV56" t="str">
        <f>_xlfn.TEXTJOIN("; ",TRUE(),IF(IFERROR(NOT(OR($J56="",$J56="Yes",$J56="No")),TRUE()),"Invalid override value (J)",""),IF(IFERROR(IF($E56="",$I56="Yes",NOT(OR($E56="Blocker",$E56="Major",$E56="Moderate",$E56="Minor"))),TRUE()),"Invalid or missing criticality (E)",""),IF(IFERROR(IF($J56&lt;&gt;"",$T56="",FALSE()),TRUE()),"Override rationale missing / invalid (T)",""),IF(IFERROR(IF(AND($A56="2.7",$I56="Yes",p_confidential="Yes"),$E56&lt;&gt;"Blocker",FALSE()),TRUE()),"2.7 must be Blocker when S4 = Yes",""),IF(IFERROR(IF(AND($A56="5.8",$I56="Yes"),OR($E56="Moderate",$E56="Minor"),FALSE()),TRUE()),"5.8 should be at least Major",""),IF(IF(IFERROR(AND($J56="No",$AI56="Yes",OR($AD56="Blocker",AND($A56="2.7",p_confidential="Yes"))),FALSE()),NOT(AND(IFERROR($X56&lt;&gt;"",FALSE()),IFERROR($Y56&lt;&gt;"",FALSE()),IFERROR(AND(ISNUMBER($Z56),$Z56&gt;=DATE(2020,1,1),$Z56&lt;=DATE(2100,12,31)),FALSE()))),FALSE()),"Blocker de-scope review missing / invalid (X-Z)",""),IF(IF(IFERROR(IF(OR($E56="Blocker",$E56="Major",$E56="Moderate",$E56="Minor"),$F56&lt;IF($AD56="Blocker",Lookups!$B$8,IF($AD56="Major",Lookups!$B$9,IF($AD56="Moderate",Lookups!$B$10,Lookups!$B$11))),FALSE()),FALSE()),NOT(AND(IFERROR($T56&lt;&gt;"",FALSE()),IFERROR($Y56&lt;&gt;"",FALSE()),IF(IFERROR($Z56&lt;&gt;"",FALSE()),IFERROR(AND(ISNUMBER($Z56),$Z56&gt;=DATE(2020,1,1),$Z56&lt;=DATE(2100,12,31)),FALSE()),NOT(ISERROR($Z56))))),FALSE()),"Criticality below baseline: review missing / invalid (T,Y,Z)",""))</f>
        <v/>
      </c>
      <c r="AW56" t="str">
        <f t="shared" si="41"/>
        <v/>
      </c>
    </row>
    <row r="57" spans="1:49" ht="45" customHeight="1" x14ac:dyDescent="0.3">
      <c r="A57" s="22" t="s">
        <v>399</v>
      </c>
      <c r="B57" s="23" t="s">
        <v>400</v>
      </c>
      <c r="C57" s="24" t="s">
        <v>202</v>
      </c>
      <c r="D57" s="24" t="s">
        <v>401</v>
      </c>
      <c r="E57" s="25" t="s">
        <v>187</v>
      </c>
      <c r="F57" s="26">
        <f>IFERROR(IF($E57="Blocker",Lookups!$B$8,IF($E57="Major",Lookups!$B$9,IF($E57="Moderate",Lookups!$B$10,IF($E57="Minor",Lookups!$B$11,0)))),0)</f>
        <v>4</v>
      </c>
      <c r="G57" s="16">
        <v>3</v>
      </c>
      <c r="H57" s="16">
        <v>4</v>
      </c>
      <c r="I57" s="27" t="str">
        <f>IFERROR(IF(OR($J57="Yes",$J57="No"),$J57,IF(p_autonomy="None (chat or single completions)","No","Yes")),"Yes")</f>
        <v>Yes</v>
      </c>
      <c r="J57" s="25"/>
      <c r="K57" s="25"/>
      <c r="L57" s="27" t="str">
        <f t="shared" si="21"/>
        <v/>
      </c>
      <c r="M57" s="27">
        <f t="shared" si="22"/>
        <v>48</v>
      </c>
      <c r="N57" s="27" t="str">
        <f t="shared" si="23"/>
        <v/>
      </c>
      <c r="O57" s="25"/>
      <c r="P57" s="25"/>
      <c r="Q57" s="25"/>
      <c r="R57" s="28"/>
      <c r="S57" s="25"/>
      <c r="T57" s="25"/>
      <c r="U57" s="29" t="str">
        <f t="shared" si="24"/>
        <v/>
      </c>
      <c r="V57" s="24"/>
      <c r="W57" s="24" t="s">
        <v>402</v>
      </c>
      <c r="X57" s="13"/>
      <c r="Y57" s="13"/>
      <c r="Z57" s="14"/>
      <c r="AA57" t="str">
        <f t="shared" si="25"/>
        <v/>
      </c>
      <c r="AB57" t="str">
        <f t="shared" si="26"/>
        <v/>
      </c>
      <c r="AC57" t="str">
        <f t="shared" si="27"/>
        <v/>
      </c>
      <c r="AD57" t="s">
        <v>187</v>
      </c>
      <c r="AF57">
        <f>IF(OR(IFERROR(NOT(OR($J57="",$J57="Yes",$J57="No")),TRUE()),IFERROR(IF($E57="",$I57="Yes",NOT(OR($E57="Blocker",$E57="Major",$E57="Moderate",$E57="Minor"))),TRUE()),IFERROR(IF($J57&lt;&gt;"",$T57="",FALSE()),TRUE()),IFERROR(IF(AND($A57="2.7",$I57="Yes",p_confidential="Yes"),$E57&lt;&gt;"Blocker",FALSE()),TRUE()),IFERROR(IF(AND($A57="5.8",$I57="Yes"),OR($E57="Moderate",$E57="Minor"),FALSE()),TRUE()),IF(IFERROR(AND($J57="No",$AI57="Yes",OR($AD57="Blocker",AND($A57="2.7",p_confidential="Yes"))),FALSE()),NOT(AND(IFERROR($X57&lt;&gt;"",FALSE()),IFERROR($Y57&lt;&gt;"",FALSE()),IFERROR(AND(ISNUMBER($Z57),$Z57&gt;=DATE(2020,1,1),$Z57&lt;=DATE(2100,12,31)),FALSE()))),FALSE()),IF(IFERROR(IF(OR($E57="Blocker",$E57="Major",$E57="Moderate",$E57="Minor"),$F57&lt;IF($AD57="Blocker",Lookups!$B$8,IF($AD57="Major",Lookups!$B$9,IF($AD57="Moderate",Lookups!$B$10,Lookups!$B$11))),FALSE()),FALSE()),NOT(AND(IFERROR($T57&lt;&gt;"",FALSE()),IFERROR($Y57&lt;&gt;"",FALSE()),IF(IFERROR($Z57&lt;&gt;"",FALSE()),IFERROR(AND(ISNUMBER($Z57),$Z57&gt;=DATE(2020,1,1),$Z57&lt;=DATE(2100,12,31)),FALSE()),NOT(ISERROR($Z57))))),FALSE())),1,0)</f>
        <v>0</v>
      </c>
      <c r="AG57">
        <f t="shared" si="28"/>
        <v>0</v>
      </c>
      <c r="AH57" t="str">
        <f t="shared" si="29"/>
        <v/>
      </c>
      <c r="AI57" t="str">
        <f>IFERROR(IF(p_autonomy="None (chat or single completions)","No","Yes"),"Yes")</f>
        <v>Yes</v>
      </c>
      <c r="AJ57">
        <f t="shared" si="30"/>
        <v>0</v>
      </c>
      <c r="AK57">
        <f t="shared" si="31"/>
        <v>0</v>
      </c>
      <c r="AL57">
        <f t="shared" si="32"/>
        <v>0</v>
      </c>
      <c r="AM57">
        <f t="shared" si="33"/>
        <v>0</v>
      </c>
      <c r="AN57">
        <f t="shared" si="34"/>
        <v>0</v>
      </c>
      <c r="AO57">
        <f t="shared" si="35"/>
        <v>0</v>
      </c>
      <c r="AP57">
        <f t="shared" si="36"/>
        <v>0</v>
      </c>
      <c r="AQ57">
        <f t="shared" si="37"/>
        <v>0</v>
      </c>
      <c r="AR57">
        <f t="shared" si="38"/>
        <v>0</v>
      </c>
      <c r="AS57">
        <f t="shared" si="39"/>
        <v>0</v>
      </c>
      <c r="AT57">
        <f t="shared" si="40"/>
        <v>0</v>
      </c>
      <c r="AU57" t="str">
        <f>_xlfn.TEXTJOIN(", ",TRUE(),IF(ISERROR($E57),"E57",""),IF(ISERROR($G57),"G57",""),IF(ISERROR($H57),"H57",""),IF(ISERROR($J57),"J57",""),IF(ISERROR($K57),"K57",""),IF(ISERROR($O57),"O57",""),IF(ISERROR($P57),"P57",""),IF(ISERROR($Q57),"Q57",""),IF(ISERROR($R57),"R57",""),IF(ISERROR($S57),"S57",""),IF(ISERROR($T57),"T57",""),IF(ISERROR($X57),"X57",""),IF(ISERROR($Y57),"Y57",""),IF(ISERROR($Z57),"Z57",""))</f>
        <v/>
      </c>
      <c r="AV57" t="str">
        <f>_xlfn.TEXTJOIN("; ",TRUE(),IF(IFERROR(NOT(OR($J57="",$J57="Yes",$J57="No")),TRUE()),"Invalid override value (J)",""),IF(IFERROR(IF($E57="",$I57="Yes",NOT(OR($E57="Blocker",$E57="Major",$E57="Moderate",$E57="Minor"))),TRUE()),"Invalid or missing criticality (E)",""),IF(IFERROR(IF($J57&lt;&gt;"",$T57="",FALSE()),TRUE()),"Override rationale missing / invalid (T)",""),IF(IFERROR(IF(AND($A57="2.7",$I57="Yes",p_confidential="Yes"),$E57&lt;&gt;"Blocker",FALSE()),TRUE()),"2.7 must be Blocker when S4 = Yes",""),IF(IFERROR(IF(AND($A57="5.8",$I57="Yes"),OR($E57="Moderate",$E57="Minor"),FALSE()),TRUE()),"5.8 should be at least Major",""),IF(IF(IFERROR(AND($J57="No",$AI57="Yes",OR($AD57="Blocker",AND($A57="2.7",p_confidential="Yes"))),FALSE()),NOT(AND(IFERROR($X57&lt;&gt;"",FALSE()),IFERROR($Y57&lt;&gt;"",FALSE()),IFERROR(AND(ISNUMBER($Z57),$Z57&gt;=DATE(2020,1,1),$Z57&lt;=DATE(2100,12,31)),FALSE()))),FALSE()),"Blocker de-scope review missing / invalid (X-Z)",""),IF(IF(IFERROR(IF(OR($E57="Blocker",$E57="Major",$E57="Moderate",$E57="Minor"),$F57&lt;IF($AD57="Blocker",Lookups!$B$8,IF($AD57="Major",Lookups!$B$9,IF($AD57="Moderate",Lookups!$B$10,Lookups!$B$11))),FALSE()),FALSE()),NOT(AND(IFERROR($T57&lt;&gt;"",FALSE()),IFERROR($Y57&lt;&gt;"",FALSE()),IF(IFERROR($Z57&lt;&gt;"",FALSE()),IFERROR(AND(ISNUMBER($Z57),$Z57&gt;=DATE(2020,1,1),$Z57&lt;=DATE(2100,12,31)),FALSE()),NOT(ISERROR($Z57))))),FALSE()),"Criticality below baseline: review missing / invalid (T,Y,Z)",""))</f>
        <v/>
      </c>
      <c r="AW57" t="str">
        <f t="shared" si="41"/>
        <v/>
      </c>
    </row>
    <row r="58" spans="1:49" ht="45" customHeight="1" x14ac:dyDescent="0.3">
      <c r="A58" s="22" t="s">
        <v>403</v>
      </c>
      <c r="B58" s="23" t="s">
        <v>400</v>
      </c>
      <c r="C58" s="24" t="s">
        <v>202</v>
      </c>
      <c r="D58" s="24" t="s">
        <v>404</v>
      </c>
      <c r="E58" s="25" t="s">
        <v>191</v>
      </c>
      <c r="F58" s="26">
        <f>IFERROR(IF($E58="Blocker",Lookups!$B$8,IF($E58="Major",Lookups!$B$9,IF($E58="Moderate",Lookups!$B$10,IF($E58="Minor",Lookups!$B$11,0)))),0)</f>
        <v>5</v>
      </c>
      <c r="G58" s="16">
        <v>4</v>
      </c>
      <c r="H58" s="16">
        <v>5</v>
      </c>
      <c r="I58" s="27" t="str">
        <f>IFERROR(IF(OR($J58="Yes",$J58="No"),$J58,IF(p_autonomy="None (chat or single completions)","No","Yes")),"Yes")</f>
        <v>Yes</v>
      </c>
      <c r="J58" s="25"/>
      <c r="K58" s="25"/>
      <c r="L58" s="27" t="str">
        <f t="shared" si="21"/>
        <v/>
      </c>
      <c r="M58" s="27">
        <f t="shared" si="22"/>
        <v>100</v>
      </c>
      <c r="N58" s="27" t="str">
        <f t="shared" si="23"/>
        <v/>
      </c>
      <c r="O58" s="25"/>
      <c r="P58" s="25"/>
      <c r="Q58" s="25"/>
      <c r="R58" s="28"/>
      <c r="S58" s="25"/>
      <c r="T58" s="25"/>
      <c r="U58" s="29" t="str">
        <f t="shared" si="24"/>
        <v/>
      </c>
      <c r="V58" s="24" t="s">
        <v>405</v>
      </c>
      <c r="W58" s="24" t="s">
        <v>406</v>
      </c>
      <c r="X58" s="13"/>
      <c r="Y58" s="13"/>
      <c r="Z58" s="14"/>
      <c r="AA58" t="str">
        <f t="shared" si="25"/>
        <v/>
      </c>
      <c r="AB58" t="str">
        <f t="shared" si="26"/>
        <v/>
      </c>
      <c r="AC58" t="str">
        <f t="shared" si="27"/>
        <v/>
      </c>
      <c r="AD58" t="s">
        <v>191</v>
      </c>
      <c r="AF58">
        <f>IF(OR(IFERROR(NOT(OR($J58="",$J58="Yes",$J58="No")),TRUE()),IFERROR(IF($E58="",$I58="Yes",NOT(OR($E58="Blocker",$E58="Major",$E58="Moderate",$E58="Minor"))),TRUE()),IFERROR(IF($J58&lt;&gt;"",$T58="",FALSE()),TRUE()),IFERROR(IF(AND($A58="2.7",$I58="Yes",p_confidential="Yes"),$E58&lt;&gt;"Blocker",FALSE()),TRUE()),IFERROR(IF(AND($A58="5.8",$I58="Yes"),OR($E58="Moderate",$E58="Minor"),FALSE()),TRUE()),IF(IFERROR(AND($J58="No",$AI58="Yes",OR($AD58="Blocker",AND($A58="2.7",p_confidential="Yes"))),FALSE()),NOT(AND(IFERROR($X58&lt;&gt;"",FALSE()),IFERROR($Y58&lt;&gt;"",FALSE()),IFERROR(AND(ISNUMBER($Z58),$Z58&gt;=DATE(2020,1,1),$Z58&lt;=DATE(2100,12,31)),FALSE()))),FALSE()),IF(IFERROR(IF(OR($E58="Blocker",$E58="Major",$E58="Moderate",$E58="Minor"),$F58&lt;IF($AD58="Blocker",Lookups!$B$8,IF($AD58="Major",Lookups!$B$9,IF($AD58="Moderate",Lookups!$B$10,Lookups!$B$11))),FALSE()),FALSE()),NOT(AND(IFERROR($T58&lt;&gt;"",FALSE()),IFERROR($Y58&lt;&gt;"",FALSE()),IF(IFERROR($Z58&lt;&gt;"",FALSE()),IFERROR(AND(ISNUMBER($Z58),$Z58&gt;=DATE(2020,1,1),$Z58&lt;=DATE(2100,12,31)),FALSE()),NOT(ISERROR($Z58))))),FALSE())),1,0)</f>
        <v>0</v>
      </c>
      <c r="AG58">
        <f t="shared" si="28"/>
        <v>0</v>
      </c>
      <c r="AH58" t="str">
        <f t="shared" si="29"/>
        <v/>
      </c>
      <c r="AI58" t="str">
        <f>IFERROR(IF(p_autonomy="None (chat or single completions)","No","Yes"),"Yes")</f>
        <v>Yes</v>
      </c>
      <c r="AJ58">
        <f t="shared" si="30"/>
        <v>0</v>
      </c>
      <c r="AK58">
        <f t="shared" si="31"/>
        <v>0</v>
      </c>
      <c r="AL58">
        <f t="shared" si="32"/>
        <v>0</v>
      </c>
      <c r="AM58">
        <f t="shared" si="33"/>
        <v>0</v>
      </c>
      <c r="AN58">
        <f t="shared" si="34"/>
        <v>0</v>
      </c>
      <c r="AO58">
        <f t="shared" si="35"/>
        <v>0</v>
      </c>
      <c r="AP58">
        <f t="shared" si="36"/>
        <v>0</v>
      </c>
      <c r="AQ58">
        <f t="shared" si="37"/>
        <v>0</v>
      </c>
      <c r="AR58">
        <f t="shared" si="38"/>
        <v>0</v>
      </c>
      <c r="AS58">
        <f t="shared" si="39"/>
        <v>0</v>
      </c>
      <c r="AT58">
        <f t="shared" si="40"/>
        <v>0</v>
      </c>
      <c r="AU58" t="str">
        <f>_xlfn.TEXTJOIN(", ",TRUE(),IF(ISERROR($E58),"E58",""),IF(ISERROR($G58),"G58",""),IF(ISERROR($H58),"H58",""),IF(ISERROR($J58),"J58",""),IF(ISERROR($K58),"K58",""),IF(ISERROR($O58),"O58",""),IF(ISERROR($P58),"P58",""),IF(ISERROR($Q58),"Q58",""),IF(ISERROR($R58),"R58",""),IF(ISERROR($S58),"S58",""),IF(ISERROR($T58),"T58",""),IF(ISERROR($X58),"X58",""),IF(ISERROR($Y58),"Y58",""),IF(ISERROR($Z58),"Z58",""))</f>
        <v/>
      </c>
      <c r="AV58" t="str">
        <f>_xlfn.TEXTJOIN("; ",TRUE(),IF(IFERROR(NOT(OR($J58="",$J58="Yes",$J58="No")),TRUE()),"Invalid override value (J)",""),IF(IFERROR(IF($E58="",$I58="Yes",NOT(OR($E58="Blocker",$E58="Major",$E58="Moderate",$E58="Minor"))),TRUE()),"Invalid or missing criticality (E)",""),IF(IFERROR(IF($J58&lt;&gt;"",$T58="",FALSE()),TRUE()),"Override rationale missing / invalid (T)",""),IF(IFERROR(IF(AND($A58="2.7",$I58="Yes",p_confidential="Yes"),$E58&lt;&gt;"Blocker",FALSE()),TRUE()),"2.7 must be Blocker when S4 = Yes",""),IF(IFERROR(IF(AND($A58="5.8",$I58="Yes"),OR($E58="Moderate",$E58="Minor"),FALSE()),TRUE()),"5.8 should be at least Major",""),IF(IF(IFERROR(AND($J58="No",$AI58="Yes",OR($AD58="Blocker",AND($A58="2.7",p_confidential="Yes"))),FALSE()),NOT(AND(IFERROR($X58&lt;&gt;"",FALSE()),IFERROR($Y58&lt;&gt;"",FALSE()),IFERROR(AND(ISNUMBER($Z58),$Z58&gt;=DATE(2020,1,1),$Z58&lt;=DATE(2100,12,31)),FALSE()))),FALSE()),"Blocker de-scope review missing / invalid (X-Z)",""),IF(IF(IFERROR(IF(OR($E58="Blocker",$E58="Major",$E58="Moderate",$E58="Minor"),$F58&lt;IF($AD58="Blocker",Lookups!$B$8,IF($AD58="Major",Lookups!$B$9,IF($AD58="Moderate",Lookups!$B$10,Lookups!$B$11))),FALSE()),FALSE()),NOT(AND(IFERROR($T58&lt;&gt;"",FALSE()),IFERROR($Y58&lt;&gt;"",FALSE()),IF(IFERROR($Z58&lt;&gt;"",FALSE()),IFERROR(AND(ISNUMBER($Z58),$Z58&gt;=DATE(2020,1,1),$Z58&lt;=DATE(2100,12,31)),FALSE()),NOT(ISERROR($Z58))))),FALSE()),"Criticality below baseline: review missing / invalid (T,Y,Z)",""))</f>
        <v/>
      </c>
      <c r="AW58" t="str">
        <f t="shared" si="41"/>
        <v/>
      </c>
    </row>
    <row r="59" spans="1:49" ht="45" customHeight="1" x14ac:dyDescent="0.3">
      <c r="A59" s="22" t="s">
        <v>407</v>
      </c>
      <c r="B59" s="23" t="s">
        <v>400</v>
      </c>
      <c r="C59" s="24" t="s">
        <v>202</v>
      </c>
      <c r="D59" s="24" t="s">
        <v>408</v>
      </c>
      <c r="E59" s="25" t="s">
        <v>191</v>
      </c>
      <c r="F59" s="26">
        <f>IFERROR(IF($E59="Blocker",Lookups!$B$8,IF($E59="Major",Lookups!$B$9,IF($E59="Moderate",Lookups!$B$10,IF($E59="Minor",Lookups!$B$11,0)))),0)</f>
        <v>5</v>
      </c>
      <c r="G59" s="16">
        <v>4</v>
      </c>
      <c r="H59" s="16">
        <v>5</v>
      </c>
      <c r="I59" s="27" t="str">
        <f>IFERROR(IF(OR($J59="Yes",$J59="No"),$J59,IF(p_autonomy="None (chat or single completions)","No","Yes")),"Yes")</f>
        <v>Yes</v>
      </c>
      <c r="J59" s="25"/>
      <c r="K59" s="25"/>
      <c r="L59" s="27" t="str">
        <f t="shared" si="21"/>
        <v/>
      </c>
      <c r="M59" s="27">
        <f t="shared" si="22"/>
        <v>100</v>
      </c>
      <c r="N59" s="27" t="str">
        <f t="shared" si="23"/>
        <v/>
      </c>
      <c r="O59" s="25"/>
      <c r="P59" s="25"/>
      <c r="Q59" s="25"/>
      <c r="R59" s="28"/>
      <c r="S59" s="25"/>
      <c r="T59" s="25"/>
      <c r="U59" s="29" t="str">
        <f t="shared" si="24"/>
        <v/>
      </c>
      <c r="V59" s="24"/>
      <c r="W59" s="24" t="s">
        <v>409</v>
      </c>
      <c r="X59" s="13"/>
      <c r="Y59" s="13"/>
      <c r="Z59" s="14"/>
      <c r="AA59" t="str">
        <f t="shared" si="25"/>
        <v/>
      </c>
      <c r="AB59" t="str">
        <f t="shared" si="26"/>
        <v/>
      </c>
      <c r="AC59" t="str">
        <f t="shared" si="27"/>
        <v/>
      </c>
      <c r="AD59" t="s">
        <v>191</v>
      </c>
      <c r="AF59">
        <f>IF(OR(IFERROR(NOT(OR($J59="",$J59="Yes",$J59="No")),TRUE()),IFERROR(IF($E59="",$I59="Yes",NOT(OR($E59="Blocker",$E59="Major",$E59="Moderate",$E59="Minor"))),TRUE()),IFERROR(IF($J59&lt;&gt;"",$T59="",FALSE()),TRUE()),IFERROR(IF(AND($A59="2.7",$I59="Yes",p_confidential="Yes"),$E59&lt;&gt;"Blocker",FALSE()),TRUE()),IFERROR(IF(AND($A59="5.8",$I59="Yes"),OR($E59="Moderate",$E59="Minor"),FALSE()),TRUE()),IF(IFERROR(AND($J59="No",$AI59="Yes",OR($AD59="Blocker",AND($A59="2.7",p_confidential="Yes"))),FALSE()),NOT(AND(IFERROR($X59&lt;&gt;"",FALSE()),IFERROR($Y59&lt;&gt;"",FALSE()),IFERROR(AND(ISNUMBER($Z59),$Z59&gt;=DATE(2020,1,1),$Z59&lt;=DATE(2100,12,31)),FALSE()))),FALSE()),IF(IFERROR(IF(OR($E59="Blocker",$E59="Major",$E59="Moderate",$E59="Minor"),$F59&lt;IF($AD59="Blocker",Lookups!$B$8,IF($AD59="Major",Lookups!$B$9,IF($AD59="Moderate",Lookups!$B$10,Lookups!$B$11))),FALSE()),FALSE()),NOT(AND(IFERROR($T59&lt;&gt;"",FALSE()),IFERROR($Y59&lt;&gt;"",FALSE()),IF(IFERROR($Z59&lt;&gt;"",FALSE()),IFERROR(AND(ISNUMBER($Z59),$Z59&gt;=DATE(2020,1,1),$Z59&lt;=DATE(2100,12,31)),FALSE()),NOT(ISERROR($Z59))))),FALSE())),1,0)</f>
        <v>0</v>
      </c>
      <c r="AG59">
        <f t="shared" si="28"/>
        <v>0</v>
      </c>
      <c r="AH59" t="str">
        <f t="shared" si="29"/>
        <v/>
      </c>
      <c r="AI59" t="str">
        <f>IFERROR(IF(p_autonomy="None (chat or single completions)","No","Yes"),"Yes")</f>
        <v>Yes</v>
      </c>
      <c r="AJ59">
        <f t="shared" si="30"/>
        <v>0</v>
      </c>
      <c r="AK59">
        <f t="shared" si="31"/>
        <v>0</v>
      </c>
      <c r="AL59">
        <f t="shared" si="32"/>
        <v>0</v>
      </c>
      <c r="AM59">
        <f t="shared" si="33"/>
        <v>0</v>
      </c>
      <c r="AN59">
        <f t="shared" si="34"/>
        <v>0</v>
      </c>
      <c r="AO59">
        <f t="shared" si="35"/>
        <v>0</v>
      </c>
      <c r="AP59">
        <f t="shared" si="36"/>
        <v>0</v>
      </c>
      <c r="AQ59">
        <f t="shared" si="37"/>
        <v>0</v>
      </c>
      <c r="AR59">
        <f t="shared" si="38"/>
        <v>0</v>
      </c>
      <c r="AS59">
        <f t="shared" si="39"/>
        <v>0</v>
      </c>
      <c r="AT59">
        <f t="shared" si="40"/>
        <v>0</v>
      </c>
      <c r="AU59" t="str">
        <f>_xlfn.TEXTJOIN(", ",TRUE(),IF(ISERROR($E59),"E59",""),IF(ISERROR($G59),"G59",""),IF(ISERROR($H59),"H59",""),IF(ISERROR($J59),"J59",""),IF(ISERROR($K59),"K59",""),IF(ISERROR($O59),"O59",""),IF(ISERROR($P59),"P59",""),IF(ISERROR($Q59),"Q59",""),IF(ISERROR($R59),"R59",""),IF(ISERROR($S59),"S59",""),IF(ISERROR($T59),"T59",""),IF(ISERROR($X59),"X59",""),IF(ISERROR($Y59),"Y59",""),IF(ISERROR($Z59),"Z59",""))</f>
        <v/>
      </c>
      <c r="AV59" t="str">
        <f>_xlfn.TEXTJOIN("; ",TRUE(),IF(IFERROR(NOT(OR($J59="",$J59="Yes",$J59="No")),TRUE()),"Invalid override value (J)",""),IF(IFERROR(IF($E59="",$I59="Yes",NOT(OR($E59="Blocker",$E59="Major",$E59="Moderate",$E59="Minor"))),TRUE()),"Invalid or missing criticality (E)",""),IF(IFERROR(IF($J59&lt;&gt;"",$T59="",FALSE()),TRUE()),"Override rationale missing / invalid (T)",""),IF(IFERROR(IF(AND($A59="2.7",$I59="Yes",p_confidential="Yes"),$E59&lt;&gt;"Blocker",FALSE()),TRUE()),"2.7 must be Blocker when S4 = Yes",""),IF(IFERROR(IF(AND($A59="5.8",$I59="Yes"),OR($E59="Moderate",$E59="Minor"),FALSE()),TRUE()),"5.8 should be at least Major",""),IF(IF(IFERROR(AND($J59="No",$AI59="Yes",OR($AD59="Blocker",AND($A59="2.7",p_confidential="Yes"))),FALSE()),NOT(AND(IFERROR($X59&lt;&gt;"",FALSE()),IFERROR($Y59&lt;&gt;"",FALSE()),IFERROR(AND(ISNUMBER($Z59),$Z59&gt;=DATE(2020,1,1),$Z59&lt;=DATE(2100,12,31)),FALSE()))),FALSE()),"Blocker de-scope review missing / invalid (X-Z)",""),IF(IF(IFERROR(IF(OR($E59="Blocker",$E59="Major",$E59="Moderate",$E59="Minor"),$F59&lt;IF($AD59="Blocker",Lookups!$B$8,IF($AD59="Major",Lookups!$B$9,IF($AD59="Moderate",Lookups!$B$10,Lookups!$B$11))),FALSE()),FALSE()),NOT(AND(IFERROR($T59&lt;&gt;"",FALSE()),IFERROR($Y59&lt;&gt;"",FALSE()),IF(IFERROR($Z59&lt;&gt;"",FALSE()),IFERROR(AND(ISNUMBER($Z59),$Z59&gt;=DATE(2020,1,1),$Z59&lt;=DATE(2100,12,31)),FALSE()),NOT(ISERROR($Z59))))),FALSE()),"Criticality below baseline: review missing / invalid (T,Y,Z)",""))</f>
        <v/>
      </c>
      <c r="AW59" t="str">
        <f t="shared" si="41"/>
        <v/>
      </c>
    </row>
    <row r="60" spans="1:49" ht="30" customHeight="1" x14ac:dyDescent="0.3">
      <c r="A60" s="22" t="s">
        <v>410</v>
      </c>
      <c r="B60" s="23" t="s">
        <v>400</v>
      </c>
      <c r="C60" s="24" t="s">
        <v>291</v>
      </c>
      <c r="D60" s="24" t="s">
        <v>411</v>
      </c>
      <c r="E60" s="25" t="s">
        <v>191</v>
      </c>
      <c r="F60" s="26">
        <f>IFERROR(IF($E60="Blocker",Lookups!$B$8,IF($E60="Major",Lookups!$B$9,IF($E60="Moderate",Lookups!$B$10,IF($E60="Minor",Lookups!$B$11,0)))),0)</f>
        <v>5</v>
      </c>
      <c r="G60" s="16">
        <v>4</v>
      </c>
      <c r="H60" s="16">
        <v>5</v>
      </c>
      <c r="I60" s="27" t="str">
        <f>IFERROR(IF(OR($J60="Yes",$J60="No"),$J60,IF(AND(p_tools="No",p_autonomy="None (chat or single completions)"),"No","Yes")),"Yes")</f>
        <v>Yes</v>
      </c>
      <c r="J60" s="25"/>
      <c r="K60" s="25"/>
      <c r="L60" s="27" t="str">
        <f t="shared" si="21"/>
        <v/>
      </c>
      <c r="M60" s="27">
        <f t="shared" si="22"/>
        <v>100</v>
      </c>
      <c r="N60" s="27" t="str">
        <f t="shared" si="23"/>
        <v/>
      </c>
      <c r="O60" s="25"/>
      <c r="P60" s="25"/>
      <c r="Q60" s="25"/>
      <c r="R60" s="28"/>
      <c r="S60" s="25"/>
      <c r="T60" s="25"/>
      <c r="U60" s="29" t="str">
        <f t="shared" si="24"/>
        <v/>
      </c>
      <c r="V60" s="24" t="s">
        <v>412</v>
      </c>
      <c r="W60" s="24" t="s">
        <v>413</v>
      </c>
      <c r="X60" s="13"/>
      <c r="Y60" s="13"/>
      <c r="Z60" s="14"/>
      <c r="AA60" t="str">
        <f t="shared" si="25"/>
        <v/>
      </c>
      <c r="AB60" t="str">
        <f t="shared" si="26"/>
        <v/>
      </c>
      <c r="AC60" t="str">
        <f t="shared" si="27"/>
        <v/>
      </c>
      <c r="AD60" t="s">
        <v>191</v>
      </c>
      <c r="AF60">
        <f>IF(OR(IFERROR(NOT(OR($J60="",$J60="Yes",$J60="No")),TRUE()),IFERROR(IF($E60="",$I60="Yes",NOT(OR($E60="Blocker",$E60="Major",$E60="Moderate",$E60="Minor"))),TRUE()),IFERROR(IF($J60&lt;&gt;"",$T60="",FALSE()),TRUE()),IFERROR(IF(AND($A60="2.7",$I60="Yes",p_confidential="Yes"),$E60&lt;&gt;"Blocker",FALSE()),TRUE()),IFERROR(IF(AND($A60="5.8",$I60="Yes"),OR($E60="Moderate",$E60="Minor"),FALSE()),TRUE()),IF(IFERROR(AND($J60="No",$AI60="Yes",OR($AD60="Blocker",AND($A60="2.7",p_confidential="Yes"))),FALSE()),NOT(AND(IFERROR($X60&lt;&gt;"",FALSE()),IFERROR($Y60&lt;&gt;"",FALSE()),IFERROR(AND(ISNUMBER($Z60),$Z60&gt;=DATE(2020,1,1),$Z60&lt;=DATE(2100,12,31)),FALSE()))),FALSE()),IF(IFERROR(IF(OR($E60="Blocker",$E60="Major",$E60="Moderate",$E60="Minor"),$F60&lt;IF($AD60="Blocker",Lookups!$B$8,IF($AD60="Major",Lookups!$B$9,IF($AD60="Moderate",Lookups!$B$10,Lookups!$B$11))),FALSE()),FALSE()),NOT(AND(IFERROR($T60&lt;&gt;"",FALSE()),IFERROR($Y60&lt;&gt;"",FALSE()),IF(IFERROR($Z60&lt;&gt;"",FALSE()),IFERROR(AND(ISNUMBER($Z60),$Z60&gt;=DATE(2020,1,1),$Z60&lt;=DATE(2100,12,31)),FALSE()),NOT(ISERROR($Z60))))),FALSE())),1,0)</f>
        <v>0</v>
      </c>
      <c r="AG60">
        <f t="shared" si="28"/>
        <v>0</v>
      </c>
      <c r="AH60" t="str">
        <f t="shared" si="29"/>
        <v/>
      </c>
      <c r="AI60" t="str">
        <f>IFERROR(IF(AND(p_tools="No",p_autonomy="None (chat or single completions)"),"No","Yes"),"Yes")</f>
        <v>Yes</v>
      </c>
      <c r="AJ60">
        <f t="shared" si="30"/>
        <v>0</v>
      </c>
      <c r="AK60">
        <f t="shared" si="31"/>
        <v>0</v>
      </c>
      <c r="AL60">
        <f t="shared" si="32"/>
        <v>0</v>
      </c>
      <c r="AM60">
        <f t="shared" si="33"/>
        <v>0</v>
      </c>
      <c r="AN60">
        <f t="shared" si="34"/>
        <v>0</v>
      </c>
      <c r="AO60">
        <f t="shared" si="35"/>
        <v>0</v>
      </c>
      <c r="AP60">
        <f t="shared" si="36"/>
        <v>0</v>
      </c>
      <c r="AQ60">
        <f t="shared" si="37"/>
        <v>0</v>
      </c>
      <c r="AR60">
        <f t="shared" si="38"/>
        <v>0</v>
      </c>
      <c r="AS60">
        <f t="shared" si="39"/>
        <v>0</v>
      </c>
      <c r="AT60">
        <f t="shared" si="40"/>
        <v>0</v>
      </c>
      <c r="AU60" t="str">
        <f>_xlfn.TEXTJOIN(", ",TRUE(),IF(ISERROR($E60),"E60",""),IF(ISERROR($G60),"G60",""),IF(ISERROR($H60),"H60",""),IF(ISERROR($J60),"J60",""),IF(ISERROR($K60),"K60",""),IF(ISERROR($O60),"O60",""),IF(ISERROR($P60),"P60",""),IF(ISERROR($Q60),"Q60",""),IF(ISERROR($R60),"R60",""),IF(ISERROR($S60),"S60",""),IF(ISERROR($T60),"T60",""),IF(ISERROR($X60),"X60",""),IF(ISERROR($Y60),"Y60",""),IF(ISERROR($Z60),"Z60",""))</f>
        <v/>
      </c>
      <c r="AV60" t="str">
        <f>_xlfn.TEXTJOIN("; ",TRUE(),IF(IFERROR(NOT(OR($J60="",$J60="Yes",$J60="No")),TRUE()),"Invalid override value (J)",""),IF(IFERROR(IF($E60="",$I60="Yes",NOT(OR($E60="Blocker",$E60="Major",$E60="Moderate",$E60="Minor"))),TRUE()),"Invalid or missing criticality (E)",""),IF(IFERROR(IF($J60&lt;&gt;"",$T60="",FALSE()),TRUE()),"Override rationale missing / invalid (T)",""),IF(IFERROR(IF(AND($A60="2.7",$I60="Yes",p_confidential="Yes"),$E60&lt;&gt;"Blocker",FALSE()),TRUE()),"2.7 must be Blocker when S4 = Yes",""),IF(IFERROR(IF(AND($A60="5.8",$I60="Yes"),OR($E60="Moderate",$E60="Minor"),FALSE()),TRUE()),"5.8 should be at least Major",""),IF(IF(IFERROR(AND($J60="No",$AI60="Yes",OR($AD60="Blocker",AND($A60="2.7",p_confidential="Yes"))),FALSE()),NOT(AND(IFERROR($X60&lt;&gt;"",FALSE()),IFERROR($Y60&lt;&gt;"",FALSE()),IFERROR(AND(ISNUMBER($Z60),$Z60&gt;=DATE(2020,1,1),$Z60&lt;=DATE(2100,12,31)),FALSE()))),FALSE()),"Blocker de-scope review missing / invalid (X-Z)",""),IF(IF(IFERROR(IF(OR($E60="Blocker",$E60="Major",$E60="Moderate",$E60="Minor"),$F60&lt;IF($AD60="Blocker",Lookups!$B$8,IF($AD60="Major",Lookups!$B$9,IF($AD60="Moderate",Lookups!$B$10,Lookups!$B$11))),FALSE()),FALSE()),NOT(AND(IFERROR($T60&lt;&gt;"",FALSE()),IFERROR($Y60&lt;&gt;"",FALSE()),IF(IFERROR($Z60&lt;&gt;"",FALSE()),IFERROR(AND(ISNUMBER($Z60),$Z60&gt;=DATE(2020,1,1),$Z60&lt;=DATE(2100,12,31)),FALSE()),NOT(ISERROR($Z60))))),FALSE()),"Criticality below baseline: review missing / invalid (T,Y,Z)",""))</f>
        <v/>
      </c>
      <c r="AW60" t="str">
        <f t="shared" si="41"/>
        <v/>
      </c>
    </row>
    <row r="61" spans="1:49" ht="30" customHeight="1" x14ac:dyDescent="0.3">
      <c r="A61" s="22" t="s">
        <v>414</v>
      </c>
      <c r="B61" s="23" t="s">
        <v>400</v>
      </c>
      <c r="C61" s="24" t="s">
        <v>415</v>
      </c>
      <c r="D61" s="24" t="s">
        <v>416</v>
      </c>
      <c r="E61" s="25" t="s">
        <v>191</v>
      </c>
      <c r="F61" s="26">
        <f>IFERROR(IF($E61="Blocker",Lookups!$B$8,IF($E61="Major",Lookups!$B$9,IF($E61="Moderate",Lookups!$B$10,IF($E61="Minor",Lookups!$B$11,0)))),0)</f>
        <v>5</v>
      </c>
      <c r="G61" s="16">
        <v>4</v>
      </c>
      <c r="H61" s="16">
        <v>5</v>
      </c>
      <c r="I61" s="27" t="str">
        <f>IFERROR(IF(OR($J61="Yes",$J61="No"),$J61,IF(AND(p_autonomy="None (chat or single completions)",p_local="No"),"No","Yes")),"Yes")</f>
        <v>Yes</v>
      </c>
      <c r="J61" s="25"/>
      <c r="K61" s="25"/>
      <c r="L61" s="27" t="str">
        <f t="shared" si="21"/>
        <v/>
      </c>
      <c r="M61" s="27">
        <f t="shared" si="22"/>
        <v>100</v>
      </c>
      <c r="N61" s="27" t="str">
        <f t="shared" si="23"/>
        <v/>
      </c>
      <c r="O61" s="25"/>
      <c r="P61" s="25"/>
      <c r="Q61" s="25"/>
      <c r="R61" s="28"/>
      <c r="S61" s="25"/>
      <c r="T61" s="25"/>
      <c r="U61" s="29" t="str">
        <f t="shared" si="24"/>
        <v/>
      </c>
      <c r="V61" s="24"/>
      <c r="W61" s="24" t="s">
        <v>417</v>
      </c>
      <c r="X61" s="13"/>
      <c r="Y61" s="13"/>
      <c r="Z61" s="14"/>
      <c r="AA61" t="str">
        <f t="shared" si="25"/>
        <v/>
      </c>
      <c r="AB61" t="str">
        <f t="shared" si="26"/>
        <v/>
      </c>
      <c r="AC61" t="str">
        <f t="shared" si="27"/>
        <v/>
      </c>
      <c r="AD61" t="s">
        <v>191</v>
      </c>
      <c r="AF61">
        <f>IF(OR(IFERROR(NOT(OR($J61="",$J61="Yes",$J61="No")),TRUE()),IFERROR(IF($E61="",$I61="Yes",NOT(OR($E61="Blocker",$E61="Major",$E61="Moderate",$E61="Minor"))),TRUE()),IFERROR(IF($J61&lt;&gt;"",$T61="",FALSE()),TRUE()),IFERROR(IF(AND($A61="2.7",$I61="Yes",p_confidential="Yes"),$E61&lt;&gt;"Blocker",FALSE()),TRUE()),IFERROR(IF(AND($A61="5.8",$I61="Yes"),OR($E61="Moderate",$E61="Minor"),FALSE()),TRUE()),IF(IFERROR(AND($J61="No",$AI61="Yes",OR($AD61="Blocker",AND($A61="2.7",p_confidential="Yes"))),FALSE()),NOT(AND(IFERROR($X61&lt;&gt;"",FALSE()),IFERROR($Y61&lt;&gt;"",FALSE()),IFERROR(AND(ISNUMBER($Z61),$Z61&gt;=DATE(2020,1,1),$Z61&lt;=DATE(2100,12,31)),FALSE()))),FALSE()),IF(IFERROR(IF(OR($E61="Blocker",$E61="Major",$E61="Moderate",$E61="Minor"),$F61&lt;IF($AD61="Blocker",Lookups!$B$8,IF($AD61="Major",Lookups!$B$9,IF($AD61="Moderate",Lookups!$B$10,Lookups!$B$11))),FALSE()),FALSE()),NOT(AND(IFERROR($T61&lt;&gt;"",FALSE()),IFERROR($Y61&lt;&gt;"",FALSE()),IF(IFERROR($Z61&lt;&gt;"",FALSE()),IFERROR(AND(ISNUMBER($Z61),$Z61&gt;=DATE(2020,1,1),$Z61&lt;=DATE(2100,12,31)),FALSE()),NOT(ISERROR($Z61))))),FALSE())),1,0)</f>
        <v>0</v>
      </c>
      <c r="AG61">
        <f t="shared" si="28"/>
        <v>0</v>
      </c>
      <c r="AH61" t="str">
        <f t="shared" si="29"/>
        <v/>
      </c>
      <c r="AI61" t="str">
        <f>IFERROR(IF(AND(p_autonomy="None (chat or single completions)",p_local="No"),"No","Yes"),"Yes")</f>
        <v>Yes</v>
      </c>
      <c r="AJ61">
        <f t="shared" si="30"/>
        <v>0</v>
      </c>
      <c r="AK61">
        <f t="shared" si="31"/>
        <v>0</v>
      </c>
      <c r="AL61">
        <f t="shared" si="32"/>
        <v>0</v>
      </c>
      <c r="AM61">
        <f t="shared" si="33"/>
        <v>0</v>
      </c>
      <c r="AN61">
        <f t="shared" si="34"/>
        <v>0</v>
      </c>
      <c r="AO61">
        <f t="shared" si="35"/>
        <v>0</v>
      </c>
      <c r="AP61">
        <f t="shared" si="36"/>
        <v>0</v>
      </c>
      <c r="AQ61">
        <f t="shared" si="37"/>
        <v>0</v>
      </c>
      <c r="AR61">
        <f t="shared" si="38"/>
        <v>0</v>
      </c>
      <c r="AS61">
        <f t="shared" si="39"/>
        <v>0</v>
      </c>
      <c r="AT61">
        <f t="shared" si="40"/>
        <v>0</v>
      </c>
      <c r="AU61" t="str">
        <f>_xlfn.TEXTJOIN(", ",TRUE(),IF(ISERROR($E61),"E61",""),IF(ISERROR($G61),"G61",""),IF(ISERROR($H61),"H61",""),IF(ISERROR($J61),"J61",""),IF(ISERROR($K61),"K61",""),IF(ISERROR($O61),"O61",""),IF(ISERROR($P61),"P61",""),IF(ISERROR($Q61),"Q61",""),IF(ISERROR($R61),"R61",""),IF(ISERROR($S61),"S61",""),IF(ISERROR($T61),"T61",""),IF(ISERROR($X61),"X61",""),IF(ISERROR($Y61),"Y61",""),IF(ISERROR($Z61),"Z61",""))</f>
        <v/>
      </c>
      <c r="AV61" t="str">
        <f>_xlfn.TEXTJOIN("; ",TRUE(),IF(IFERROR(NOT(OR($J61="",$J61="Yes",$J61="No")),TRUE()),"Invalid override value (J)",""),IF(IFERROR(IF($E61="",$I61="Yes",NOT(OR($E61="Blocker",$E61="Major",$E61="Moderate",$E61="Minor"))),TRUE()),"Invalid or missing criticality (E)",""),IF(IFERROR(IF($J61&lt;&gt;"",$T61="",FALSE()),TRUE()),"Override rationale missing / invalid (T)",""),IF(IFERROR(IF(AND($A61="2.7",$I61="Yes",p_confidential="Yes"),$E61&lt;&gt;"Blocker",FALSE()),TRUE()),"2.7 must be Blocker when S4 = Yes",""),IF(IFERROR(IF(AND($A61="5.8",$I61="Yes"),OR($E61="Moderate",$E61="Minor"),FALSE()),TRUE()),"5.8 should be at least Major",""),IF(IF(IFERROR(AND($J61="No",$AI61="Yes",OR($AD61="Blocker",AND($A61="2.7",p_confidential="Yes"))),FALSE()),NOT(AND(IFERROR($X61&lt;&gt;"",FALSE()),IFERROR($Y61&lt;&gt;"",FALSE()),IFERROR(AND(ISNUMBER($Z61),$Z61&gt;=DATE(2020,1,1),$Z61&lt;=DATE(2100,12,31)),FALSE()))),FALSE()),"Blocker de-scope review missing / invalid (X-Z)",""),IF(IF(IFERROR(IF(OR($E61="Blocker",$E61="Major",$E61="Moderate",$E61="Minor"),$F61&lt;IF($AD61="Blocker",Lookups!$B$8,IF($AD61="Major",Lookups!$B$9,IF($AD61="Moderate",Lookups!$B$10,Lookups!$B$11))),FALSE()),FALSE()),NOT(AND(IFERROR($T61&lt;&gt;"",FALSE()),IFERROR($Y61&lt;&gt;"",FALSE()),IF(IFERROR($Z61&lt;&gt;"",FALSE()),IFERROR(AND(ISNUMBER($Z61),$Z61&gt;=DATE(2020,1,1),$Z61&lt;=DATE(2100,12,31)),FALSE()),NOT(ISERROR($Z61))))),FALSE()),"Criticality below baseline: review missing / invalid (T,Y,Z)",""))</f>
        <v/>
      </c>
      <c r="AW61" t="str">
        <f t="shared" si="41"/>
        <v/>
      </c>
    </row>
    <row r="62" spans="1:49" ht="45" customHeight="1" x14ac:dyDescent="0.3">
      <c r="A62" s="22" t="s">
        <v>418</v>
      </c>
      <c r="B62" s="23" t="s">
        <v>400</v>
      </c>
      <c r="C62" s="24" t="s">
        <v>202</v>
      </c>
      <c r="D62" s="24" t="s">
        <v>419</v>
      </c>
      <c r="E62" s="25" t="s">
        <v>191</v>
      </c>
      <c r="F62" s="26">
        <f>IFERROR(IF($E62="Blocker",Lookups!$B$8,IF($E62="Major",Lookups!$B$9,IF($E62="Moderate",Lookups!$B$10,IF($E62="Minor",Lookups!$B$11,0)))),0)</f>
        <v>5</v>
      </c>
      <c r="G62" s="16">
        <v>4</v>
      </c>
      <c r="H62" s="16">
        <v>5</v>
      </c>
      <c r="I62" s="27" t="str">
        <f>IFERROR(IF(OR($J62="Yes",$J62="No"),$J62,IF(p_autonomy="None (chat or single completions)","No","Yes")),"Yes")</f>
        <v>Yes</v>
      </c>
      <c r="J62" s="25"/>
      <c r="K62" s="25"/>
      <c r="L62" s="27" t="str">
        <f t="shared" si="21"/>
        <v/>
      </c>
      <c r="M62" s="27">
        <f t="shared" si="22"/>
        <v>100</v>
      </c>
      <c r="N62" s="27" t="str">
        <f t="shared" si="23"/>
        <v/>
      </c>
      <c r="O62" s="25"/>
      <c r="P62" s="25"/>
      <c r="Q62" s="25"/>
      <c r="R62" s="28"/>
      <c r="S62" s="25"/>
      <c r="T62" s="25"/>
      <c r="U62" s="29" t="str">
        <f t="shared" si="24"/>
        <v/>
      </c>
      <c r="V62" s="24"/>
      <c r="W62" s="24" t="s">
        <v>420</v>
      </c>
      <c r="X62" s="13"/>
      <c r="Y62" s="13"/>
      <c r="Z62" s="14"/>
      <c r="AA62" t="str">
        <f t="shared" si="25"/>
        <v/>
      </c>
      <c r="AB62" t="str">
        <f t="shared" si="26"/>
        <v/>
      </c>
      <c r="AC62" t="str">
        <f t="shared" si="27"/>
        <v/>
      </c>
      <c r="AD62" t="s">
        <v>191</v>
      </c>
      <c r="AF62">
        <f>IF(OR(IFERROR(NOT(OR($J62="",$J62="Yes",$J62="No")),TRUE()),IFERROR(IF($E62="",$I62="Yes",NOT(OR($E62="Blocker",$E62="Major",$E62="Moderate",$E62="Minor"))),TRUE()),IFERROR(IF($J62&lt;&gt;"",$T62="",FALSE()),TRUE()),IFERROR(IF(AND($A62="2.7",$I62="Yes",p_confidential="Yes"),$E62&lt;&gt;"Blocker",FALSE()),TRUE()),IFERROR(IF(AND($A62="5.8",$I62="Yes"),OR($E62="Moderate",$E62="Minor"),FALSE()),TRUE()),IF(IFERROR(AND($J62="No",$AI62="Yes",OR($AD62="Blocker",AND($A62="2.7",p_confidential="Yes"))),FALSE()),NOT(AND(IFERROR($X62&lt;&gt;"",FALSE()),IFERROR($Y62&lt;&gt;"",FALSE()),IFERROR(AND(ISNUMBER($Z62),$Z62&gt;=DATE(2020,1,1),$Z62&lt;=DATE(2100,12,31)),FALSE()))),FALSE()),IF(IFERROR(IF(OR($E62="Blocker",$E62="Major",$E62="Moderate",$E62="Minor"),$F62&lt;IF($AD62="Blocker",Lookups!$B$8,IF($AD62="Major",Lookups!$B$9,IF($AD62="Moderate",Lookups!$B$10,Lookups!$B$11))),FALSE()),FALSE()),NOT(AND(IFERROR($T62&lt;&gt;"",FALSE()),IFERROR($Y62&lt;&gt;"",FALSE()),IF(IFERROR($Z62&lt;&gt;"",FALSE()),IFERROR(AND(ISNUMBER($Z62),$Z62&gt;=DATE(2020,1,1),$Z62&lt;=DATE(2100,12,31)),FALSE()),NOT(ISERROR($Z62))))),FALSE())),1,0)</f>
        <v>0</v>
      </c>
      <c r="AG62">
        <f t="shared" si="28"/>
        <v>0</v>
      </c>
      <c r="AH62" t="str">
        <f t="shared" si="29"/>
        <v/>
      </c>
      <c r="AI62" t="str">
        <f>IFERROR(IF(p_autonomy="None (chat or single completions)","No","Yes"),"Yes")</f>
        <v>Yes</v>
      </c>
      <c r="AJ62">
        <f t="shared" si="30"/>
        <v>0</v>
      </c>
      <c r="AK62">
        <f t="shared" si="31"/>
        <v>0</v>
      </c>
      <c r="AL62">
        <f t="shared" si="32"/>
        <v>0</v>
      </c>
      <c r="AM62">
        <f t="shared" si="33"/>
        <v>0</v>
      </c>
      <c r="AN62">
        <f t="shared" si="34"/>
        <v>0</v>
      </c>
      <c r="AO62">
        <f t="shared" si="35"/>
        <v>0</v>
      </c>
      <c r="AP62">
        <f t="shared" si="36"/>
        <v>0</v>
      </c>
      <c r="AQ62">
        <f t="shared" si="37"/>
        <v>0</v>
      </c>
      <c r="AR62">
        <f t="shared" si="38"/>
        <v>0</v>
      </c>
      <c r="AS62">
        <f t="shared" si="39"/>
        <v>0</v>
      </c>
      <c r="AT62">
        <f t="shared" si="40"/>
        <v>0</v>
      </c>
      <c r="AU62" t="str">
        <f>_xlfn.TEXTJOIN(", ",TRUE(),IF(ISERROR($E62),"E62",""),IF(ISERROR($G62),"G62",""),IF(ISERROR($H62),"H62",""),IF(ISERROR($J62),"J62",""),IF(ISERROR($K62),"K62",""),IF(ISERROR($O62),"O62",""),IF(ISERROR($P62),"P62",""),IF(ISERROR($Q62),"Q62",""),IF(ISERROR($R62),"R62",""),IF(ISERROR($S62),"S62",""),IF(ISERROR($T62),"T62",""),IF(ISERROR($X62),"X62",""),IF(ISERROR($Y62),"Y62",""),IF(ISERROR($Z62),"Z62",""))</f>
        <v/>
      </c>
      <c r="AV62" t="str">
        <f>_xlfn.TEXTJOIN("; ",TRUE(),IF(IFERROR(NOT(OR($J62="",$J62="Yes",$J62="No")),TRUE()),"Invalid override value (J)",""),IF(IFERROR(IF($E62="",$I62="Yes",NOT(OR($E62="Blocker",$E62="Major",$E62="Moderate",$E62="Minor"))),TRUE()),"Invalid or missing criticality (E)",""),IF(IFERROR(IF($J62&lt;&gt;"",$T62="",FALSE()),TRUE()),"Override rationale missing / invalid (T)",""),IF(IFERROR(IF(AND($A62="2.7",$I62="Yes",p_confidential="Yes"),$E62&lt;&gt;"Blocker",FALSE()),TRUE()),"2.7 must be Blocker when S4 = Yes",""),IF(IFERROR(IF(AND($A62="5.8",$I62="Yes"),OR($E62="Moderate",$E62="Minor"),FALSE()),TRUE()),"5.8 should be at least Major",""),IF(IF(IFERROR(AND($J62="No",$AI62="Yes",OR($AD62="Blocker",AND($A62="2.7",p_confidential="Yes"))),FALSE()),NOT(AND(IFERROR($X62&lt;&gt;"",FALSE()),IFERROR($Y62&lt;&gt;"",FALSE()),IFERROR(AND(ISNUMBER($Z62),$Z62&gt;=DATE(2020,1,1),$Z62&lt;=DATE(2100,12,31)),FALSE()))),FALSE()),"Blocker de-scope review missing / invalid (X-Z)",""),IF(IF(IFERROR(IF(OR($E62="Blocker",$E62="Major",$E62="Moderate",$E62="Minor"),$F62&lt;IF($AD62="Blocker",Lookups!$B$8,IF($AD62="Major",Lookups!$B$9,IF($AD62="Moderate",Lookups!$B$10,Lookups!$B$11))),FALSE()),FALSE()),NOT(AND(IFERROR($T62&lt;&gt;"",FALSE()),IFERROR($Y62&lt;&gt;"",FALSE()),IF(IFERROR($Z62&lt;&gt;"",FALSE()),IFERROR(AND(ISNUMBER($Z62),$Z62&gt;=DATE(2020,1,1),$Z62&lt;=DATE(2100,12,31)),FALSE()),NOT(ISERROR($Z62))))),FALSE()),"Criticality below baseline: review missing / invalid (T,Y,Z)",""))</f>
        <v/>
      </c>
      <c r="AW62" t="str">
        <f t="shared" si="41"/>
        <v/>
      </c>
    </row>
    <row r="63" spans="1:49" ht="45" customHeight="1" x14ac:dyDescent="0.3">
      <c r="A63" s="22" t="s">
        <v>421</v>
      </c>
      <c r="B63" s="23" t="s">
        <v>400</v>
      </c>
      <c r="C63" s="24" t="s">
        <v>422</v>
      </c>
      <c r="D63" s="24" t="s">
        <v>423</v>
      </c>
      <c r="E63" s="25" t="s">
        <v>187</v>
      </c>
      <c r="F63" s="26">
        <f>IFERROR(IF($E63="Blocker",Lookups!$B$8,IF($E63="Major",Lookups!$B$9,IF($E63="Moderate",Lookups!$B$10,IF($E63="Minor",Lookups!$B$11,0)))),0)</f>
        <v>4</v>
      </c>
      <c r="G63" s="16">
        <v>3</v>
      </c>
      <c r="H63" s="16">
        <v>4</v>
      </c>
      <c r="I63" s="27" t="str">
        <f>IFERROR(IF(OR($J63="Yes",$J63="No"),$J63,IF(p_memory="No","No","Yes")),"Yes")</f>
        <v>Yes</v>
      </c>
      <c r="J63" s="25"/>
      <c r="K63" s="25"/>
      <c r="L63" s="27" t="str">
        <f t="shared" si="21"/>
        <v/>
      </c>
      <c r="M63" s="27">
        <f t="shared" si="22"/>
        <v>48</v>
      </c>
      <c r="N63" s="27" t="str">
        <f t="shared" si="23"/>
        <v/>
      </c>
      <c r="O63" s="25"/>
      <c r="P63" s="25"/>
      <c r="Q63" s="25"/>
      <c r="R63" s="28"/>
      <c r="S63" s="25"/>
      <c r="T63" s="25"/>
      <c r="U63" s="29" t="str">
        <f t="shared" si="24"/>
        <v/>
      </c>
      <c r="V63" s="24"/>
      <c r="W63" s="24" t="s">
        <v>424</v>
      </c>
      <c r="X63" s="13"/>
      <c r="Y63" s="13"/>
      <c r="Z63" s="14"/>
      <c r="AA63" t="str">
        <f t="shared" si="25"/>
        <v/>
      </c>
      <c r="AB63" t="str">
        <f t="shared" si="26"/>
        <v/>
      </c>
      <c r="AC63" t="str">
        <f t="shared" si="27"/>
        <v/>
      </c>
      <c r="AD63" t="s">
        <v>187</v>
      </c>
      <c r="AF63">
        <f>IF(OR(IFERROR(NOT(OR($J63="",$J63="Yes",$J63="No")),TRUE()),IFERROR(IF($E63="",$I63="Yes",NOT(OR($E63="Blocker",$E63="Major",$E63="Moderate",$E63="Minor"))),TRUE()),IFERROR(IF($J63&lt;&gt;"",$T63="",FALSE()),TRUE()),IFERROR(IF(AND($A63="2.7",$I63="Yes",p_confidential="Yes"),$E63&lt;&gt;"Blocker",FALSE()),TRUE()),IFERROR(IF(AND($A63="5.8",$I63="Yes"),OR($E63="Moderate",$E63="Minor"),FALSE()),TRUE()),IF(IFERROR(AND($J63="No",$AI63="Yes",OR($AD63="Blocker",AND($A63="2.7",p_confidential="Yes"))),FALSE()),NOT(AND(IFERROR($X63&lt;&gt;"",FALSE()),IFERROR($Y63&lt;&gt;"",FALSE()),IFERROR(AND(ISNUMBER($Z63),$Z63&gt;=DATE(2020,1,1),$Z63&lt;=DATE(2100,12,31)),FALSE()))),FALSE()),IF(IFERROR(IF(OR($E63="Blocker",$E63="Major",$E63="Moderate",$E63="Minor"),$F63&lt;IF($AD63="Blocker",Lookups!$B$8,IF($AD63="Major",Lookups!$B$9,IF($AD63="Moderate",Lookups!$B$10,Lookups!$B$11))),FALSE()),FALSE()),NOT(AND(IFERROR($T63&lt;&gt;"",FALSE()),IFERROR($Y63&lt;&gt;"",FALSE()),IF(IFERROR($Z63&lt;&gt;"",FALSE()),IFERROR(AND(ISNUMBER($Z63),$Z63&gt;=DATE(2020,1,1),$Z63&lt;=DATE(2100,12,31)),FALSE()),NOT(ISERROR($Z63))))),FALSE())),1,0)</f>
        <v>0</v>
      </c>
      <c r="AG63">
        <f t="shared" si="28"/>
        <v>0</v>
      </c>
      <c r="AH63" t="str">
        <f t="shared" si="29"/>
        <v/>
      </c>
      <c r="AI63" t="str">
        <f>IFERROR(IF(p_memory="No","No","Yes"),"Yes")</f>
        <v>Yes</v>
      </c>
      <c r="AJ63">
        <f t="shared" si="30"/>
        <v>0</v>
      </c>
      <c r="AK63">
        <f t="shared" si="31"/>
        <v>0</v>
      </c>
      <c r="AL63">
        <f t="shared" si="32"/>
        <v>0</v>
      </c>
      <c r="AM63">
        <f t="shared" si="33"/>
        <v>0</v>
      </c>
      <c r="AN63">
        <f t="shared" si="34"/>
        <v>0</v>
      </c>
      <c r="AO63">
        <f t="shared" si="35"/>
        <v>0</v>
      </c>
      <c r="AP63">
        <f t="shared" si="36"/>
        <v>0</v>
      </c>
      <c r="AQ63">
        <f t="shared" si="37"/>
        <v>0</v>
      </c>
      <c r="AR63">
        <f t="shared" si="38"/>
        <v>0</v>
      </c>
      <c r="AS63">
        <f t="shared" si="39"/>
        <v>0</v>
      </c>
      <c r="AT63">
        <f t="shared" si="40"/>
        <v>0</v>
      </c>
      <c r="AU63" t="str">
        <f>_xlfn.TEXTJOIN(", ",TRUE(),IF(ISERROR($E63),"E63",""),IF(ISERROR($G63),"G63",""),IF(ISERROR($H63),"H63",""),IF(ISERROR($J63),"J63",""),IF(ISERROR($K63),"K63",""),IF(ISERROR($O63),"O63",""),IF(ISERROR($P63),"P63",""),IF(ISERROR($Q63),"Q63",""),IF(ISERROR($R63),"R63",""),IF(ISERROR($S63),"S63",""),IF(ISERROR($T63),"T63",""),IF(ISERROR($X63),"X63",""),IF(ISERROR($Y63),"Y63",""),IF(ISERROR($Z63),"Z63",""))</f>
        <v/>
      </c>
      <c r="AV63" t="str">
        <f>_xlfn.TEXTJOIN("; ",TRUE(),IF(IFERROR(NOT(OR($J63="",$J63="Yes",$J63="No")),TRUE()),"Invalid override value (J)",""),IF(IFERROR(IF($E63="",$I63="Yes",NOT(OR($E63="Blocker",$E63="Major",$E63="Moderate",$E63="Minor"))),TRUE()),"Invalid or missing criticality (E)",""),IF(IFERROR(IF($J63&lt;&gt;"",$T63="",FALSE()),TRUE()),"Override rationale missing / invalid (T)",""),IF(IFERROR(IF(AND($A63="2.7",$I63="Yes",p_confidential="Yes"),$E63&lt;&gt;"Blocker",FALSE()),TRUE()),"2.7 must be Blocker when S4 = Yes",""),IF(IFERROR(IF(AND($A63="5.8",$I63="Yes"),OR($E63="Moderate",$E63="Minor"),FALSE()),TRUE()),"5.8 should be at least Major",""),IF(IF(IFERROR(AND($J63="No",$AI63="Yes",OR($AD63="Blocker",AND($A63="2.7",p_confidential="Yes"))),FALSE()),NOT(AND(IFERROR($X63&lt;&gt;"",FALSE()),IFERROR($Y63&lt;&gt;"",FALSE()),IFERROR(AND(ISNUMBER($Z63),$Z63&gt;=DATE(2020,1,1),$Z63&lt;=DATE(2100,12,31)),FALSE()))),FALSE()),"Blocker de-scope review missing / invalid (X-Z)",""),IF(IF(IFERROR(IF(OR($E63="Blocker",$E63="Major",$E63="Moderate",$E63="Minor"),$F63&lt;IF($AD63="Blocker",Lookups!$B$8,IF($AD63="Major",Lookups!$B$9,IF($AD63="Moderate",Lookups!$B$10,Lookups!$B$11))),FALSE()),FALSE()),NOT(AND(IFERROR($T63&lt;&gt;"",FALSE()),IFERROR($Y63&lt;&gt;"",FALSE()),IF(IFERROR($Z63&lt;&gt;"",FALSE()),IFERROR(AND(ISNUMBER($Z63),$Z63&gt;=DATE(2020,1,1),$Z63&lt;=DATE(2100,12,31)),FALSE()),NOT(ISERROR($Z63))))),FALSE()),"Criticality below baseline: review missing / invalid (T,Y,Z)",""))</f>
        <v/>
      </c>
      <c r="AW63" t="str">
        <f t="shared" si="41"/>
        <v/>
      </c>
    </row>
    <row r="64" spans="1:49" ht="30" customHeight="1" x14ac:dyDescent="0.3">
      <c r="A64" s="22" t="s">
        <v>425</v>
      </c>
      <c r="B64" s="23" t="s">
        <v>400</v>
      </c>
      <c r="C64" s="24" t="s">
        <v>426</v>
      </c>
      <c r="D64" s="24" t="s">
        <v>427</v>
      </c>
      <c r="E64" s="25" t="s">
        <v>187</v>
      </c>
      <c r="F64" s="26">
        <f>IFERROR(IF($E64="Blocker",Lookups!$B$8,IF($E64="Major",Lookups!$B$9,IF($E64="Moderate",Lookups!$B$10,IF($E64="Minor",Lookups!$B$11,0)))),0)</f>
        <v>4</v>
      </c>
      <c r="G64" s="16">
        <v>4</v>
      </c>
      <c r="H64" s="16">
        <v>4</v>
      </c>
      <c r="I64" s="27" t="str">
        <f>IFERROR(IF(OR($J64="Yes",$J64="No"),$J64,IF(OR(p_autonomy="None (chat or single completions)",p_background="No"),"No","Yes")),"Yes")</f>
        <v>Yes</v>
      </c>
      <c r="J64" s="25"/>
      <c r="K64" s="25"/>
      <c r="L64" s="27" t="str">
        <f t="shared" si="21"/>
        <v/>
      </c>
      <c r="M64" s="27">
        <f t="shared" si="22"/>
        <v>64</v>
      </c>
      <c r="N64" s="27" t="str">
        <f t="shared" si="23"/>
        <v/>
      </c>
      <c r="O64" s="25"/>
      <c r="P64" s="25"/>
      <c r="Q64" s="25"/>
      <c r="R64" s="28"/>
      <c r="S64" s="25"/>
      <c r="T64" s="25"/>
      <c r="U64" s="29" t="str">
        <f t="shared" si="24"/>
        <v/>
      </c>
      <c r="V64" s="24"/>
      <c r="W64" s="24" t="s">
        <v>428</v>
      </c>
      <c r="X64" s="13"/>
      <c r="Y64" s="13"/>
      <c r="Z64" s="14"/>
      <c r="AA64" t="str">
        <f t="shared" si="25"/>
        <v/>
      </c>
      <c r="AB64" t="str">
        <f t="shared" si="26"/>
        <v/>
      </c>
      <c r="AC64" t="str">
        <f t="shared" si="27"/>
        <v/>
      </c>
      <c r="AD64" t="s">
        <v>187</v>
      </c>
      <c r="AF64">
        <f>IF(OR(IFERROR(NOT(OR($J64="",$J64="Yes",$J64="No")),TRUE()),IFERROR(IF($E64="",$I64="Yes",NOT(OR($E64="Blocker",$E64="Major",$E64="Moderate",$E64="Minor"))),TRUE()),IFERROR(IF($J64&lt;&gt;"",$T64="",FALSE()),TRUE()),IFERROR(IF(AND($A64="2.7",$I64="Yes",p_confidential="Yes"),$E64&lt;&gt;"Blocker",FALSE()),TRUE()),IFERROR(IF(AND($A64="5.8",$I64="Yes"),OR($E64="Moderate",$E64="Minor"),FALSE()),TRUE()),IF(IFERROR(AND($J64="No",$AI64="Yes",OR($AD64="Blocker",AND($A64="2.7",p_confidential="Yes"))),FALSE()),NOT(AND(IFERROR($X64&lt;&gt;"",FALSE()),IFERROR($Y64&lt;&gt;"",FALSE()),IFERROR(AND(ISNUMBER($Z64),$Z64&gt;=DATE(2020,1,1),$Z64&lt;=DATE(2100,12,31)),FALSE()))),FALSE()),IF(IFERROR(IF(OR($E64="Blocker",$E64="Major",$E64="Moderate",$E64="Minor"),$F64&lt;IF($AD64="Blocker",Lookups!$B$8,IF($AD64="Major",Lookups!$B$9,IF($AD64="Moderate",Lookups!$B$10,Lookups!$B$11))),FALSE()),FALSE()),NOT(AND(IFERROR($T64&lt;&gt;"",FALSE()),IFERROR($Y64&lt;&gt;"",FALSE()),IF(IFERROR($Z64&lt;&gt;"",FALSE()),IFERROR(AND(ISNUMBER($Z64),$Z64&gt;=DATE(2020,1,1),$Z64&lt;=DATE(2100,12,31)),FALSE()),NOT(ISERROR($Z64))))),FALSE())),1,0)</f>
        <v>0</v>
      </c>
      <c r="AG64">
        <f t="shared" si="28"/>
        <v>0</v>
      </c>
      <c r="AH64" t="str">
        <f t="shared" si="29"/>
        <v/>
      </c>
      <c r="AI64" t="str">
        <f>IFERROR(IF(OR(p_autonomy="None (chat or single completions)",p_background="No"),"No","Yes"),"Yes")</f>
        <v>Yes</v>
      </c>
      <c r="AJ64">
        <f t="shared" si="30"/>
        <v>0</v>
      </c>
      <c r="AK64">
        <f t="shared" si="31"/>
        <v>0</v>
      </c>
      <c r="AL64">
        <f t="shared" si="32"/>
        <v>0</v>
      </c>
      <c r="AM64">
        <f t="shared" si="33"/>
        <v>0</v>
      </c>
      <c r="AN64">
        <f t="shared" si="34"/>
        <v>0</v>
      </c>
      <c r="AO64">
        <f t="shared" si="35"/>
        <v>0</v>
      </c>
      <c r="AP64">
        <f t="shared" si="36"/>
        <v>0</v>
      </c>
      <c r="AQ64">
        <f t="shared" si="37"/>
        <v>0</v>
      </c>
      <c r="AR64">
        <f t="shared" si="38"/>
        <v>0</v>
      </c>
      <c r="AS64">
        <f t="shared" si="39"/>
        <v>0</v>
      </c>
      <c r="AT64">
        <f t="shared" si="40"/>
        <v>0</v>
      </c>
      <c r="AU64" t="str">
        <f>_xlfn.TEXTJOIN(", ",TRUE(),IF(ISERROR($E64),"E64",""),IF(ISERROR($G64),"G64",""),IF(ISERROR($H64),"H64",""),IF(ISERROR($J64),"J64",""),IF(ISERROR($K64),"K64",""),IF(ISERROR($O64),"O64",""),IF(ISERROR($P64),"P64",""),IF(ISERROR($Q64),"Q64",""),IF(ISERROR($R64),"R64",""),IF(ISERROR($S64),"S64",""),IF(ISERROR($T64),"T64",""),IF(ISERROR($X64),"X64",""),IF(ISERROR($Y64),"Y64",""),IF(ISERROR($Z64),"Z64",""))</f>
        <v/>
      </c>
      <c r="AV64" t="str">
        <f>_xlfn.TEXTJOIN("; ",TRUE(),IF(IFERROR(NOT(OR($J64="",$J64="Yes",$J64="No")),TRUE()),"Invalid override value (J)",""),IF(IFERROR(IF($E64="",$I64="Yes",NOT(OR($E64="Blocker",$E64="Major",$E64="Moderate",$E64="Minor"))),TRUE()),"Invalid or missing criticality (E)",""),IF(IFERROR(IF($J64&lt;&gt;"",$T64="",FALSE()),TRUE()),"Override rationale missing / invalid (T)",""),IF(IFERROR(IF(AND($A64="2.7",$I64="Yes",p_confidential="Yes"),$E64&lt;&gt;"Blocker",FALSE()),TRUE()),"2.7 must be Blocker when S4 = Yes",""),IF(IFERROR(IF(AND($A64="5.8",$I64="Yes"),OR($E64="Moderate",$E64="Minor"),FALSE()),TRUE()),"5.8 should be at least Major",""),IF(IF(IFERROR(AND($J64="No",$AI64="Yes",OR($AD64="Blocker",AND($A64="2.7",p_confidential="Yes"))),FALSE()),NOT(AND(IFERROR($X64&lt;&gt;"",FALSE()),IFERROR($Y64&lt;&gt;"",FALSE()),IFERROR(AND(ISNUMBER($Z64),$Z64&gt;=DATE(2020,1,1),$Z64&lt;=DATE(2100,12,31)),FALSE()))),FALSE()),"Blocker de-scope review missing / invalid (X-Z)",""),IF(IF(IFERROR(IF(OR($E64="Blocker",$E64="Major",$E64="Moderate",$E64="Minor"),$F64&lt;IF($AD64="Blocker",Lookups!$B$8,IF($AD64="Major",Lookups!$B$9,IF($AD64="Moderate",Lookups!$B$10,Lookups!$B$11))),FALSE()),FALSE()),NOT(AND(IFERROR($T64&lt;&gt;"",FALSE()),IFERROR($Y64&lt;&gt;"",FALSE()),IF(IFERROR($Z64&lt;&gt;"",FALSE()),IFERROR(AND(ISNUMBER($Z64),$Z64&gt;=DATE(2020,1,1),$Z64&lt;=DATE(2100,12,31)),FALSE()),NOT(ISERROR($Z64))))),FALSE()),"Criticality below baseline: review missing / invalid (T,Y,Z)",""))</f>
        <v/>
      </c>
      <c r="AW64" t="str">
        <f t="shared" si="41"/>
        <v/>
      </c>
    </row>
    <row r="65" spans="1:49" ht="30" customHeight="1" x14ac:dyDescent="0.3">
      <c r="A65" s="22" t="s">
        <v>429</v>
      </c>
      <c r="B65" s="23" t="s">
        <v>400</v>
      </c>
      <c r="C65" s="24" t="s">
        <v>202</v>
      </c>
      <c r="D65" s="24" t="s">
        <v>430</v>
      </c>
      <c r="E65" s="25" t="s">
        <v>187</v>
      </c>
      <c r="F65" s="26">
        <f>IFERROR(IF($E65="Blocker",Lookups!$B$8,IF($E65="Major",Lookups!$B$9,IF($E65="Moderate",Lookups!$B$10,IF($E65="Minor",Lookups!$B$11,0)))),0)</f>
        <v>4</v>
      </c>
      <c r="G65" s="16">
        <v>4</v>
      </c>
      <c r="H65" s="16">
        <v>4</v>
      </c>
      <c r="I65" s="27" t="str">
        <f>IFERROR(IF(OR($J65="Yes",$J65="No"),$J65,IF(p_autonomy="None (chat or single completions)","No","Yes")),"Yes")</f>
        <v>Yes</v>
      </c>
      <c r="J65" s="25"/>
      <c r="K65" s="25"/>
      <c r="L65" s="27" t="str">
        <f t="shared" si="21"/>
        <v/>
      </c>
      <c r="M65" s="27">
        <f t="shared" si="22"/>
        <v>64</v>
      </c>
      <c r="N65" s="27" t="str">
        <f t="shared" si="23"/>
        <v/>
      </c>
      <c r="O65" s="25"/>
      <c r="P65" s="25"/>
      <c r="Q65" s="25"/>
      <c r="R65" s="28"/>
      <c r="S65" s="25"/>
      <c r="T65" s="25"/>
      <c r="U65" s="29" t="str">
        <f t="shared" si="24"/>
        <v/>
      </c>
      <c r="V65" s="24"/>
      <c r="W65" s="24" t="s">
        <v>431</v>
      </c>
      <c r="X65" s="13"/>
      <c r="Y65" s="13"/>
      <c r="Z65" s="14"/>
      <c r="AA65" t="str">
        <f t="shared" si="25"/>
        <v/>
      </c>
      <c r="AB65" t="str">
        <f t="shared" si="26"/>
        <v/>
      </c>
      <c r="AC65" t="str">
        <f t="shared" si="27"/>
        <v/>
      </c>
      <c r="AD65" t="s">
        <v>187</v>
      </c>
      <c r="AF65">
        <f>IF(OR(IFERROR(NOT(OR($J65="",$J65="Yes",$J65="No")),TRUE()),IFERROR(IF($E65="",$I65="Yes",NOT(OR($E65="Blocker",$E65="Major",$E65="Moderate",$E65="Minor"))),TRUE()),IFERROR(IF($J65&lt;&gt;"",$T65="",FALSE()),TRUE()),IFERROR(IF(AND($A65="2.7",$I65="Yes",p_confidential="Yes"),$E65&lt;&gt;"Blocker",FALSE()),TRUE()),IFERROR(IF(AND($A65="5.8",$I65="Yes"),OR($E65="Moderate",$E65="Minor"),FALSE()),TRUE()),IF(IFERROR(AND($J65="No",$AI65="Yes",OR($AD65="Blocker",AND($A65="2.7",p_confidential="Yes"))),FALSE()),NOT(AND(IFERROR($X65&lt;&gt;"",FALSE()),IFERROR($Y65&lt;&gt;"",FALSE()),IFERROR(AND(ISNUMBER($Z65),$Z65&gt;=DATE(2020,1,1),$Z65&lt;=DATE(2100,12,31)),FALSE()))),FALSE()),IF(IFERROR(IF(OR($E65="Blocker",$E65="Major",$E65="Moderate",$E65="Minor"),$F65&lt;IF($AD65="Blocker",Lookups!$B$8,IF($AD65="Major",Lookups!$B$9,IF($AD65="Moderate",Lookups!$B$10,Lookups!$B$11))),FALSE()),FALSE()),NOT(AND(IFERROR($T65&lt;&gt;"",FALSE()),IFERROR($Y65&lt;&gt;"",FALSE()),IF(IFERROR($Z65&lt;&gt;"",FALSE()),IFERROR(AND(ISNUMBER($Z65),$Z65&gt;=DATE(2020,1,1),$Z65&lt;=DATE(2100,12,31)),FALSE()),NOT(ISERROR($Z65))))),FALSE())),1,0)</f>
        <v>0</v>
      </c>
      <c r="AG65">
        <f t="shared" si="28"/>
        <v>0</v>
      </c>
      <c r="AH65" t="str">
        <f t="shared" si="29"/>
        <v/>
      </c>
      <c r="AI65" t="str">
        <f>IFERROR(IF(p_autonomy="None (chat or single completions)","No","Yes"),"Yes")</f>
        <v>Yes</v>
      </c>
      <c r="AJ65">
        <f t="shared" si="30"/>
        <v>0</v>
      </c>
      <c r="AK65">
        <f t="shared" si="31"/>
        <v>0</v>
      </c>
      <c r="AL65">
        <f t="shared" si="32"/>
        <v>0</v>
      </c>
      <c r="AM65">
        <f t="shared" si="33"/>
        <v>0</v>
      </c>
      <c r="AN65">
        <f t="shared" si="34"/>
        <v>0</v>
      </c>
      <c r="AO65">
        <f t="shared" si="35"/>
        <v>0</v>
      </c>
      <c r="AP65">
        <f t="shared" si="36"/>
        <v>0</v>
      </c>
      <c r="AQ65">
        <f t="shared" si="37"/>
        <v>0</v>
      </c>
      <c r="AR65">
        <f t="shared" si="38"/>
        <v>0</v>
      </c>
      <c r="AS65">
        <f t="shared" si="39"/>
        <v>0</v>
      </c>
      <c r="AT65">
        <f t="shared" si="40"/>
        <v>0</v>
      </c>
      <c r="AU65" t="str">
        <f>_xlfn.TEXTJOIN(", ",TRUE(),IF(ISERROR($E65),"E65",""),IF(ISERROR($G65),"G65",""),IF(ISERROR($H65),"H65",""),IF(ISERROR($J65),"J65",""),IF(ISERROR($K65),"K65",""),IF(ISERROR($O65),"O65",""),IF(ISERROR($P65),"P65",""),IF(ISERROR($Q65),"Q65",""),IF(ISERROR($R65),"R65",""),IF(ISERROR($S65),"S65",""),IF(ISERROR($T65),"T65",""),IF(ISERROR($X65),"X65",""),IF(ISERROR($Y65),"Y65",""),IF(ISERROR($Z65),"Z65",""))</f>
        <v/>
      </c>
      <c r="AV65" t="str">
        <f>_xlfn.TEXTJOIN("; ",TRUE(),IF(IFERROR(NOT(OR($J65="",$J65="Yes",$J65="No")),TRUE()),"Invalid override value (J)",""),IF(IFERROR(IF($E65="",$I65="Yes",NOT(OR($E65="Blocker",$E65="Major",$E65="Moderate",$E65="Minor"))),TRUE()),"Invalid or missing criticality (E)",""),IF(IFERROR(IF($J65&lt;&gt;"",$T65="",FALSE()),TRUE()),"Override rationale missing / invalid (T)",""),IF(IFERROR(IF(AND($A65="2.7",$I65="Yes",p_confidential="Yes"),$E65&lt;&gt;"Blocker",FALSE()),TRUE()),"2.7 must be Blocker when S4 = Yes",""),IF(IFERROR(IF(AND($A65="5.8",$I65="Yes"),OR($E65="Moderate",$E65="Minor"),FALSE()),TRUE()),"5.8 should be at least Major",""),IF(IF(IFERROR(AND($J65="No",$AI65="Yes",OR($AD65="Blocker",AND($A65="2.7",p_confidential="Yes"))),FALSE()),NOT(AND(IFERROR($X65&lt;&gt;"",FALSE()),IFERROR($Y65&lt;&gt;"",FALSE()),IFERROR(AND(ISNUMBER($Z65),$Z65&gt;=DATE(2020,1,1),$Z65&lt;=DATE(2100,12,31)),FALSE()))),FALSE()),"Blocker de-scope review missing / invalid (X-Z)",""),IF(IF(IFERROR(IF(OR($E65="Blocker",$E65="Major",$E65="Moderate",$E65="Minor"),$F65&lt;IF($AD65="Blocker",Lookups!$B$8,IF($AD65="Major",Lookups!$B$9,IF($AD65="Moderate",Lookups!$B$10,Lookups!$B$11))),FALSE()),FALSE()),NOT(AND(IFERROR($T65&lt;&gt;"",FALSE()),IFERROR($Y65&lt;&gt;"",FALSE()),IF(IFERROR($Z65&lt;&gt;"",FALSE()),IFERROR(AND(ISNUMBER($Z65),$Z65&gt;=DATE(2020,1,1),$Z65&lt;=DATE(2100,12,31)),FALSE()),NOT(ISERROR($Z65))))),FALSE()),"Criticality below baseline: review missing / invalid (T,Y,Z)",""))</f>
        <v/>
      </c>
      <c r="AW65" t="str">
        <f t="shared" si="41"/>
        <v/>
      </c>
    </row>
    <row r="66" spans="1:49" ht="45" customHeight="1" x14ac:dyDescent="0.3">
      <c r="A66" s="22" t="s">
        <v>432</v>
      </c>
      <c r="B66" s="23" t="s">
        <v>400</v>
      </c>
      <c r="C66" s="24" t="s">
        <v>202</v>
      </c>
      <c r="D66" s="24" t="s">
        <v>433</v>
      </c>
      <c r="E66" s="25" t="s">
        <v>191</v>
      </c>
      <c r="F66" s="26">
        <f>IFERROR(IF($E66="Blocker",Lookups!$B$8,IF($E66="Major",Lookups!$B$9,IF($E66="Moderate",Lookups!$B$10,IF($E66="Minor",Lookups!$B$11,0)))),0)</f>
        <v>5</v>
      </c>
      <c r="G66" s="16">
        <v>3</v>
      </c>
      <c r="H66" s="16">
        <v>5</v>
      </c>
      <c r="I66" s="27" t="str">
        <f>IFERROR(IF(OR($J66="Yes",$J66="No"),$J66,IF(p_autonomy="None (chat or single completions)","No","Yes")),"Yes")</f>
        <v>Yes</v>
      </c>
      <c r="J66" s="25"/>
      <c r="K66" s="25"/>
      <c r="L66" s="27" t="str">
        <f t="shared" si="21"/>
        <v/>
      </c>
      <c r="M66" s="27">
        <f t="shared" si="22"/>
        <v>75</v>
      </c>
      <c r="N66" s="27" t="str">
        <f t="shared" si="23"/>
        <v/>
      </c>
      <c r="O66" s="25"/>
      <c r="P66" s="25"/>
      <c r="Q66" s="25"/>
      <c r="R66" s="28"/>
      <c r="S66" s="25"/>
      <c r="T66" s="25"/>
      <c r="U66" s="29" t="str">
        <f t="shared" si="24"/>
        <v/>
      </c>
      <c r="V66" s="24" t="s">
        <v>434</v>
      </c>
      <c r="W66" s="24" t="s">
        <v>435</v>
      </c>
      <c r="X66" s="13"/>
      <c r="Y66" s="13"/>
      <c r="Z66" s="14"/>
      <c r="AA66" t="str">
        <f t="shared" si="25"/>
        <v/>
      </c>
      <c r="AB66" t="str">
        <f t="shared" si="26"/>
        <v/>
      </c>
      <c r="AC66" t="str">
        <f t="shared" si="27"/>
        <v/>
      </c>
      <c r="AD66" t="s">
        <v>191</v>
      </c>
      <c r="AF66">
        <f>IF(OR(IFERROR(NOT(OR($J66="",$J66="Yes",$J66="No")),TRUE()),IFERROR(IF($E66="",$I66="Yes",NOT(OR($E66="Blocker",$E66="Major",$E66="Moderate",$E66="Minor"))),TRUE()),IFERROR(IF($J66&lt;&gt;"",$T66="",FALSE()),TRUE()),IFERROR(IF(AND($A66="2.7",$I66="Yes",p_confidential="Yes"),$E66&lt;&gt;"Blocker",FALSE()),TRUE()),IFERROR(IF(AND($A66="5.8",$I66="Yes"),OR($E66="Moderate",$E66="Minor"),FALSE()),TRUE()),IF(IFERROR(AND($J66="No",$AI66="Yes",OR($AD66="Blocker",AND($A66="2.7",p_confidential="Yes"))),FALSE()),NOT(AND(IFERROR($X66&lt;&gt;"",FALSE()),IFERROR($Y66&lt;&gt;"",FALSE()),IFERROR(AND(ISNUMBER($Z66),$Z66&gt;=DATE(2020,1,1),$Z66&lt;=DATE(2100,12,31)),FALSE()))),FALSE()),IF(IFERROR(IF(OR($E66="Blocker",$E66="Major",$E66="Moderate",$E66="Minor"),$F66&lt;IF($AD66="Blocker",Lookups!$B$8,IF($AD66="Major",Lookups!$B$9,IF($AD66="Moderate",Lookups!$B$10,Lookups!$B$11))),FALSE()),FALSE()),NOT(AND(IFERROR($T66&lt;&gt;"",FALSE()),IFERROR($Y66&lt;&gt;"",FALSE()),IF(IFERROR($Z66&lt;&gt;"",FALSE()),IFERROR(AND(ISNUMBER($Z66),$Z66&gt;=DATE(2020,1,1),$Z66&lt;=DATE(2100,12,31)),FALSE()),NOT(ISERROR($Z66))))),FALSE())),1,0)</f>
        <v>0</v>
      </c>
      <c r="AG66">
        <f t="shared" si="28"/>
        <v>0</v>
      </c>
      <c r="AH66" t="str">
        <f t="shared" si="29"/>
        <v/>
      </c>
      <c r="AI66" t="str">
        <f>IFERROR(IF(p_autonomy="None (chat or single completions)","No","Yes"),"Yes")</f>
        <v>Yes</v>
      </c>
      <c r="AJ66">
        <f t="shared" si="30"/>
        <v>0</v>
      </c>
      <c r="AK66">
        <f t="shared" si="31"/>
        <v>0</v>
      </c>
      <c r="AL66">
        <f t="shared" si="32"/>
        <v>0</v>
      </c>
      <c r="AM66">
        <f t="shared" si="33"/>
        <v>0</v>
      </c>
      <c r="AN66">
        <f t="shared" si="34"/>
        <v>0</v>
      </c>
      <c r="AO66">
        <f t="shared" si="35"/>
        <v>0</v>
      </c>
      <c r="AP66">
        <f t="shared" si="36"/>
        <v>0</v>
      </c>
      <c r="AQ66">
        <f t="shared" si="37"/>
        <v>0</v>
      </c>
      <c r="AR66">
        <f t="shared" si="38"/>
        <v>0</v>
      </c>
      <c r="AS66">
        <f t="shared" si="39"/>
        <v>0</v>
      </c>
      <c r="AT66">
        <f t="shared" si="40"/>
        <v>0</v>
      </c>
      <c r="AU66" t="str">
        <f>_xlfn.TEXTJOIN(", ",TRUE(),IF(ISERROR($E66),"E66",""),IF(ISERROR($G66),"G66",""),IF(ISERROR($H66),"H66",""),IF(ISERROR($J66),"J66",""),IF(ISERROR($K66),"K66",""),IF(ISERROR($O66),"O66",""),IF(ISERROR($P66),"P66",""),IF(ISERROR($Q66),"Q66",""),IF(ISERROR($R66),"R66",""),IF(ISERROR($S66),"S66",""),IF(ISERROR($T66),"T66",""),IF(ISERROR($X66),"X66",""),IF(ISERROR($Y66),"Y66",""),IF(ISERROR($Z66),"Z66",""))</f>
        <v/>
      </c>
      <c r="AV66" t="str">
        <f>_xlfn.TEXTJOIN("; ",TRUE(),IF(IFERROR(NOT(OR($J66="",$J66="Yes",$J66="No")),TRUE()),"Invalid override value (J)",""),IF(IFERROR(IF($E66="",$I66="Yes",NOT(OR($E66="Blocker",$E66="Major",$E66="Moderate",$E66="Minor"))),TRUE()),"Invalid or missing criticality (E)",""),IF(IFERROR(IF($J66&lt;&gt;"",$T66="",FALSE()),TRUE()),"Override rationale missing / invalid (T)",""),IF(IFERROR(IF(AND($A66="2.7",$I66="Yes",p_confidential="Yes"),$E66&lt;&gt;"Blocker",FALSE()),TRUE()),"2.7 must be Blocker when S4 = Yes",""),IF(IFERROR(IF(AND($A66="5.8",$I66="Yes"),OR($E66="Moderate",$E66="Minor"),FALSE()),TRUE()),"5.8 should be at least Major",""),IF(IF(IFERROR(AND($J66="No",$AI66="Yes",OR($AD66="Blocker",AND($A66="2.7",p_confidential="Yes"))),FALSE()),NOT(AND(IFERROR($X66&lt;&gt;"",FALSE()),IFERROR($Y66&lt;&gt;"",FALSE()),IFERROR(AND(ISNUMBER($Z66),$Z66&gt;=DATE(2020,1,1),$Z66&lt;=DATE(2100,12,31)),FALSE()))),FALSE()),"Blocker de-scope review missing / invalid (X-Z)",""),IF(IF(IFERROR(IF(OR($E66="Blocker",$E66="Major",$E66="Moderate",$E66="Minor"),$F66&lt;IF($AD66="Blocker",Lookups!$B$8,IF($AD66="Major",Lookups!$B$9,IF($AD66="Moderate",Lookups!$B$10,Lookups!$B$11))),FALSE()),FALSE()),NOT(AND(IFERROR($T66&lt;&gt;"",FALSE()),IFERROR($Y66&lt;&gt;"",FALSE()),IF(IFERROR($Z66&lt;&gt;"",FALSE()),IFERROR(AND(ISNUMBER($Z66),$Z66&gt;=DATE(2020,1,1),$Z66&lt;=DATE(2100,12,31)),FALSE()),NOT(ISERROR($Z66))))),FALSE()),"Criticality below baseline: review missing / invalid (T,Y,Z)",""))</f>
        <v/>
      </c>
      <c r="AW66" t="str">
        <f t="shared" si="41"/>
        <v/>
      </c>
    </row>
    <row r="67" spans="1:49" ht="45" customHeight="1" x14ac:dyDescent="0.3">
      <c r="A67" s="22" t="s">
        <v>436</v>
      </c>
      <c r="B67" s="23" t="s">
        <v>400</v>
      </c>
      <c r="C67" s="24" t="s">
        <v>437</v>
      </c>
      <c r="D67" s="24" t="s">
        <v>438</v>
      </c>
      <c r="E67" s="25" t="s">
        <v>187</v>
      </c>
      <c r="F67" s="26">
        <f>IFERROR(IF($E67="Blocker",Lookups!$B$8,IF($E67="Major",Lookups!$B$9,IF($E67="Moderate",Lookups!$B$10,IF($E67="Minor",Lookups!$B$11,0)))),0)</f>
        <v>4</v>
      </c>
      <c r="G67" s="16">
        <v>3</v>
      </c>
      <c r="H67" s="16">
        <v>4</v>
      </c>
      <c r="I67" s="27" t="str">
        <f>IFERROR(IF(OR($J67="Yes",$J67="No"),$J67,IF(AND(p_multiagent="No",p_mcp="No"),"No","Yes")),"Yes")</f>
        <v>Yes</v>
      </c>
      <c r="J67" s="25"/>
      <c r="K67" s="25"/>
      <c r="L67" s="27" t="str">
        <f t="shared" si="21"/>
        <v/>
      </c>
      <c r="M67" s="27">
        <f t="shared" si="22"/>
        <v>48</v>
      </c>
      <c r="N67" s="27" t="str">
        <f t="shared" si="23"/>
        <v/>
      </c>
      <c r="O67" s="25"/>
      <c r="P67" s="25"/>
      <c r="Q67" s="25"/>
      <c r="R67" s="28"/>
      <c r="S67" s="25"/>
      <c r="T67" s="25"/>
      <c r="U67" s="29" t="str">
        <f t="shared" si="24"/>
        <v/>
      </c>
      <c r="V67" s="24" t="s">
        <v>439</v>
      </c>
      <c r="W67" s="24" t="s">
        <v>440</v>
      </c>
      <c r="X67" s="13"/>
      <c r="Y67" s="13"/>
      <c r="Z67" s="14"/>
      <c r="AA67" t="str">
        <f t="shared" si="25"/>
        <v/>
      </c>
      <c r="AB67" t="str">
        <f t="shared" si="26"/>
        <v/>
      </c>
      <c r="AC67" t="str">
        <f t="shared" si="27"/>
        <v/>
      </c>
      <c r="AD67" t="s">
        <v>187</v>
      </c>
      <c r="AF67">
        <f>IF(OR(IFERROR(NOT(OR($J67="",$J67="Yes",$J67="No")),TRUE()),IFERROR(IF($E67="",$I67="Yes",NOT(OR($E67="Blocker",$E67="Major",$E67="Moderate",$E67="Minor"))),TRUE()),IFERROR(IF($J67&lt;&gt;"",$T67="",FALSE()),TRUE()),IFERROR(IF(AND($A67="2.7",$I67="Yes",p_confidential="Yes"),$E67&lt;&gt;"Blocker",FALSE()),TRUE()),IFERROR(IF(AND($A67="5.8",$I67="Yes"),OR($E67="Moderate",$E67="Minor"),FALSE()),TRUE()),IF(IFERROR(AND($J67="No",$AI67="Yes",OR($AD67="Blocker",AND($A67="2.7",p_confidential="Yes"))),FALSE()),NOT(AND(IFERROR($X67&lt;&gt;"",FALSE()),IFERROR($Y67&lt;&gt;"",FALSE()),IFERROR(AND(ISNUMBER($Z67),$Z67&gt;=DATE(2020,1,1),$Z67&lt;=DATE(2100,12,31)),FALSE()))),FALSE()),IF(IFERROR(IF(OR($E67="Blocker",$E67="Major",$E67="Moderate",$E67="Minor"),$F67&lt;IF($AD67="Blocker",Lookups!$B$8,IF($AD67="Major",Lookups!$B$9,IF($AD67="Moderate",Lookups!$B$10,Lookups!$B$11))),FALSE()),FALSE()),NOT(AND(IFERROR($T67&lt;&gt;"",FALSE()),IFERROR($Y67&lt;&gt;"",FALSE()),IF(IFERROR($Z67&lt;&gt;"",FALSE()),IFERROR(AND(ISNUMBER($Z67),$Z67&gt;=DATE(2020,1,1),$Z67&lt;=DATE(2100,12,31)),FALSE()),NOT(ISERROR($Z67))))),FALSE())),1,0)</f>
        <v>0</v>
      </c>
      <c r="AG67">
        <f t="shared" si="28"/>
        <v>0</v>
      </c>
      <c r="AH67" t="str">
        <f t="shared" si="29"/>
        <v/>
      </c>
      <c r="AI67" t="str">
        <f>IFERROR(IF(AND(p_multiagent="No",p_mcp="No"),"No","Yes"),"Yes")</f>
        <v>Yes</v>
      </c>
      <c r="AJ67">
        <f t="shared" si="30"/>
        <v>0</v>
      </c>
      <c r="AK67">
        <f t="shared" si="31"/>
        <v>0</v>
      </c>
      <c r="AL67">
        <f t="shared" si="32"/>
        <v>0</v>
      </c>
      <c r="AM67">
        <f t="shared" si="33"/>
        <v>0</v>
      </c>
      <c r="AN67">
        <f t="shared" si="34"/>
        <v>0</v>
      </c>
      <c r="AO67">
        <f t="shared" si="35"/>
        <v>0</v>
      </c>
      <c r="AP67">
        <f t="shared" si="36"/>
        <v>0</v>
      </c>
      <c r="AQ67">
        <f t="shared" si="37"/>
        <v>0</v>
      </c>
      <c r="AR67">
        <f t="shared" si="38"/>
        <v>0</v>
      </c>
      <c r="AS67">
        <f t="shared" si="39"/>
        <v>0</v>
      </c>
      <c r="AT67">
        <f t="shared" si="40"/>
        <v>0</v>
      </c>
      <c r="AU67" t="str">
        <f>_xlfn.TEXTJOIN(", ",TRUE(),IF(ISERROR($E67),"E67",""),IF(ISERROR($G67),"G67",""),IF(ISERROR($H67),"H67",""),IF(ISERROR($J67),"J67",""),IF(ISERROR($K67),"K67",""),IF(ISERROR($O67),"O67",""),IF(ISERROR($P67),"P67",""),IF(ISERROR($Q67),"Q67",""),IF(ISERROR($R67),"R67",""),IF(ISERROR($S67),"S67",""),IF(ISERROR($T67),"T67",""),IF(ISERROR($X67),"X67",""),IF(ISERROR($Y67),"Y67",""),IF(ISERROR($Z67),"Z67",""))</f>
        <v/>
      </c>
      <c r="AV67" t="str">
        <f>_xlfn.TEXTJOIN("; ",TRUE(),IF(IFERROR(NOT(OR($J67="",$J67="Yes",$J67="No")),TRUE()),"Invalid override value (J)",""),IF(IFERROR(IF($E67="",$I67="Yes",NOT(OR($E67="Blocker",$E67="Major",$E67="Moderate",$E67="Minor"))),TRUE()),"Invalid or missing criticality (E)",""),IF(IFERROR(IF($J67&lt;&gt;"",$T67="",FALSE()),TRUE()),"Override rationale missing / invalid (T)",""),IF(IFERROR(IF(AND($A67="2.7",$I67="Yes",p_confidential="Yes"),$E67&lt;&gt;"Blocker",FALSE()),TRUE()),"2.7 must be Blocker when S4 = Yes",""),IF(IFERROR(IF(AND($A67="5.8",$I67="Yes"),OR($E67="Moderate",$E67="Minor"),FALSE()),TRUE()),"5.8 should be at least Major",""),IF(IF(IFERROR(AND($J67="No",$AI67="Yes",OR($AD67="Blocker",AND($A67="2.7",p_confidential="Yes"))),FALSE()),NOT(AND(IFERROR($X67&lt;&gt;"",FALSE()),IFERROR($Y67&lt;&gt;"",FALSE()),IFERROR(AND(ISNUMBER($Z67),$Z67&gt;=DATE(2020,1,1),$Z67&lt;=DATE(2100,12,31)),FALSE()))),FALSE()),"Blocker de-scope review missing / invalid (X-Z)",""),IF(IF(IFERROR(IF(OR($E67="Blocker",$E67="Major",$E67="Moderate",$E67="Minor"),$F67&lt;IF($AD67="Blocker",Lookups!$B$8,IF($AD67="Major",Lookups!$B$9,IF($AD67="Moderate",Lookups!$B$10,Lookups!$B$11))),FALSE()),FALSE()),NOT(AND(IFERROR($T67&lt;&gt;"",FALSE()),IFERROR($Y67&lt;&gt;"",FALSE()),IF(IFERROR($Z67&lt;&gt;"",FALSE()),IFERROR(AND(ISNUMBER($Z67),$Z67&gt;=DATE(2020,1,1),$Z67&lt;=DATE(2100,12,31)),FALSE()),NOT(ISERROR($Z67))))),FALSE()),"Criticality below baseline: review missing / invalid (T,Y,Z)",""))</f>
        <v/>
      </c>
      <c r="AW67" t="str">
        <f t="shared" si="41"/>
        <v/>
      </c>
    </row>
    <row r="68" spans="1:49" ht="45" customHeight="1" x14ac:dyDescent="0.3">
      <c r="A68" s="22" t="s">
        <v>441</v>
      </c>
      <c r="B68" s="23" t="s">
        <v>400</v>
      </c>
      <c r="C68" s="24" t="s">
        <v>202</v>
      </c>
      <c r="D68" s="24" t="s">
        <v>442</v>
      </c>
      <c r="E68" s="25" t="s">
        <v>187</v>
      </c>
      <c r="F68" s="26">
        <f>IFERROR(IF($E68="Blocker",Lookups!$B$8,IF($E68="Major",Lookups!$B$9,IF($E68="Moderate",Lookups!$B$10,IF($E68="Minor",Lookups!$B$11,0)))),0)</f>
        <v>4</v>
      </c>
      <c r="G68" s="16">
        <v>4</v>
      </c>
      <c r="H68" s="16">
        <v>4</v>
      </c>
      <c r="I68" s="27" t="str">
        <f>IFERROR(IF(OR($J68="Yes",$J68="No"),$J68,IF(p_autonomy="None (chat or single completions)","No","Yes")),"Yes")</f>
        <v>Yes</v>
      </c>
      <c r="J68" s="25"/>
      <c r="K68" s="25"/>
      <c r="L68" s="27" t="str">
        <f t="shared" si="21"/>
        <v/>
      </c>
      <c r="M68" s="27">
        <f t="shared" si="22"/>
        <v>64</v>
      </c>
      <c r="N68" s="27" t="str">
        <f t="shared" si="23"/>
        <v/>
      </c>
      <c r="O68" s="25"/>
      <c r="P68" s="25"/>
      <c r="Q68" s="25"/>
      <c r="R68" s="28"/>
      <c r="S68" s="25"/>
      <c r="T68" s="25"/>
      <c r="U68" s="29" t="str">
        <f t="shared" si="24"/>
        <v/>
      </c>
      <c r="V68" s="24"/>
      <c r="W68" s="24" t="s">
        <v>443</v>
      </c>
      <c r="X68" s="13"/>
      <c r="Y68" s="13"/>
      <c r="Z68" s="14"/>
      <c r="AA68" t="str">
        <f t="shared" si="25"/>
        <v/>
      </c>
      <c r="AB68" t="str">
        <f t="shared" si="26"/>
        <v/>
      </c>
      <c r="AC68" t="str">
        <f t="shared" si="27"/>
        <v/>
      </c>
      <c r="AD68" t="s">
        <v>187</v>
      </c>
      <c r="AF68">
        <f>IF(OR(IFERROR(NOT(OR($J68="",$J68="Yes",$J68="No")),TRUE()),IFERROR(IF($E68="",$I68="Yes",NOT(OR($E68="Blocker",$E68="Major",$E68="Moderate",$E68="Minor"))),TRUE()),IFERROR(IF($J68&lt;&gt;"",$T68="",FALSE()),TRUE()),IFERROR(IF(AND($A68="2.7",$I68="Yes",p_confidential="Yes"),$E68&lt;&gt;"Blocker",FALSE()),TRUE()),IFERROR(IF(AND($A68="5.8",$I68="Yes"),OR($E68="Moderate",$E68="Minor"),FALSE()),TRUE()),IF(IFERROR(AND($J68="No",$AI68="Yes",OR($AD68="Blocker",AND($A68="2.7",p_confidential="Yes"))),FALSE()),NOT(AND(IFERROR($X68&lt;&gt;"",FALSE()),IFERROR($Y68&lt;&gt;"",FALSE()),IFERROR(AND(ISNUMBER($Z68),$Z68&gt;=DATE(2020,1,1),$Z68&lt;=DATE(2100,12,31)),FALSE()))),FALSE()),IF(IFERROR(IF(OR($E68="Blocker",$E68="Major",$E68="Moderate",$E68="Minor"),$F68&lt;IF($AD68="Blocker",Lookups!$B$8,IF($AD68="Major",Lookups!$B$9,IF($AD68="Moderate",Lookups!$B$10,Lookups!$B$11))),FALSE()),FALSE()),NOT(AND(IFERROR($T68&lt;&gt;"",FALSE()),IFERROR($Y68&lt;&gt;"",FALSE()),IF(IFERROR($Z68&lt;&gt;"",FALSE()),IFERROR(AND(ISNUMBER($Z68),$Z68&gt;=DATE(2020,1,1),$Z68&lt;=DATE(2100,12,31)),FALSE()),NOT(ISERROR($Z68))))),FALSE())),1,0)</f>
        <v>0</v>
      </c>
      <c r="AG68">
        <f t="shared" si="28"/>
        <v>0</v>
      </c>
      <c r="AH68" t="str">
        <f t="shared" si="29"/>
        <v/>
      </c>
      <c r="AI68" t="str">
        <f>IFERROR(IF(p_autonomy="None (chat or single completions)","No","Yes"),"Yes")</f>
        <v>Yes</v>
      </c>
      <c r="AJ68">
        <f t="shared" si="30"/>
        <v>0</v>
      </c>
      <c r="AK68">
        <f t="shared" si="31"/>
        <v>0</v>
      </c>
      <c r="AL68">
        <f t="shared" si="32"/>
        <v>0</v>
      </c>
      <c r="AM68">
        <f t="shared" si="33"/>
        <v>0</v>
      </c>
      <c r="AN68">
        <f t="shared" si="34"/>
        <v>0</v>
      </c>
      <c r="AO68">
        <f t="shared" si="35"/>
        <v>0</v>
      </c>
      <c r="AP68">
        <f t="shared" si="36"/>
        <v>0</v>
      </c>
      <c r="AQ68">
        <f t="shared" si="37"/>
        <v>0</v>
      </c>
      <c r="AR68">
        <f t="shared" si="38"/>
        <v>0</v>
      </c>
      <c r="AS68">
        <f t="shared" si="39"/>
        <v>0</v>
      </c>
      <c r="AT68">
        <f t="shared" si="40"/>
        <v>0</v>
      </c>
      <c r="AU68" t="str">
        <f>_xlfn.TEXTJOIN(", ",TRUE(),IF(ISERROR($E68),"E68",""),IF(ISERROR($G68),"G68",""),IF(ISERROR($H68),"H68",""),IF(ISERROR($J68),"J68",""),IF(ISERROR($K68),"K68",""),IF(ISERROR($O68),"O68",""),IF(ISERROR($P68),"P68",""),IF(ISERROR($Q68),"Q68",""),IF(ISERROR($R68),"R68",""),IF(ISERROR($S68),"S68",""),IF(ISERROR($T68),"T68",""),IF(ISERROR($X68),"X68",""),IF(ISERROR($Y68),"Y68",""),IF(ISERROR($Z68),"Z68",""))</f>
        <v/>
      </c>
      <c r="AV68" t="str">
        <f>_xlfn.TEXTJOIN("; ",TRUE(),IF(IFERROR(NOT(OR($J68="",$J68="Yes",$J68="No")),TRUE()),"Invalid override value (J)",""),IF(IFERROR(IF($E68="",$I68="Yes",NOT(OR($E68="Blocker",$E68="Major",$E68="Moderate",$E68="Minor"))),TRUE()),"Invalid or missing criticality (E)",""),IF(IFERROR(IF($J68&lt;&gt;"",$T68="",FALSE()),TRUE()),"Override rationale missing / invalid (T)",""),IF(IFERROR(IF(AND($A68="2.7",$I68="Yes",p_confidential="Yes"),$E68&lt;&gt;"Blocker",FALSE()),TRUE()),"2.7 must be Blocker when S4 = Yes",""),IF(IFERROR(IF(AND($A68="5.8",$I68="Yes"),OR($E68="Moderate",$E68="Minor"),FALSE()),TRUE()),"5.8 should be at least Major",""),IF(IF(IFERROR(AND($J68="No",$AI68="Yes",OR($AD68="Blocker",AND($A68="2.7",p_confidential="Yes"))),FALSE()),NOT(AND(IFERROR($X68&lt;&gt;"",FALSE()),IFERROR($Y68&lt;&gt;"",FALSE()),IFERROR(AND(ISNUMBER($Z68),$Z68&gt;=DATE(2020,1,1),$Z68&lt;=DATE(2100,12,31)),FALSE()))),FALSE()),"Blocker de-scope review missing / invalid (X-Z)",""),IF(IF(IFERROR(IF(OR($E68="Blocker",$E68="Major",$E68="Moderate",$E68="Minor"),$F68&lt;IF($AD68="Blocker",Lookups!$B$8,IF($AD68="Major",Lookups!$B$9,IF($AD68="Moderate",Lookups!$B$10,Lookups!$B$11))),FALSE()),FALSE()),NOT(AND(IFERROR($T68&lt;&gt;"",FALSE()),IFERROR($Y68&lt;&gt;"",FALSE()),IF(IFERROR($Z68&lt;&gt;"",FALSE()),IFERROR(AND(ISNUMBER($Z68),$Z68&gt;=DATE(2020,1,1),$Z68&lt;=DATE(2100,12,31)),FALSE()),NOT(ISERROR($Z68))))),FALSE()),"Criticality below baseline: review missing / invalid (T,Y,Z)",""))</f>
        <v/>
      </c>
      <c r="AW68" t="str">
        <f t="shared" si="41"/>
        <v/>
      </c>
    </row>
    <row r="69" spans="1:49" ht="30" customHeight="1" x14ac:dyDescent="0.3">
      <c r="A69" s="22" t="s">
        <v>444</v>
      </c>
      <c r="B69" s="23" t="s">
        <v>400</v>
      </c>
      <c r="C69" s="24" t="s">
        <v>202</v>
      </c>
      <c r="D69" s="24" t="s">
        <v>445</v>
      </c>
      <c r="E69" s="25" t="s">
        <v>187</v>
      </c>
      <c r="F69" s="26">
        <f>IFERROR(IF($E69="Blocker",Lookups!$B$8,IF($E69="Major",Lookups!$B$9,IF($E69="Moderate",Lookups!$B$10,IF($E69="Minor",Lookups!$B$11,0)))),0)</f>
        <v>4</v>
      </c>
      <c r="G69" s="16">
        <v>3</v>
      </c>
      <c r="H69" s="16">
        <v>4</v>
      </c>
      <c r="I69" s="27" t="str">
        <f>IFERROR(IF(OR($J69="Yes",$J69="No"),$J69,IF(p_autonomy="None (chat or single completions)","No","Yes")),"Yes")</f>
        <v>Yes</v>
      </c>
      <c r="J69" s="25"/>
      <c r="K69" s="25"/>
      <c r="L69" s="27" t="str">
        <f t="shared" si="21"/>
        <v/>
      </c>
      <c r="M69" s="27">
        <f t="shared" si="22"/>
        <v>48</v>
      </c>
      <c r="N69" s="27" t="str">
        <f t="shared" si="23"/>
        <v/>
      </c>
      <c r="O69" s="25"/>
      <c r="P69" s="25"/>
      <c r="Q69" s="25"/>
      <c r="R69" s="28"/>
      <c r="S69" s="25"/>
      <c r="T69" s="25"/>
      <c r="U69" s="29" t="str">
        <f t="shared" si="24"/>
        <v/>
      </c>
      <c r="V69" s="24"/>
      <c r="W69" s="24" t="s">
        <v>446</v>
      </c>
      <c r="X69" s="13"/>
      <c r="Y69" s="13"/>
      <c r="Z69" s="14"/>
      <c r="AA69" t="str">
        <f t="shared" si="25"/>
        <v/>
      </c>
      <c r="AB69" t="str">
        <f t="shared" si="26"/>
        <v/>
      </c>
      <c r="AC69" t="str">
        <f t="shared" si="27"/>
        <v/>
      </c>
      <c r="AD69" t="s">
        <v>187</v>
      </c>
      <c r="AF69">
        <f>IF(OR(IFERROR(NOT(OR($J69="",$J69="Yes",$J69="No")),TRUE()),IFERROR(IF($E69="",$I69="Yes",NOT(OR($E69="Blocker",$E69="Major",$E69="Moderate",$E69="Minor"))),TRUE()),IFERROR(IF($J69&lt;&gt;"",$T69="",FALSE()),TRUE()),IFERROR(IF(AND($A69="2.7",$I69="Yes",p_confidential="Yes"),$E69&lt;&gt;"Blocker",FALSE()),TRUE()),IFERROR(IF(AND($A69="5.8",$I69="Yes"),OR($E69="Moderate",$E69="Minor"),FALSE()),TRUE()),IF(IFERROR(AND($J69="No",$AI69="Yes",OR($AD69="Blocker",AND($A69="2.7",p_confidential="Yes"))),FALSE()),NOT(AND(IFERROR($X69&lt;&gt;"",FALSE()),IFERROR($Y69&lt;&gt;"",FALSE()),IFERROR(AND(ISNUMBER($Z69),$Z69&gt;=DATE(2020,1,1),$Z69&lt;=DATE(2100,12,31)),FALSE()))),FALSE()),IF(IFERROR(IF(OR($E69="Blocker",$E69="Major",$E69="Moderate",$E69="Minor"),$F69&lt;IF($AD69="Blocker",Lookups!$B$8,IF($AD69="Major",Lookups!$B$9,IF($AD69="Moderate",Lookups!$B$10,Lookups!$B$11))),FALSE()),FALSE()),NOT(AND(IFERROR($T69&lt;&gt;"",FALSE()),IFERROR($Y69&lt;&gt;"",FALSE()),IF(IFERROR($Z69&lt;&gt;"",FALSE()),IFERROR(AND(ISNUMBER($Z69),$Z69&gt;=DATE(2020,1,1),$Z69&lt;=DATE(2100,12,31)),FALSE()),NOT(ISERROR($Z69))))),FALSE())),1,0)</f>
        <v>0</v>
      </c>
      <c r="AG69">
        <f t="shared" si="28"/>
        <v>0</v>
      </c>
      <c r="AH69" t="str">
        <f t="shared" si="29"/>
        <v/>
      </c>
      <c r="AI69" t="str">
        <f>IFERROR(IF(p_autonomy="None (chat or single completions)","No","Yes"),"Yes")</f>
        <v>Yes</v>
      </c>
      <c r="AJ69">
        <f t="shared" si="30"/>
        <v>0</v>
      </c>
      <c r="AK69">
        <f t="shared" si="31"/>
        <v>0</v>
      </c>
      <c r="AL69">
        <f t="shared" si="32"/>
        <v>0</v>
      </c>
      <c r="AM69">
        <f t="shared" si="33"/>
        <v>0</v>
      </c>
      <c r="AN69">
        <f t="shared" si="34"/>
        <v>0</v>
      </c>
      <c r="AO69">
        <f t="shared" si="35"/>
        <v>0</v>
      </c>
      <c r="AP69">
        <f t="shared" si="36"/>
        <v>0</v>
      </c>
      <c r="AQ69">
        <f t="shared" si="37"/>
        <v>0</v>
      </c>
      <c r="AR69">
        <f t="shared" si="38"/>
        <v>0</v>
      </c>
      <c r="AS69">
        <f t="shared" si="39"/>
        <v>0</v>
      </c>
      <c r="AT69">
        <f t="shared" si="40"/>
        <v>0</v>
      </c>
      <c r="AU69" t="str">
        <f>_xlfn.TEXTJOIN(", ",TRUE(),IF(ISERROR($E69),"E69",""),IF(ISERROR($G69),"G69",""),IF(ISERROR($H69),"H69",""),IF(ISERROR($J69),"J69",""),IF(ISERROR($K69),"K69",""),IF(ISERROR($O69),"O69",""),IF(ISERROR($P69),"P69",""),IF(ISERROR($Q69),"Q69",""),IF(ISERROR($R69),"R69",""),IF(ISERROR($S69),"S69",""),IF(ISERROR($T69),"T69",""),IF(ISERROR($X69),"X69",""),IF(ISERROR($Y69),"Y69",""),IF(ISERROR($Z69),"Z69",""))</f>
        <v/>
      </c>
      <c r="AV69" t="str">
        <f>_xlfn.TEXTJOIN("; ",TRUE(),IF(IFERROR(NOT(OR($J69="",$J69="Yes",$J69="No")),TRUE()),"Invalid override value (J)",""),IF(IFERROR(IF($E69="",$I69="Yes",NOT(OR($E69="Blocker",$E69="Major",$E69="Moderate",$E69="Minor"))),TRUE()),"Invalid or missing criticality (E)",""),IF(IFERROR(IF($J69&lt;&gt;"",$T69="",FALSE()),TRUE()),"Override rationale missing / invalid (T)",""),IF(IFERROR(IF(AND($A69="2.7",$I69="Yes",p_confidential="Yes"),$E69&lt;&gt;"Blocker",FALSE()),TRUE()),"2.7 must be Blocker when S4 = Yes",""),IF(IFERROR(IF(AND($A69="5.8",$I69="Yes"),OR($E69="Moderate",$E69="Minor"),FALSE()),TRUE()),"5.8 should be at least Major",""),IF(IF(IFERROR(AND($J69="No",$AI69="Yes",OR($AD69="Blocker",AND($A69="2.7",p_confidential="Yes"))),FALSE()),NOT(AND(IFERROR($X69&lt;&gt;"",FALSE()),IFERROR($Y69&lt;&gt;"",FALSE()),IFERROR(AND(ISNUMBER($Z69),$Z69&gt;=DATE(2020,1,1),$Z69&lt;=DATE(2100,12,31)),FALSE()))),FALSE()),"Blocker de-scope review missing / invalid (X-Z)",""),IF(IF(IFERROR(IF(OR($E69="Blocker",$E69="Major",$E69="Moderate",$E69="Minor"),$F69&lt;IF($AD69="Blocker",Lookups!$B$8,IF($AD69="Major",Lookups!$B$9,IF($AD69="Moderate",Lookups!$B$10,Lookups!$B$11))),FALSE()),FALSE()),NOT(AND(IFERROR($T69&lt;&gt;"",FALSE()),IFERROR($Y69&lt;&gt;"",FALSE()),IF(IFERROR($Z69&lt;&gt;"",FALSE()),IFERROR(AND(ISNUMBER($Z69),$Z69&gt;=DATE(2020,1,1),$Z69&lt;=DATE(2100,12,31)),FALSE()),NOT(ISERROR($Z69))))),FALSE()),"Criticality below baseline: review missing / invalid (T,Y,Z)",""))</f>
        <v/>
      </c>
      <c r="AW69" t="str">
        <f t="shared" si="41"/>
        <v/>
      </c>
    </row>
  </sheetData>
  <sheetProtection sheet="1" formatCells="0" formatColumns="0" formatRows="0" autoFilter="0"/>
  <autoFilter ref="A1:Z69" xr:uid="{00000000-0009-0000-0000-000002000000}"/>
  <conditionalFormatting sqref="A2:Z69">
    <cfRule type="expression" dxfId="19" priority="2">
      <formula>$I2="No"</formula>
    </cfRule>
  </conditionalFormatting>
  <conditionalFormatting sqref="K2:K69">
    <cfRule type="expression" dxfId="18" priority="3">
      <formula>$K2="Yes"</formula>
    </cfRule>
    <cfRule type="expression" dxfId="17" priority="4">
      <formula>$K2="Partial"</formula>
    </cfRule>
    <cfRule type="expression" dxfId="16" priority="5">
      <formula>$K2="No"</formula>
    </cfRule>
  </conditionalFormatting>
  <conditionalFormatting sqref="M2:M69">
    <cfRule type="colorScale" priority="6">
      <colorScale>
        <cfvo type="min"/>
        <cfvo type="percentile" val="75"/>
        <cfvo type="max"/>
        <color rgb="FFFFFFFF"/>
        <color rgb="FFFFEB9C"/>
        <color rgb="FFFFC7CE"/>
      </colorScale>
    </cfRule>
  </conditionalFormatting>
  <conditionalFormatting sqref="N2:N69">
    <cfRule type="expression" dxfId="15" priority="7">
      <formula>ISNUMBER(SEARCH("exempted",$N2))</formula>
    </cfRule>
    <cfRule type="expression" dxfId="14" priority="8">
      <formula>$N2="BLOCK"</formula>
    </cfRule>
    <cfRule type="expression" dxfId="13" priority="9">
      <formula>$N2="ESCALATE"</formula>
    </cfRule>
  </conditionalFormatting>
  <conditionalFormatting sqref="U2:U69">
    <cfRule type="expression" dxfId="12" priority="10">
      <formula>$U2&lt;&gt;""</formula>
    </cfRule>
  </conditionalFormatting>
  <dataValidations count="8">
    <dataValidation type="list" allowBlank="1" showInputMessage="1" showErrorMessage="1" errorTitle="Invalid entry" error="Please choose a value from the dropdown list." promptTitle="Criticality" prompt="Criticality drives Weight automatically via the Lookups table." sqref="E2:E69" xr:uid="{00000000-0002-0000-0200-000000000000}">
      <formula1>"Blocker,Major,Moderate,Minor"</formula1>
      <formula2>0</formula2>
    </dataValidation>
    <dataValidation type="list" allowBlank="1" showInputMessage="1" showErrorMessage="1" errorTitle="Invalid entry" error="Please choose a value from the dropdown list." promptTitle="Override applicability" prompt="Overrides the automatic applicability result. Always justify in Notes (column T), otherwise the integrity guard fires. Taking an auto-applicable Blocker out of scope additionally needs the de-scope review in columns X-Z (reference, approver, date)." sqref="J2:J69" xr:uid="{00000000-0002-0000-0200-000001000000}">
      <formula1>"Yes,No"</formula1>
      <formula2>0</formula2>
    </dataValidation>
    <dataValidation type="list" allowBlank="1" showInputMessage="1" showErrorMessage="1" errorTitle="Invalid entry" error="Choose Yes, Partial or No exactly. A typed variant such as &quot;Partially&quot; silently counts as unanswered and leaves the decision INCOMPLETE." promptTitle="Response" prompt="N/A is not allowed for applicable controls; use Override (column J) for applicability. Partial is defined per row in the Guidance column." sqref="K2:K69" xr:uid="{00000000-0002-0000-0200-000002000000}">
      <formula1>"Yes,Partial,No"</formula1>
      <formula2>0</formula2>
    </dataValidation>
    <dataValidation type="list" allowBlank="1" showInputMessage="1" showErrorMessage="1" errorTitle="Invalid entry" error="Please choose a value from the dropdown list." promptTitle="Status" sqref="S2:S69" xr:uid="{00000000-0002-0000-0200-000003000000}">
      <formula1>"Open,In progress,Remediated,Accepted Risk,Not applicable"</formula1>
      <formula2>0</formula2>
    </dataValidation>
    <dataValidation type="whole" allowBlank="1" showErrorMessage="1" errorTitle="Invalid value" error="Whole number from 1 to 5." promptTitle="Likelihood / Impact" prompt="Integer from 1 to 5 (scales on Lookups)." sqref="G2:H69" xr:uid="{00000000-0002-0000-0200-000004000000}">
      <formula1>1</formula1>
      <formula2>5</formula2>
    </dataValidation>
    <dataValidation type="date" allowBlank="1" showInputMessage="1" showErrorMessage="1" errorTitle="Invalid date" error="Enter a real date between 2020-01-01 and 2100-12-31 (displayed as yyyy-mm-dd). Text that only looks like a date is not accepted." promptTitle="Exemption date (Z)" prompt="Required whenever Status = Accepted Risk; also used for Blocker de-scope and below-baseline reviews. Enter a real date, e.g. 2026-10-09." sqref="Z2:Z69" xr:uid="{00000000-0002-0000-0200-000005000000}">
      <formula1>DATE(2020,1,1)</formula1>
      <formula2>DATE(2100,12,31)</formula2>
    </dataValidation>
    <dataValidation allowBlank="1" showInputMessage="1" promptTitle="Exemption reference (X)" prompt="Risk-owner decision, committee minute or ticket. Required together with approver (Y) and date (Z) whenever Status = Accepted Risk." sqref="X2:X69" xr:uid="{00000000-0002-0000-0200-000006000000}">
      <formula1>0</formula1>
      <formula2>0</formula2>
    </dataValidation>
    <dataValidation allowBlank="1" showInputMessage="1" promptTitle="Exemption approver (Y)" prompt="Accountable risk owner or committee approving the exemption. Required whenever Status = Accepted Risk." sqref="Y2:Y69" xr:uid="{00000000-0002-0000-0200-000007000000}">
      <formula1>0</formula1>
      <formula2>0</formula2>
    </dataValidation>
  </dataValidations>
  <pageMargins left="0.75" right="0.75" top="1" bottom="1" header="0.51180555555555596" footer="0.51180555555555596"/>
  <pageSetup paperSize="9" fitToHeight="0" orientation="landscape" horizontalDpi="300" verticalDpi="300"/>
  <headerFooter>
    <oddHeader>&amp;L&amp;A&amp;Rv0.6.8-r4 - &amp;D</oddHeader>
    <oddFooter>&amp;RPage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3"/>
  <sheetViews>
    <sheetView zoomScaleNormal="100" workbookViewId="0"/>
  </sheetViews>
  <sheetFormatPr baseColWidth="10" defaultColWidth="9.109375" defaultRowHeight="14.4" x14ac:dyDescent="0.3"/>
  <cols>
    <col min="1" max="1" width="53" customWidth="1"/>
    <col min="2" max="2" width="34" customWidth="1"/>
    <col min="3" max="3" width="68" customWidth="1"/>
    <col min="4" max="7" width="16" customWidth="1"/>
    <col min="8" max="8" width="12" hidden="1" customWidth="1"/>
  </cols>
  <sheetData>
    <row r="1" spans="1:8" ht="18" customHeight="1" x14ac:dyDescent="0.35">
      <c r="A1" s="30" t="s">
        <v>447</v>
      </c>
      <c r="H1" t="s">
        <v>448</v>
      </c>
    </row>
    <row r="2" spans="1:8" ht="14.25" customHeight="1" x14ac:dyDescent="0.3">
      <c r="A2" t="s">
        <v>449</v>
      </c>
      <c r="B2" t="str">
        <f>IFERROR(IF(Scoping!$C$3="","-",Scoping!$C$3),"Invalid system name - correct Scoping!C3")</f>
        <v>-</v>
      </c>
      <c r="C2" t="s">
        <v>450</v>
      </c>
      <c r="D2" t="str">
        <f>IF(Scoping!$C$4="","-",Scoping!$C$4)</f>
        <v>-</v>
      </c>
      <c r="E2" t="s">
        <v>66</v>
      </c>
      <c r="F2" t="str">
        <f>IF(Scoping!$C$5="","-",Scoping!$C$5)</f>
        <v>-</v>
      </c>
      <c r="H2">
        <f>IF(IF(IFERROR(p_mcp="Yes",FALSE()),OR(NOT(IFERROR(OR('MCP Server Checklist'!$I$2="Yes",'MCP Server Checklist'!$I$2="No"),FALSE())),NOT(IFERROR(OR('MCP Client Checklist'!$I$2="Yes",'MCP Client Checklist'!$I$2="No"),FALSE())),IF(IFERROR('MCP Server Checklist'!$I$2="No",FALSE()),NOT(IFERROR('MCP Server Checklist'!$D$30&lt;&gt;"",FALSE())),FALSE()),IF(IFERROR('MCP Client Checklist'!$I$2="No",FALSE()),NOT(IFERROR('MCP Client Checklist'!$D$35&lt;&gt;"",FALSE())),FALSE()),IFERROR(IF(IFERROR('MCP Server Checklist'!$I$2="Yes",FALSE()),OR('MCP Server Checklist'!$X$2&gt;0,'MCP Server Checklist'!$I$3&lt;&gt;"Yes",'MCP Server Checklist'!$X$5&gt;0,'MCP Server Checklist'!$D$26&gt;0,'MCP Server Checklist'!$D$27&gt;0,'MCP Server Checklist'!$D$28&gt;0,AND('MCP Server Checklist'!$X$6&gt;0,'MCP Server Checklist'!$X$4=-1),'MCP Server Checklist'!$D$25="NOT ASSESSED",LEFT('MCP Server Checklist'!$D$25,10)="INCOMPLETE"),FALSE()),TRUE()),IFERROR(IF(IFERROR('MCP Client Checklist'!$I$2="Yes",FALSE()),OR('MCP Client Checklist'!$X$2&gt;0,'MCP Client Checklist'!$I$3&lt;&gt;"Yes",'MCP Client Checklist'!$X$5&gt;0,'MCP Client Checklist'!$D$31&gt;0,'MCP Client Checklist'!$D$32&gt;0,'MCP Client Checklist'!$D$33&gt;0,AND('MCP Client Checklist'!$X$6&gt;0,'MCP Client Checklist'!$X$4=-1),'MCP Client Checklist'!$D$30="NOT ASSESSED",LEFT('MCP Client Checklist'!$D$30,10)="INCOMPLETE"),FALSE()),TRUE()),NOT(OR(IFERROR('MCP Server Checklist'!$I$2="Yes",FALSE()),IFERROR('MCP Client Checklist'!$I$2="Yes",FALSE())))),IF(IFERROR(p_mcp="No",FALSE()),OR(NOT(IFERROR(OR('MCP Server Checklist'!$I$2="",'MCP Server Checklist'!$I$2="No"),FALSE())),NOT(IFERROR(OR('MCP Client Checklist'!$I$2="",'MCP Client Checklist'!$I$2="No"),FALSE()))),TRUE())),1,0)</f>
        <v>1</v>
      </c>
    </row>
    <row r="3" spans="1:8" ht="57.75" customHeight="1" x14ac:dyDescent="0.35">
      <c r="A3" s="11" t="s">
        <v>451</v>
      </c>
      <c r="B3" s="31" t="str">
        <f>IF($B$21="INCOMPLETE",IF(OR($B$11&gt;0,$H$3&gt;0),"INCOMPLETE - confirmed blocking issue present","INCOMPLETE"),$B$21)</f>
        <v>INCOMPLETE</v>
      </c>
      <c r="C3" s="8" t="str">
        <f>IF(B21="APPROVABLE","All gates clear; readiness and residual within thresholds.",IF(B21="INCOMPLETE",IF(p_open&gt;0,"Scoping incomplete or invalid ("&amp;p_open&amp;" open questions)",IF(B9&lt;B7,"Assessment incomplete ("&amp;(B7-B9)&amp;" applicable controls unanswered)",IF(B24+B26&gt;0,"Integrity checks open ("&amp;(B24+B26)&amp;" flags - locations listed in D22:D26)","An MCP side needs attention: required side not assessed, context incomplete, checkpoints unanswered or invalid, unjustified N/A, exclusion review pending or rejected, side selection missing, an S19/Required contradiction, or a missing de-scoping reason"))),IF(B21="BLOCKED",IF(B11&gt;0,B11&amp;" open blocker gate(s)",IF(AND(p_mcp="Yes",'MCP Server Checklist'!$I$2="Yes",LEFT('MCP Server Checklist'!$D$25,5)="NO-GO"),"MCP server checklist: NO-GO",IF(AND(p_mcp="Yes",'MCP Client Checklist'!$I$2="Yes",LEFT('MCP Client Checklist'!$D$30,5)="NO-GO"),"MCP client checklist: NO-GO","Open blockers"))),"Conditions to clear: escalations / exemptions / evidence / thresholds - see metrics below")))</f>
        <v>Scoping incomplete or invalid (19 open questions)</v>
      </c>
      <c r="D3" s="11" t="s">
        <v>452</v>
      </c>
      <c r="E3" s="87" t="str">
        <f>IF($B$21="INCOMPLETE","Resolve the listed integrity flags and incomplete inputs below.",IF($B$21="APPROVABLE","Complete the accountable-owner sign-off below.",IF($B$21="BLOCKED","Remediate the blockers or document a formal exception and re-test.","Document conditions, attach evidence and complete sign-off.")))</f>
        <v>Resolve the listed integrity flags and incomplete inputs below.</v>
      </c>
      <c r="F3" s="87"/>
      <c r="H3">
        <f>IF(IF(IFERROR(p_mcp="Yes",FALSE()),OR(IFERROR(IF(IFERROR('MCP Server Checklist'!$I$2="Yes",FALSE()),LEFT('MCP Server Checklist'!$D$25,5)="NO-GO",FALSE()),FALSE()),IFERROR(IF(IFERROR('MCP Client Checklist'!$I$2="Yes",FALSE()),LEFT('MCP Client Checklist'!$D$30,5)="NO-GO",FALSE()),FALSE())),FALSE()),1,0)</f>
        <v>0</v>
      </c>
    </row>
    <row r="4" spans="1:8" ht="14.25" customHeight="1" x14ac:dyDescent="0.3">
      <c r="A4" s="32" t="s">
        <v>453</v>
      </c>
      <c r="B4" s="32" t="s">
        <v>454</v>
      </c>
      <c r="C4" s="32" t="s">
        <v>455</v>
      </c>
      <c r="E4" s="32" t="s">
        <v>456</v>
      </c>
      <c r="H4">
        <f>IF(IF(IFERROR(p_mcp="Yes",FALSE()),OR(IFERROR(IF(IFERROR('MCP Server Checklist'!$I$2="Yes",FALSE()),LEFT('MCP Server Checklist'!$D$25,14)="CONDITIONAL GO",FALSE()),FALSE()),IFERROR(IF(IFERROR('MCP Client Checklist'!$I$2="Yes",FALSE()),LEFT('MCP Client Checklist'!$D$30,14)="CONDITIONAL GO",FALSE()),FALSE())),FALSE()),1,0)</f>
        <v>0</v>
      </c>
    </row>
    <row r="5" spans="1:8" ht="14.25" customHeight="1" x14ac:dyDescent="0.3">
      <c r="A5" t="s">
        <v>130</v>
      </c>
      <c r="B5">
        <f>p_open</f>
        <v>19</v>
      </c>
      <c r="C5" t="s">
        <v>457</v>
      </c>
      <c r="E5" t="s">
        <v>458</v>
      </c>
    </row>
    <row r="6" spans="1:8" ht="14.25" customHeight="1" x14ac:dyDescent="0.3">
      <c r="A6" t="s">
        <v>459</v>
      </c>
      <c r="B6">
        <f>COUNTA('Assessment Matrix'!$A$2:$A$69)</f>
        <v>68</v>
      </c>
      <c r="C6" t="s">
        <v>460</v>
      </c>
      <c r="E6" t="s">
        <v>461</v>
      </c>
    </row>
    <row r="7" spans="1:8" ht="14.25" customHeight="1" x14ac:dyDescent="0.3">
      <c r="A7" t="s">
        <v>462</v>
      </c>
      <c r="B7">
        <f>COUNTIF('Assessment Matrix'!$I$2:$I$69,"Yes")</f>
        <v>68</v>
      </c>
      <c r="C7" t="s">
        <v>463</v>
      </c>
      <c r="E7" t="s">
        <v>464</v>
      </c>
    </row>
    <row r="8" spans="1:8" ht="14.25" customHeight="1" x14ac:dyDescent="0.3">
      <c r="A8" t="s">
        <v>465</v>
      </c>
      <c r="B8">
        <f>COUNTIF('Assessment Matrix'!$I$2:$I$69,"No")</f>
        <v>0</v>
      </c>
      <c r="C8" t="s">
        <v>466</v>
      </c>
      <c r="E8" t="s">
        <v>467</v>
      </c>
    </row>
    <row r="9" spans="1:8" ht="14.25" customHeight="1" x14ac:dyDescent="0.3">
      <c r="A9" t="s">
        <v>468</v>
      </c>
      <c r="B9">
        <f>SUM('Assessment Matrix'!$AR$2:$AR$69)</f>
        <v>0</v>
      </c>
      <c r="C9" t="s">
        <v>469</v>
      </c>
      <c r="E9" t="s">
        <v>470</v>
      </c>
    </row>
    <row r="10" spans="1:8" ht="14.25" customHeight="1" x14ac:dyDescent="0.3">
      <c r="A10" t="s">
        <v>471</v>
      </c>
      <c r="B10" s="33">
        <f>IFERROR(SUM('Assessment Matrix'!$AS$2:$AS$69)/SUM('Assessment Matrix'!$AT$2:$AT$69),0)</f>
        <v>0</v>
      </c>
      <c r="C10" t="s">
        <v>472</v>
      </c>
      <c r="E10" t="s">
        <v>473</v>
      </c>
    </row>
    <row r="11" spans="1:8" ht="14.25" customHeight="1" x14ac:dyDescent="0.3">
      <c r="A11" t="s">
        <v>474</v>
      </c>
      <c r="B11">
        <f>COUNTIF('Assessment Matrix'!$N$2:$N$69,"BLOCK")</f>
        <v>0</v>
      </c>
      <c r="C11" t="s">
        <v>475</v>
      </c>
      <c r="E11" t="s">
        <v>476</v>
      </c>
    </row>
    <row r="12" spans="1:8" ht="14.25" customHeight="1" x14ac:dyDescent="0.3">
      <c r="A12" t="s">
        <v>477</v>
      </c>
      <c r="B12">
        <f>COUNTIF('Assessment Matrix'!$N$2:$N$69,"ESCALATE")</f>
        <v>0</v>
      </c>
      <c r="C12" t="s">
        <v>478</v>
      </c>
      <c r="E12" t="s">
        <v>479</v>
      </c>
    </row>
    <row r="13" spans="1:8" ht="14.25" customHeight="1" x14ac:dyDescent="0.3">
      <c r="A13" t="s">
        <v>480</v>
      </c>
      <c r="B13">
        <f>COUNTIF('Assessment Matrix'!$N$2:$N$69,"BLOCK (exempted)")+COUNTIF('Assessment Matrix'!$N$2:$N$69,"ESCALATE (exempted)")</f>
        <v>0</v>
      </c>
      <c r="C13" t="s">
        <v>481</v>
      </c>
    </row>
    <row r="14" spans="1:8" ht="14.25" customHeight="1" x14ac:dyDescent="0.3">
      <c r="A14" t="s">
        <v>482</v>
      </c>
      <c r="B14">
        <f>SUM('Assessment Matrix'!$AP$2:$AP$69)</f>
        <v>0</v>
      </c>
      <c r="C14" t="s">
        <v>483</v>
      </c>
      <c r="E14" s="11" t="s">
        <v>484</v>
      </c>
    </row>
    <row r="15" spans="1:8" ht="14.25" customHeight="1" x14ac:dyDescent="0.3">
      <c r="A15" t="s">
        <v>485</v>
      </c>
      <c r="B15">
        <f>SUMIFS('Assessment Matrix'!$M$2:$M$69,'Assessment Matrix'!$I$2:$I$69,"Yes",'Assessment Matrix'!$K$2:$K$69,"=")</f>
        <v>4608</v>
      </c>
      <c r="C15" t="s">
        <v>486</v>
      </c>
      <c r="E15" t="str">
        <f>IF(Lookups!$E$25&gt;0,"Readiness policy invalid - see Lookups",IFERROR("Readiness minimum: "&amp;TEXT(t_readiness,"0%"),"Readiness policy invalid"))</f>
        <v>Readiness minimum: 85%</v>
      </c>
    </row>
    <row r="16" spans="1:8" ht="14.25" customHeight="1" x14ac:dyDescent="0.3">
      <c r="A16" t="s">
        <v>487</v>
      </c>
      <c r="B16">
        <f>SUMIFS('Assessment Matrix'!$M$2:$M$69,'Assessment Matrix'!$I$2:$I$69,"Yes",'Assessment Matrix'!$K$2:$K$69,"&lt;&gt;")</f>
        <v>0</v>
      </c>
      <c r="C16" t="s">
        <v>488</v>
      </c>
      <c r="E16" t="str">
        <f>IF(Lookups!$E$25&gt;0,"Residual policy invalid - see Lookups",IFERROR("Residual per control: "&amp;t_residual,"Residual policy invalid"))</f>
        <v>Residual per control: 60</v>
      </c>
    </row>
    <row r="17" spans="1:7" ht="14.25" customHeight="1" x14ac:dyDescent="0.3">
      <c r="A17" t="s">
        <v>489</v>
      </c>
      <c r="B17">
        <f>IF(Lookups!$E$25&gt;0,0,IFERROR(COUNTIFS('Assessment Matrix'!$I$2:$I$69,"Yes",'Assessment Matrix'!$K$2:$K$69,"&lt;&gt;",'Assessment Matrix'!$M$2:$M$69,"&gt;="&amp;t_residual),0))</f>
        <v>0</v>
      </c>
      <c r="C17" t="s">
        <v>490</v>
      </c>
      <c r="E17" t="str">
        <f>IF(Lookups!$E$25&gt;0,"MCP compliance policy invalid - see Lookups",IFERROR("MCP minimum compliance rate: "&amp;TEXT(mcp_min_compliance,"0%"),"MCP compliance policy invalid"))</f>
        <v>MCP minimum compliance rate: 80%</v>
      </c>
    </row>
    <row r="18" spans="1:7" ht="48" customHeight="1" x14ac:dyDescent="0.3">
      <c r="A18" s="7" t="s">
        <v>491</v>
      </c>
      <c r="B18" s="7" t="str">
        <f>IFERROR(IF(IFERROR(p_mcp="Yes",FALSE()),IF(IFERROR('MCP Server Checklist'!$I$2="Yes",FALSE()),'MCP Server Checklist'!$D$25,IF(IFERROR('MCP Server Checklist'!$I$2="No",FALSE()),IF(IFERROR('MCP Server Checklist'!$D$30&lt;&gt;"",FALSE()),"n/a (side not required)","INCOMPLETE - add side de-scope reason"),"INCOMPLETE - select Required Yes/No")),IF(IFERROR(p_mcp="No",FALSE()),IF(IFERROR(OR('MCP Server Checklist'!$I$2="",'MCP Server Checklist'!$I$2="No"),FALSE()),"n/a (S19 = No)","INCOMPLETE - S19/Required contradiction"),"INCOMPLETE - correct S19")),"INCOMPLETE - MCP input error")</f>
        <v>INCOMPLETE - correct S19</v>
      </c>
      <c r="C18" s="7" t="s">
        <v>492</v>
      </c>
      <c r="D18" s="7"/>
      <c r="E18" s="7"/>
      <c r="F18" s="7"/>
      <c r="G18" s="7"/>
    </row>
    <row r="19" spans="1:7" ht="48" customHeight="1" x14ac:dyDescent="0.3">
      <c r="A19" s="7" t="s">
        <v>493</v>
      </c>
      <c r="B19" s="7" t="str">
        <f>IFERROR(IF(IFERROR(p_mcp="Yes",FALSE()),IF(IFERROR('MCP Client Checklist'!$I$2="Yes",FALSE()),'MCP Client Checklist'!$D$30,IF(IFERROR('MCP Client Checklist'!$I$2="No",FALSE()),IF(IFERROR('MCP Client Checklist'!$D$35&lt;&gt;"",FALSE()),"n/a (side not required)","INCOMPLETE - add side de-scope reason"),"INCOMPLETE - select Required Yes/No")),IF(IFERROR(p_mcp="No",FALSE()),IF(IFERROR(OR('MCP Client Checklist'!$I$2="",'MCP Client Checklist'!$I$2="No"),FALSE()),"n/a (S19 = No)","INCOMPLETE - S19/Required contradiction"),"INCOMPLETE - correct S19")),"INCOMPLETE - MCP input error")</f>
        <v>INCOMPLETE - correct S19</v>
      </c>
      <c r="C19" s="7" t="s">
        <v>494</v>
      </c>
      <c r="D19" s="7"/>
      <c r="E19" s="7"/>
      <c r="F19" s="7"/>
      <c r="G19" s="7"/>
    </row>
    <row r="20" spans="1:7" ht="14.25" customHeight="1" x14ac:dyDescent="0.3">
      <c r="D20" s="34" t="s">
        <v>495</v>
      </c>
    </row>
    <row r="21" spans="1:7" ht="48" customHeight="1" x14ac:dyDescent="0.3">
      <c r="A21" s="35" t="s">
        <v>496</v>
      </c>
      <c r="B21" s="7" t="str">
        <f>IFERROR(IF(OR(p_open&gt;0,B9&lt;B7,B22+B23+B24+B26&gt;0,$H$2&gt;0),"INCOMPLETE",IF(OR(B11&gt;0,$H$3&gt;0),"BLOCKED",IF(OR(B10&lt;t_readiness,B12&gt;0,B13&gt;0,B14&gt;0,B17&gt;0,$H$4&gt;0),"CONDITIONAL APPROVAL","APPROVABLE"))),"INCOMPLETE")</f>
        <v>INCOMPLETE</v>
      </c>
      <c r="C21" s="7" t="s">
        <v>497</v>
      </c>
      <c r="D21" s="7"/>
      <c r="E21" s="7"/>
      <c r="F21" s="7"/>
      <c r="G21" s="7"/>
    </row>
    <row r="22" spans="1:7" ht="14.25" customHeight="1" x14ac:dyDescent="0.3">
      <c r="A22" t="s">
        <v>498</v>
      </c>
      <c r="B22">
        <f>SUM('Assessment Matrix'!$AN$2:$AN$69)</f>
        <v>0</v>
      </c>
      <c r="C22" t="s">
        <v>499</v>
      </c>
      <c r="D22" s="87" t="str">
        <f>IF(B22=0,"",_xlfn.TEXTJOIN(", ",TRUE(),'Assessment Matrix'!$AA$2:$AA$69))</f>
        <v/>
      </c>
      <c r="E22" s="87"/>
      <c r="F22" s="87"/>
      <c r="G22" s="87"/>
    </row>
    <row r="23" spans="1:7" ht="14.25" customHeight="1" x14ac:dyDescent="0.3">
      <c r="A23" t="s">
        <v>500</v>
      </c>
      <c r="B23">
        <f>SUM('Assessment Matrix'!$AO$2:$AO$69)</f>
        <v>0</v>
      </c>
      <c r="C23" t="s">
        <v>501</v>
      </c>
      <c r="D23" s="87" t="str">
        <f>IF(B23=0,"",_xlfn.TEXTJOIN(", ",TRUE(),'Assessment Matrix'!$AB$2:$AB$69))</f>
        <v/>
      </c>
      <c r="E23" s="87"/>
      <c r="F23" s="87"/>
      <c r="G23" s="87"/>
    </row>
    <row r="24" spans="1:7" ht="48" customHeight="1" x14ac:dyDescent="0.3">
      <c r="A24" s="7" t="s">
        <v>502</v>
      </c>
      <c r="B24" s="7">
        <f>IF(IFERROR(Scoping!$C$3="",TRUE()),1,0)+IF(IFERROR(Scoping!$C$4="",TRUE()),1,0)+IF(NOT(IFERROR(AND(ISNUMBER(Scoping!$C$5),Scoping!$C$5&gt;=DATE(2020,1,1),Scoping!$C$5&lt;=DATE(2100,12,31)),FALSE())),1,0)+IF(IFERROR(Scoping!$C$6="",TRUE()),1,0)</f>
        <v>4</v>
      </c>
      <c r="C24" s="7" t="s">
        <v>503</v>
      </c>
      <c r="D24" s="87" t="str">
        <f>_xlfn.TEXTJOIN(", ",TRUE(),IF(IFERROR(Scoping!$C$3="",TRUE()),"Scoping!C3 - System name missing / invalid",""),IF(IFERROR(Scoping!$C$4="",TRUE()),"Scoping!C4 - Assessor/owner missing / invalid",""),IF(NOT(IFERROR(AND(ISNUMBER(Scoping!$C$5),Scoping!$C$5&gt;=DATE(2020,1,1),Scoping!$C$5&lt;=DATE(2100,12,31)),FALSE())),"Scoping!C5 - Date missing / invalid",""),IF(IFERROR(Scoping!$C$6="",TRUE()),"Scoping!C6 - Assessment version missing / invalid",""))</f>
        <v>Scoping!C3 - System name missing / invalid, Scoping!C4 - Assessor/owner missing / invalid, Scoping!C5 - Date missing / invalid, Scoping!C6 - Assessment version missing / invalid</v>
      </c>
      <c r="E24" s="87"/>
      <c r="F24" s="87"/>
      <c r="G24" s="87"/>
    </row>
    <row r="25" spans="1:7" ht="14.25" customHeight="1" x14ac:dyDescent="0.3">
      <c r="A25" t="s">
        <v>504</v>
      </c>
      <c r="B25" t="str">
        <f>IF(OR(ISERROR($B$40),ISERROR($B$41),ISERROR($B$42),ISERROR($B$43)),"Incomplete - sign-off input error in B40:B43",IFERROR(IF($B$40="","Awaiting sign-off",IF(LEFT($B$38,10)="Incomplete","Incomplete - sign-off details missing",IF(NOT(OR($B$40="APPROVED",$B$40="CONDITIONALLY APPROVED",$B$40="REJECTED")),"Invalid final decision value",IF(AND($B$40="APPROVED",$B$21&lt;&gt;"APPROVABLE"),"Conflict: approved while recommendation is "&amp;$B$21,IF(AND($B$40="CONDITIONALLY APPROVED",OR($B$21="BLOCKED",$B$21="INCOMPLETE")),"Conflict: conditional approval while recommendation is "&amp;$B$21,IF(AND(OR($B$40="APPROVED",$B$40="CONDITIONALLY APPROVED"),$B$13&gt;0,$B$43=""),"Exemptions without documented reference","Consistent")))))),"Incomplete - sign-off input error in B40:B43"))</f>
        <v>Awaiting sign-off</v>
      </c>
      <c r="C25" t="s">
        <v>505</v>
      </c>
    </row>
    <row r="26" spans="1:7" ht="69.75" customHeight="1" x14ac:dyDescent="0.3">
      <c r="A26" s="7" t="s">
        <v>506</v>
      </c>
      <c r="B26" s="7">
        <f>SUM('Assessment Matrix'!$AQ$2:$AQ$69)+Lookups!$E$25</f>
        <v>0</v>
      </c>
      <c r="C26" s="7" t="s">
        <v>507</v>
      </c>
      <c r="D26" s="87" t="str">
        <f>IFERROR(IF(B26=0,"",_xlfn.TEXTJOIN(", ",TRUE(),'Assessment Matrix'!$AC$2:$AC$69,Lookups!$F$25)),"Multiple issues: inspect Matrix Row Check and Lookups policy messages.")</f>
        <v/>
      </c>
      <c r="E26" s="87"/>
      <c r="F26" s="87"/>
      <c r="G26" s="87"/>
    </row>
    <row r="27" spans="1:7" ht="69.75" customHeight="1" x14ac:dyDescent="0.3">
      <c r="A27" s="35" t="s">
        <v>508</v>
      </c>
      <c r="B27" s="7">
        <f>SUM('Assessment Matrix'!$AF$2:$AF$69)+Lookups!$E$26</f>
        <v>0</v>
      </c>
      <c r="C27" s="7" t="s">
        <v>509</v>
      </c>
      <c r="D27" s="86" t="str">
        <f>IFERROR(IF(B27=0,"",_xlfn.TEXTJOIN(", ",TRUE(),'Assessment Matrix'!$AH$2:$AH$69,Lookups!$F$26)),"Multiple configuration issues: inspect Matrix Row Check and Lookups.")</f>
        <v/>
      </c>
      <c r="E27" s="86"/>
      <c r="F27" s="86"/>
      <c r="G27" s="86"/>
    </row>
    <row r="28" spans="1:7" ht="14.25" customHeight="1" x14ac:dyDescent="0.3">
      <c r="A28" s="32" t="s">
        <v>135</v>
      </c>
      <c r="B28" s="32" t="s">
        <v>510</v>
      </c>
      <c r="C28" s="32" t="s">
        <v>511</v>
      </c>
      <c r="D28" s="32" t="s">
        <v>512</v>
      </c>
      <c r="E28" s="32" t="s">
        <v>513</v>
      </c>
      <c r="F28" s="32" t="s">
        <v>514</v>
      </c>
      <c r="G28" s="32" t="s">
        <v>515</v>
      </c>
    </row>
    <row r="29" spans="1:7" ht="14.25" customHeight="1" x14ac:dyDescent="0.3">
      <c r="A29" t="s">
        <v>184</v>
      </c>
      <c r="B29">
        <f>COUNTIFS('Assessment Matrix'!$B$2:$B$69,$A29,'Assessment Matrix'!$I$2:$I$69,"Yes")</f>
        <v>5</v>
      </c>
      <c r="C29">
        <f>SUMIFS('Assessment Matrix'!$AR$2:$AR$69,'Assessment Matrix'!$B$2:$B$69,$A29)</f>
        <v>0</v>
      </c>
      <c r="D29" s="33">
        <f>IFERROR(SUMIFS('Assessment Matrix'!$AS$2:$AS$69,'Assessment Matrix'!$B$2:$B$69,$A29)/SUMIFS('Assessment Matrix'!$AT$2:$AT$69,'Assessment Matrix'!$B$2:$B$69,$A29),0)</f>
        <v>0</v>
      </c>
      <c r="E29">
        <f>SUMIFS('Assessment Matrix'!$M$2:$M$69,'Assessment Matrix'!$B$2:$B$69,$A29)</f>
        <v>346</v>
      </c>
      <c r="F29">
        <f>COUNTIFS('Assessment Matrix'!$B$2:$B$69,$A29,'Assessment Matrix'!$N$2:$N$69,"BLOCK")</f>
        <v>0</v>
      </c>
      <c r="G29">
        <f>COUNTIFS('Assessment Matrix'!$B$2:$B$69,$A29,'Assessment Matrix'!$N$2:$N$69,"ESCALATE")</f>
        <v>0</v>
      </c>
    </row>
    <row r="30" spans="1:7" ht="14.25" customHeight="1" x14ac:dyDescent="0.3">
      <c r="A30" t="s">
        <v>207</v>
      </c>
      <c r="B30">
        <f>COUNTIFS('Assessment Matrix'!$B$2:$B$69,$A30,'Assessment Matrix'!$I$2:$I$69,"Yes")</f>
        <v>7</v>
      </c>
      <c r="C30">
        <f>SUMIFS('Assessment Matrix'!$AR$2:$AR$69,'Assessment Matrix'!$B$2:$B$69,$A30)</f>
        <v>0</v>
      </c>
      <c r="D30" s="33">
        <f>IFERROR(SUMIFS('Assessment Matrix'!$AS$2:$AS$69,'Assessment Matrix'!$B$2:$B$69,$A30)/SUMIFS('Assessment Matrix'!$AT$2:$AT$69,'Assessment Matrix'!$B$2:$B$69,$A30),0)</f>
        <v>0</v>
      </c>
      <c r="E30">
        <f>SUMIFS('Assessment Matrix'!$M$2:$M$69,'Assessment Matrix'!$B$2:$B$69,$A30)</f>
        <v>351</v>
      </c>
      <c r="F30">
        <f>COUNTIFS('Assessment Matrix'!$B$2:$B$69,$A30,'Assessment Matrix'!$N$2:$N$69,"BLOCK")</f>
        <v>0</v>
      </c>
      <c r="G30">
        <f>COUNTIFS('Assessment Matrix'!$B$2:$B$69,$A30,'Assessment Matrix'!$N$2:$N$69,"ESCALATE")</f>
        <v>0</v>
      </c>
    </row>
    <row r="31" spans="1:7" ht="14.25" customHeight="1" x14ac:dyDescent="0.3">
      <c r="A31" t="s">
        <v>235</v>
      </c>
      <c r="B31">
        <f>COUNTIFS('Assessment Matrix'!$B$2:$B$69,$A31,'Assessment Matrix'!$I$2:$I$69,"Yes")</f>
        <v>9</v>
      </c>
      <c r="C31">
        <f>SUMIFS('Assessment Matrix'!$AR$2:$AR$69,'Assessment Matrix'!$B$2:$B$69,$A31)</f>
        <v>0</v>
      </c>
      <c r="D31" s="33">
        <f>IFERROR(SUMIFS('Assessment Matrix'!$AS$2:$AS$69,'Assessment Matrix'!$B$2:$B$69,$A31)/SUMIFS('Assessment Matrix'!$AT$2:$AT$69,'Assessment Matrix'!$B$2:$B$69,$A31),0)</f>
        <v>0</v>
      </c>
      <c r="E31">
        <f>SUMIFS('Assessment Matrix'!$M$2:$M$69,'Assessment Matrix'!$B$2:$B$69,$A31)</f>
        <v>787</v>
      </c>
      <c r="F31">
        <f>COUNTIFS('Assessment Matrix'!$B$2:$B$69,$A31,'Assessment Matrix'!$N$2:$N$69,"BLOCK")</f>
        <v>0</v>
      </c>
      <c r="G31">
        <f>COUNTIFS('Assessment Matrix'!$B$2:$B$69,$A31,'Assessment Matrix'!$N$2:$N$69,"ESCALATE")</f>
        <v>0</v>
      </c>
    </row>
    <row r="32" spans="1:7" ht="14.25" customHeight="1" x14ac:dyDescent="0.3">
      <c r="A32" t="s">
        <v>270</v>
      </c>
      <c r="B32">
        <f>COUNTIFS('Assessment Matrix'!$B$2:$B$69,$A32,'Assessment Matrix'!$I$2:$I$69,"Yes")</f>
        <v>10</v>
      </c>
      <c r="C32">
        <f>SUMIFS('Assessment Matrix'!$AR$2:$AR$69,'Assessment Matrix'!$B$2:$B$69,$A32)</f>
        <v>0</v>
      </c>
      <c r="D32" s="33">
        <f>IFERROR(SUMIFS('Assessment Matrix'!$AS$2:$AS$69,'Assessment Matrix'!$B$2:$B$69,$A32)/SUMIFS('Assessment Matrix'!$AT$2:$AT$69,'Assessment Matrix'!$B$2:$B$69,$A32),0)</f>
        <v>0</v>
      </c>
      <c r="E32">
        <f>SUMIFS('Assessment Matrix'!$M$2:$M$69,'Assessment Matrix'!$B$2:$B$69,$A32)</f>
        <v>668</v>
      </c>
      <c r="F32">
        <f>COUNTIFS('Assessment Matrix'!$B$2:$B$69,$A32,'Assessment Matrix'!$N$2:$N$69,"BLOCK")</f>
        <v>0</v>
      </c>
      <c r="G32">
        <f>COUNTIFS('Assessment Matrix'!$B$2:$B$69,$A32,'Assessment Matrix'!$N$2:$N$69,"ESCALATE")</f>
        <v>0</v>
      </c>
    </row>
    <row r="33" spans="1:7" ht="14.25" customHeight="1" x14ac:dyDescent="0.3">
      <c r="A33" t="s">
        <v>311</v>
      </c>
      <c r="B33">
        <f>COUNTIFS('Assessment Matrix'!$B$2:$B$69,$A33,'Assessment Matrix'!$I$2:$I$69,"Yes")</f>
        <v>8</v>
      </c>
      <c r="C33">
        <f>SUMIFS('Assessment Matrix'!$AR$2:$AR$69,'Assessment Matrix'!$B$2:$B$69,$A33)</f>
        <v>0</v>
      </c>
      <c r="D33" s="33">
        <f>IFERROR(SUMIFS('Assessment Matrix'!$AS$2:$AS$69,'Assessment Matrix'!$B$2:$B$69,$A33)/SUMIFS('Assessment Matrix'!$AT$2:$AT$69,'Assessment Matrix'!$B$2:$B$69,$A33),0)</f>
        <v>0</v>
      </c>
      <c r="E33">
        <f>SUMIFS('Assessment Matrix'!$M$2:$M$69,'Assessment Matrix'!$B$2:$B$69,$A33)</f>
        <v>495</v>
      </c>
      <c r="F33">
        <f>COUNTIFS('Assessment Matrix'!$B$2:$B$69,$A33,'Assessment Matrix'!$N$2:$N$69,"BLOCK")</f>
        <v>0</v>
      </c>
      <c r="G33">
        <f>COUNTIFS('Assessment Matrix'!$B$2:$B$69,$A33,'Assessment Matrix'!$N$2:$N$69,"ESCALATE")</f>
        <v>0</v>
      </c>
    </row>
    <row r="34" spans="1:7" ht="14.25" customHeight="1" x14ac:dyDescent="0.3">
      <c r="A34" t="s">
        <v>342</v>
      </c>
      <c r="B34">
        <f>COUNTIFS('Assessment Matrix'!$B$2:$B$69,$A34,'Assessment Matrix'!$I$2:$I$69,"Yes")</f>
        <v>6</v>
      </c>
      <c r="C34">
        <f>SUMIFS('Assessment Matrix'!$AR$2:$AR$69,'Assessment Matrix'!$B$2:$B$69,$A34)</f>
        <v>0</v>
      </c>
      <c r="D34" s="33">
        <f>IFERROR(SUMIFS('Assessment Matrix'!$AS$2:$AS$69,'Assessment Matrix'!$B$2:$B$69,$A34)/SUMIFS('Assessment Matrix'!$AT$2:$AT$69,'Assessment Matrix'!$B$2:$B$69,$A34),0)</f>
        <v>0</v>
      </c>
      <c r="E34">
        <f>SUMIFS('Assessment Matrix'!$M$2:$M$69,'Assessment Matrix'!$B$2:$B$69,$A34)</f>
        <v>336</v>
      </c>
      <c r="F34">
        <f>COUNTIFS('Assessment Matrix'!$B$2:$B$69,$A34,'Assessment Matrix'!$N$2:$N$69,"BLOCK")</f>
        <v>0</v>
      </c>
      <c r="G34">
        <f>COUNTIFS('Assessment Matrix'!$B$2:$B$69,$A34,'Assessment Matrix'!$N$2:$N$69,"ESCALATE")</f>
        <v>0</v>
      </c>
    </row>
    <row r="35" spans="1:7" ht="14.25" customHeight="1" x14ac:dyDescent="0.3">
      <c r="A35" t="s">
        <v>364</v>
      </c>
      <c r="B35">
        <f>COUNTIFS('Assessment Matrix'!$B$2:$B$69,$A35,'Assessment Matrix'!$I$2:$I$69,"Yes")</f>
        <v>5</v>
      </c>
      <c r="C35">
        <f>SUMIFS('Assessment Matrix'!$AR$2:$AR$69,'Assessment Matrix'!$B$2:$B$69,$A35)</f>
        <v>0</v>
      </c>
      <c r="D35" s="33">
        <f>IFERROR(SUMIFS('Assessment Matrix'!$AS$2:$AS$69,'Assessment Matrix'!$B$2:$B$69,$A35)/SUMIFS('Assessment Matrix'!$AT$2:$AT$69,'Assessment Matrix'!$B$2:$B$69,$A35),0)</f>
        <v>0</v>
      </c>
      <c r="E35">
        <f>SUMIFS('Assessment Matrix'!$M$2:$M$69,'Assessment Matrix'!$B$2:$B$69,$A35)</f>
        <v>383</v>
      </c>
      <c r="F35">
        <f>COUNTIFS('Assessment Matrix'!$B$2:$B$69,$A35,'Assessment Matrix'!$N$2:$N$69,"BLOCK")</f>
        <v>0</v>
      </c>
      <c r="G35">
        <f>COUNTIFS('Assessment Matrix'!$B$2:$B$69,$A35,'Assessment Matrix'!$N$2:$N$69,"ESCALATE")</f>
        <v>0</v>
      </c>
    </row>
    <row r="36" spans="1:7" ht="14.25" customHeight="1" x14ac:dyDescent="0.3">
      <c r="A36" t="s">
        <v>384</v>
      </c>
      <c r="B36">
        <f>COUNTIFS('Assessment Matrix'!$B$2:$B$69,$A36,'Assessment Matrix'!$I$2:$I$69,"Yes")</f>
        <v>5</v>
      </c>
      <c r="C36">
        <f>SUMIFS('Assessment Matrix'!$AR$2:$AR$69,'Assessment Matrix'!$B$2:$B$69,$A36)</f>
        <v>0</v>
      </c>
      <c r="D36" s="33">
        <f>IFERROR(SUMIFS('Assessment Matrix'!$AS$2:$AS$69,'Assessment Matrix'!$B$2:$B$69,$A36)/SUMIFS('Assessment Matrix'!$AT$2:$AT$69,'Assessment Matrix'!$B$2:$B$69,$A36),0)</f>
        <v>0</v>
      </c>
      <c r="E36">
        <f>SUMIFS('Assessment Matrix'!$M$2:$M$69,'Assessment Matrix'!$B$2:$B$69,$A36)</f>
        <v>283</v>
      </c>
      <c r="F36">
        <f>COUNTIFS('Assessment Matrix'!$B$2:$B$69,$A36,'Assessment Matrix'!$N$2:$N$69,"BLOCK")</f>
        <v>0</v>
      </c>
      <c r="G36">
        <f>COUNTIFS('Assessment Matrix'!$B$2:$B$69,$A36,'Assessment Matrix'!$N$2:$N$69,"ESCALATE")</f>
        <v>0</v>
      </c>
    </row>
    <row r="37" spans="1:7" ht="14.25" customHeight="1" x14ac:dyDescent="0.3">
      <c r="A37" t="s">
        <v>400</v>
      </c>
      <c r="B37">
        <f>COUNTIFS('Assessment Matrix'!$B$2:$B$69,$A37,'Assessment Matrix'!$I$2:$I$69,"Yes")</f>
        <v>13</v>
      </c>
      <c r="C37">
        <f>SUMIFS('Assessment Matrix'!$AR$2:$AR$69,'Assessment Matrix'!$B$2:$B$69,$A37)</f>
        <v>0</v>
      </c>
      <c r="D37" s="33">
        <f>IFERROR(SUMIFS('Assessment Matrix'!$AS$2:$AS$69,'Assessment Matrix'!$B$2:$B$69,$A37)/SUMIFS('Assessment Matrix'!$AT$2:$AT$69,'Assessment Matrix'!$B$2:$B$69,$A37),0)</f>
        <v>0</v>
      </c>
      <c r="E37">
        <f>SUMIFS('Assessment Matrix'!$M$2:$M$69,'Assessment Matrix'!$B$2:$B$69,$A37)</f>
        <v>959</v>
      </c>
      <c r="F37">
        <f>COUNTIFS('Assessment Matrix'!$B$2:$B$69,$A37,'Assessment Matrix'!$N$2:$N$69,"BLOCK")</f>
        <v>0</v>
      </c>
      <c r="G37">
        <f>COUNTIFS('Assessment Matrix'!$B$2:$B$69,$A37,'Assessment Matrix'!$N$2:$N$69,"ESCALATE")</f>
        <v>0</v>
      </c>
    </row>
    <row r="38" spans="1:7" ht="14.25" customHeight="1" x14ac:dyDescent="0.3">
      <c r="A38" t="s">
        <v>516</v>
      </c>
      <c r="B38" t="str">
        <f>IF(OR(ISERROR($B$40),ISERROR($B$41),ISERROR($B$42),ISERROR($B$43)),"Incomplete - sign-off input error in B40:B43",IFERROR(IF($B$40="","Awaiting decision",IF(NOT(OR($B$40="APPROVED",$B$40="CONDITIONALLY APPROVED",$B$40="REJECTED")),"Incomplete - invalid decision",IF(OR($B$41="",$B$42=""),"Incomplete - add decision owner and date",IF(OR(NOT(ISNUMBER($B$42)),$B$42&lt;DATE(2020,1,1),$B$42&gt;DATE(2100,12,31)),"Incomplete - valid date required",IF(AND($B$40="CONDITIONALLY APPROVED",$B$43=""),"Incomplete - document the conditions",IF(AND($B$13&gt;0,$B$43=""),"Incomplete - reference the exemptions","Complete")))))),"Incomplete - sign-off input error in B40:B43"))</f>
        <v>Awaiting decision</v>
      </c>
      <c r="C38" t="s">
        <v>517</v>
      </c>
    </row>
    <row r="39" spans="1:7" ht="14.25" customHeight="1" x14ac:dyDescent="0.3">
      <c r="A39" s="11" t="s">
        <v>518</v>
      </c>
    </row>
    <row r="40" spans="1:7" ht="14.25" customHeight="1" x14ac:dyDescent="0.3">
      <c r="A40" t="s">
        <v>519</v>
      </c>
      <c r="B40" s="36"/>
    </row>
    <row r="41" spans="1:7" ht="14.25" customHeight="1" x14ac:dyDescent="0.3">
      <c r="A41" t="s">
        <v>520</v>
      </c>
      <c r="B41" s="36"/>
    </row>
    <row r="42" spans="1:7" ht="14.25" customHeight="1" x14ac:dyDescent="0.3">
      <c r="A42" t="s">
        <v>66</v>
      </c>
      <c r="B42" s="37"/>
    </row>
    <row r="43" spans="1:7" ht="14.25" customHeight="1" x14ac:dyDescent="0.3">
      <c r="A43" t="s">
        <v>521</v>
      </c>
      <c r="B43" s="36"/>
    </row>
  </sheetData>
  <sheetProtection sheet="1" formatCells="0" formatColumns="0" formatRows="0"/>
  <mergeCells count="6">
    <mergeCell ref="D27:G27"/>
    <mergeCell ref="E3:F3"/>
    <mergeCell ref="D22:G22"/>
    <mergeCell ref="D23:G23"/>
    <mergeCell ref="D24:G24"/>
    <mergeCell ref="D26:G26"/>
  </mergeCells>
  <conditionalFormatting sqref="B21">
    <cfRule type="expression" dxfId="11" priority="2">
      <formula>$B$21="APPROVABLE"</formula>
    </cfRule>
    <cfRule type="expression" dxfId="10" priority="3">
      <formula>$B$21="CONDITIONAL APPROVAL"</formula>
    </cfRule>
    <cfRule type="expression" dxfId="9" priority="4">
      <formula>OR($B$21="BLOCKED",$B$21="INCOMPLETE")</formula>
    </cfRule>
  </conditionalFormatting>
  <conditionalFormatting sqref="B25">
    <cfRule type="expression" dxfId="8" priority="5">
      <formula>LEFT($B$25,8)="Conflict"</formula>
    </cfRule>
    <cfRule type="expression" dxfId="7" priority="6">
      <formula>LEFT($B$25,10)="Exemptions"</formula>
    </cfRule>
  </conditionalFormatting>
  <conditionalFormatting sqref="D29:D37">
    <cfRule type="colorScale" priority="7">
      <colorScale>
        <cfvo type="num" val="0"/>
        <cfvo type="num" val="1"/>
        <color rgb="FFFFC7CE"/>
        <color rgb="FFC6EFCE"/>
      </colorScale>
    </cfRule>
  </conditionalFormatting>
  <dataValidations count="1">
    <dataValidation type="list" allowBlank="1" showInputMessage="1" showErrorMessage="1" errorTitle="Invalid entry" error="Please choose a value from the dropdown list." promptTitle="Final decision" prompt="The consistency check above flags contradictions with the recommendation and undocumented exemptions." sqref="B40" xr:uid="{00000000-0002-0000-0300-000000000000}">
      <formula1>"APPROVED,CONDITIONALLY APPROVED,REJECTED"</formula1>
      <formula2>0</formula2>
    </dataValidation>
  </dataValidations>
  <pageMargins left="0.75" right="0.75" top="1" bottom="1" header="0.5" footer="0.5"/>
  <pageSetup paperSize="9" fitToHeight="0" orientation="landscape" horizontalDpi="300" verticalDpi="300"/>
  <headerFooter>
    <oddHeader>&amp;L&amp;A&amp;Rv0.6.8-r4 - &amp;D</oddHeader>
    <oddFooter>&amp;RPage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46"/>
  <sheetViews>
    <sheetView zoomScaleNormal="100" workbookViewId="0"/>
  </sheetViews>
  <sheetFormatPr baseColWidth="10" defaultColWidth="9.109375" defaultRowHeight="14.4" x14ac:dyDescent="0.3"/>
  <cols>
    <col min="1" max="1" width="52" customWidth="1"/>
    <col min="2" max="2" width="14" customWidth="1"/>
    <col min="3" max="3" width="18" customWidth="1"/>
    <col min="6" max="6" width="12" hidden="1" customWidth="1"/>
  </cols>
  <sheetData>
    <row r="1" spans="1:2" ht="15" customHeight="1" x14ac:dyDescent="0.3">
      <c r="A1" s="32" t="s">
        <v>144</v>
      </c>
      <c r="B1" s="32" t="s">
        <v>522</v>
      </c>
    </row>
    <row r="2" spans="1:2" ht="15" customHeight="1" x14ac:dyDescent="0.3">
      <c r="A2" s="19" t="s">
        <v>523</v>
      </c>
      <c r="B2" s="38">
        <v>1</v>
      </c>
    </row>
    <row r="3" spans="1:2" ht="15" customHeight="1" x14ac:dyDescent="0.3">
      <c r="A3" s="19" t="s">
        <v>524</v>
      </c>
      <c r="B3" s="38">
        <v>0.5</v>
      </c>
    </row>
    <row r="4" spans="1:2" ht="15" customHeight="1" x14ac:dyDescent="0.3">
      <c r="A4" s="19" t="s">
        <v>525</v>
      </c>
      <c r="B4" s="38">
        <v>0</v>
      </c>
    </row>
    <row r="5" spans="1:2" ht="15" customHeight="1" x14ac:dyDescent="0.3">
      <c r="A5" s="19" t="s">
        <v>526</v>
      </c>
    </row>
    <row r="6" spans="1:2" ht="15" customHeight="1" x14ac:dyDescent="0.3">
      <c r="A6" s="19"/>
    </row>
    <row r="7" spans="1:2" ht="15" customHeight="1" x14ac:dyDescent="0.3">
      <c r="A7" s="32" t="s">
        <v>138</v>
      </c>
      <c r="B7" s="32" t="s">
        <v>527</v>
      </c>
    </row>
    <row r="8" spans="1:2" ht="15" customHeight="1" x14ac:dyDescent="0.3">
      <c r="A8" s="19" t="s">
        <v>191</v>
      </c>
      <c r="B8" s="38">
        <v>5</v>
      </c>
    </row>
    <row r="9" spans="1:2" ht="15" customHeight="1" x14ac:dyDescent="0.3">
      <c r="A9" s="19" t="s">
        <v>187</v>
      </c>
      <c r="B9" s="38">
        <v>4</v>
      </c>
    </row>
    <row r="10" spans="1:2" ht="15" customHeight="1" x14ac:dyDescent="0.3">
      <c r="A10" s="19" t="s">
        <v>217</v>
      </c>
      <c r="B10" s="38">
        <v>3</v>
      </c>
    </row>
    <row r="11" spans="1:2" ht="15" customHeight="1" x14ac:dyDescent="0.3">
      <c r="A11" s="19" t="s">
        <v>528</v>
      </c>
      <c r="B11" s="38">
        <v>2</v>
      </c>
    </row>
    <row r="12" spans="1:2" ht="15" customHeight="1" x14ac:dyDescent="0.3">
      <c r="A12" s="19"/>
    </row>
    <row r="13" spans="1:2" ht="15" customHeight="1" x14ac:dyDescent="0.3">
      <c r="A13" s="32" t="s">
        <v>152</v>
      </c>
      <c r="B13" s="32"/>
    </row>
    <row r="14" spans="1:2" ht="15" customHeight="1" x14ac:dyDescent="0.3">
      <c r="A14" s="19" t="s">
        <v>529</v>
      </c>
    </row>
    <row r="15" spans="1:2" ht="15" customHeight="1" x14ac:dyDescent="0.3">
      <c r="A15" s="19" t="s">
        <v>530</v>
      </c>
    </row>
    <row r="16" spans="1:2" ht="15" customHeight="1" x14ac:dyDescent="0.3">
      <c r="A16" s="19" t="s">
        <v>531</v>
      </c>
    </row>
    <row r="17" spans="1:6" ht="15" customHeight="1" x14ac:dyDescent="0.3">
      <c r="A17" s="19" t="s">
        <v>532</v>
      </c>
    </row>
    <row r="18" spans="1:6" ht="15" customHeight="1" x14ac:dyDescent="0.3">
      <c r="A18" s="19" t="s">
        <v>533</v>
      </c>
    </row>
    <row r="19" spans="1:6" ht="15" customHeight="1" x14ac:dyDescent="0.3">
      <c r="A19" s="19"/>
    </row>
    <row r="20" spans="1:6" ht="15" customHeight="1" x14ac:dyDescent="0.3">
      <c r="A20" s="32" t="s">
        <v>534</v>
      </c>
      <c r="B20" s="32" t="s">
        <v>535</v>
      </c>
      <c r="C20" s="32" t="s">
        <v>536</v>
      </c>
    </row>
    <row r="21" spans="1:6" ht="15" customHeight="1" x14ac:dyDescent="0.3">
      <c r="A21" s="19" t="s">
        <v>537</v>
      </c>
      <c r="B21" s="39">
        <v>0.7</v>
      </c>
      <c r="C21" s="40">
        <v>100</v>
      </c>
    </row>
    <row r="22" spans="1:6" ht="15" customHeight="1" x14ac:dyDescent="0.3">
      <c r="A22" s="19" t="s">
        <v>538</v>
      </c>
      <c r="B22" s="39">
        <v>0.75</v>
      </c>
      <c r="C22" s="40">
        <v>80</v>
      </c>
    </row>
    <row r="23" spans="1:6" ht="15" customHeight="1" x14ac:dyDescent="0.3">
      <c r="A23" s="19" t="s">
        <v>539</v>
      </c>
      <c r="B23" s="39">
        <v>0.85</v>
      </c>
      <c r="C23" s="40">
        <v>60</v>
      </c>
    </row>
    <row r="24" spans="1:6" ht="15" customHeight="1" x14ac:dyDescent="0.3">
      <c r="A24" s="19"/>
    </row>
    <row r="25" spans="1:6" ht="15" customHeight="1" x14ac:dyDescent="0.3">
      <c r="A25" s="19" t="s">
        <v>540</v>
      </c>
      <c r="B25" s="41">
        <f>IFERROR(IF($E$25=1,MAX($B$21:$B$23),IF(p_role=$A$21,$B$21,IF(p_role=$A$22,$B$22,IF(p_role=$A$23,$B$23,MAX($B$21:$B$23))))),0)</f>
        <v>0.85</v>
      </c>
      <c r="C25" t="s">
        <v>541</v>
      </c>
      <c r="D25" t="s">
        <v>542</v>
      </c>
      <c r="E25">
        <f>IFERROR(IF(AND(COUNT(B21:B23)=3,MIN(B21:B23)&gt;=0,MAX(B21:B23)&lt;=1,B21&lt;=B22,B22&lt;=B23,COUNT(C21:C23)=3,MIN(C21:C23)&gt;=0,MAX(C21:C23)&lt;=125,C21&gt;=C22,C22&gt;=C23,ISNUMBER(B31),B31&gt;=0,B31&lt;=1),0,1),1)</f>
        <v>0</v>
      </c>
      <c r="F25" t="str">
        <f>_xlfn.TEXTJOIN(", ",TRUE(),IF(NOT(IFERROR(AND(ISNUMBER($B$21),$B$21&gt;=0,$B$21&lt;=1),FALSE())),"Lookups!B21 - Assist readiness minimum missing / invalid",""),IF(NOT(IFERROR(AND(ISNUMBER($C$21),$C$21&gt;=0,$C$21&lt;=125),FALSE())),"Lookups!C21 - Assist residual threshold missing / invalid",""),IF(NOT(IFERROR(AND(ISNUMBER($B$22),$B$22&gt;=0,$B$22&lt;=1),FALSE())),"Lookups!B22 - Steer readiness minimum missing / invalid",""),IF(NOT(IFERROR(AND(ISNUMBER($C$22),$C$22&gt;=0,$C$22&lt;=125),FALSE())),"Lookups!C22 - Steer residual threshold missing / invalid",""),IF(NOT(IFERROR(AND(ISNUMBER($B$23),$B$23&gt;=0,$B$23&lt;=1),FALSE())),"Lookups!B23 - Intervene readiness minimum missing / invalid",""),IF(NOT(IFERROR(AND(ISNUMBER($C$23),$C$23&gt;=0,$C$23&lt;=125),FALSE())),"Lookups!C23 - Intervene residual threshold missing / invalid",""),IF(AND(COUNT($B$21:$B$23)=3,NOT(IFERROR(AND($B$21&lt;=$B$22,$B$22&lt;=$B$23),FALSE()))),"Lookups!B21:B23 - readiness minima out of order (Assist &lt;= Steer &lt;= Intervene)",""),IF(AND(COUNT($C$21:$C$23)=3,NOT(IFERROR(AND($C$21&gt;=$C$22,$C$22&gt;=$C$23),FALSE()))),"Lookups!C21:C23 - residual thresholds out of order (Assist &gt;= Steer &gt;= Intervene)",""),IF(NOT(IFERROR(AND(ISNUMBER($B$31),$B$31&gt;=0,$B$31&lt;=1),FALSE())),"Lookups!B31 - MCP minimum compliance rate missing / invalid",""))</f>
        <v/>
      </c>
    </row>
    <row r="26" spans="1:6" ht="15" customHeight="1" x14ac:dyDescent="0.3">
      <c r="A26" s="19" t="s">
        <v>543</v>
      </c>
      <c r="B26" s="38">
        <f>IFERROR(IF($E$25=1,MIN($C$21:$C$23),IF(p_role=$A$21,$C$21,IF(p_role=$A$22,$C$22,IF(p_role=$A$23,$C$23,MIN($C$21:$C$23))))),0)</f>
        <v>60</v>
      </c>
      <c r="C26" t="s">
        <v>544</v>
      </c>
      <c r="D26" t="s">
        <v>545</v>
      </c>
      <c r="E26">
        <f>IFERROR(IF(AND(COUNT(B29:B30)=2,MIN(B29:B30)&gt;=0,MAX(B29:B30)&lt;=1,B30&lt;=B29),0,1),1)</f>
        <v>0</v>
      </c>
      <c r="F26" t="str">
        <f>IF($E$26=0,"","Lookups!B29:B30 - Comparator cutoffs missing, invalid or out of order")</f>
        <v/>
      </c>
    </row>
    <row r="28" spans="1:6" ht="14.25" customHeight="1" x14ac:dyDescent="0.3">
      <c r="A28" s="11" t="s">
        <v>546</v>
      </c>
    </row>
    <row r="29" spans="1:6" ht="14.25" customHeight="1" x14ac:dyDescent="0.3">
      <c r="A29" t="s">
        <v>547</v>
      </c>
      <c r="B29" s="42">
        <v>0.8</v>
      </c>
    </row>
    <row r="30" spans="1:6" ht="14.25" customHeight="1" x14ac:dyDescent="0.3">
      <c r="A30" t="s">
        <v>548</v>
      </c>
      <c r="B30" s="42">
        <v>0.6</v>
      </c>
    </row>
    <row r="31" spans="1:6" ht="15" customHeight="1" x14ac:dyDescent="0.3">
      <c r="A31" t="s">
        <v>549</v>
      </c>
      <c r="B31" s="42">
        <v>0.8</v>
      </c>
      <c r="C31" t="s">
        <v>550</v>
      </c>
    </row>
    <row r="32" spans="1:6" ht="14.25" customHeight="1" x14ac:dyDescent="0.3">
      <c r="A32" s="11" t="s">
        <v>551</v>
      </c>
    </row>
    <row r="33" spans="1:2" ht="14.25" customHeight="1" x14ac:dyDescent="0.3">
      <c r="A33" t="s">
        <v>552</v>
      </c>
    </row>
    <row r="34" spans="1:2" ht="14.25" customHeight="1" x14ac:dyDescent="0.3">
      <c r="A34" t="s">
        <v>553</v>
      </c>
    </row>
    <row r="35" spans="1:2" ht="14.25" customHeight="1" x14ac:dyDescent="0.3">
      <c r="A35" t="s">
        <v>554</v>
      </c>
    </row>
    <row r="36" spans="1:2" ht="14.25" customHeight="1" x14ac:dyDescent="0.3">
      <c r="A36" t="s">
        <v>555</v>
      </c>
    </row>
    <row r="37" spans="1:2" ht="14.25" customHeight="1" x14ac:dyDescent="0.3">
      <c r="A37" t="s">
        <v>556</v>
      </c>
    </row>
    <row r="39" spans="1:2" ht="14.25" customHeight="1" x14ac:dyDescent="0.3">
      <c r="A39" s="11" t="s">
        <v>557</v>
      </c>
    </row>
    <row r="40" spans="1:2" ht="14.25" customHeight="1" x14ac:dyDescent="0.3">
      <c r="A40" t="s">
        <v>558</v>
      </c>
    </row>
    <row r="41" spans="1:2" ht="14.25" customHeight="1" x14ac:dyDescent="0.3">
      <c r="A41" t="s">
        <v>559</v>
      </c>
    </row>
    <row r="42" spans="1:2" ht="14.25" customHeight="1" x14ac:dyDescent="0.3">
      <c r="A42" t="s">
        <v>560</v>
      </c>
    </row>
    <row r="43" spans="1:2" ht="14.25" customHeight="1" x14ac:dyDescent="0.3">
      <c r="A43" t="s">
        <v>561</v>
      </c>
    </row>
    <row r="44" spans="1:2" ht="14.25" customHeight="1" x14ac:dyDescent="0.3">
      <c r="A44" t="s">
        <v>562</v>
      </c>
    </row>
    <row r="46" spans="1:2" ht="14.25" customHeight="1" x14ac:dyDescent="0.3">
      <c r="A46" t="s">
        <v>563</v>
      </c>
      <c r="B46" t="s">
        <v>564</v>
      </c>
    </row>
  </sheetData>
  <sheetProtection sheet="1" formatCells="0" formatColumns="0" formatRows="0"/>
  <dataValidations count="4">
    <dataValidation type="decimal" showInputMessage="1" showErrorMessage="1" errorTitle="Invalid setting" error="Enter a decimal between 0 and 1." promptTitle="Policy setting" prompt="Decimal between 0 and 1." sqref="B21:B23" xr:uid="{00000000-0002-0000-0400-000000000000}">
      <formula1>0</formula1>
      <formula2>1</formula2>
    </dataValidation>
    <dataValidation type="decimal" showInputMessage="1" showErrorMessage="1" errorTitle="Invalid setting" error="Enter a number between 0 and 125." promptTitle="Policy setting" prompt="Residual threshold: number between 0 and 125." sqref="C21:C23" xr:uid="{00000000-0002-0000-0400-000001000000}">
      <formula1>0</formula1>
      <formula2>125</formula2>
    </dataValidation>
    <dataValidation type="decimal" showInputMessage="1" showErrorMessage="1" errorTitle="Invalid cutoff" error="Enter a decimal between 0 and 1." promptTitle="Comparator cutoff" prompt="Decimal between 0 and 1; conditional &lt;= suitable." sqref="B29:B30" xr:uid="{00000000-0002-0000-0400-000002000000}">
      <formula1>0</formula1>
      <formula2>1</formula2>
    </dataValidation>
    <dataValidation type="decimal" showInputMessage="1" showErrorMessage="1" errorTitle="Invalid setting" error="Enter a decimal between 0 and 1." promptTitle="MCP minimum compliance" prompt="Decimal between 0 and 1. A required MCP side whose compliance rate is below this value verdicts NO-GO." sqref="B31" xr:uid="{00000000-0002-0000-0400-000003000000}">
      <formula1>0</formula1>
      <formula2>1</formula2>
    </dataValidation>
  </dataValidations>
  <pageMargins left="0.75" right="0.75" top="1" bottom="1" header="0.51180555555555596" footer="0.51180555555555596"/>
  <pageSetup paperSize="9" fitToHeight="0" orientation="landscape" horizontalDpi="300" verticalDpi="300"/>
  <headerFooter>
    <oddHeader>&amp;L&amp;A&amp;Rv0.6.8-r4 - &amp;D</oddHeader>
    <oddFooter>&amp;RPage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86"/>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9.109375" defaultRowHeight="14.4" x14ac:dyDescent="0.3"/>
  <cols>
    <col min="1" max="1" width="30" customWidth="1"/>
    <col min="2" max="7" width="10" customWidth="1"/>
    <col min="8" max="8" width="46" customWidth="1"/>
    <col min="9" max="9" width="24" customWidth="1"/>
    <col min="10" max="11" width="12" customWidth="1"/>
  </cols>
  <sheetData>
    <row r="1" spans="1:11" ht="21" customHeight="1" x14ac:dyDescent="0.4">
      <c r="A1" s="84" t="s">
        <v>565</v>
      </c>
      <c r="B1" s="84"/>
      <c r="C1" s="84"/>
      <c r="D1" s="84"/>
      <c r="E1" s="84"/>
      <c r="F1" s="84"/>
      <c r="G1" s="84"/>
      <c r="H1" s="84"/>
      <c r="I1" s="84"/>
      <c r="J1" s="84"/>
      <c r="K1" s="84"/>
    </row>
    <row r="2" spans="1:11" ht="39.75" customHeight="1" x14ac:dyDescent="0.3">
      <c r="A2" s="88" t="s">
        <v>566</v>
      </c>
      <c r="B2" s="88"/>
      <c r="C2" s="88"/>
      <c r="D2" s="88"/>
      <c r="E2" s="88"/>
      <c r="F2" s="88"/>
      <c r="G2" s="88"/>
      <c r="H2" s="88"/>
      <c r="I2" s="88"/>
      <c r="J2" s="88"/>
      <c r="K2" s="88"/>
    </row>
    <row r="4" spans="1:11" ht="15" customHeight="1" x14ac:dyDescent="0.3">
      <c r="A4" s="5" t="s">
        <v>567</v>
      </c>
      <c r="B4" s="5" t="s">
        <v>568</v>
      </c>
      <c r="C4" s="5" t="s">
        <v>569</v>
      </c>
      <c r="D4" s="5" t="s">
        <v>570</v>
      </c>
      <c r="E4" s="5" t="s">
        <v>571</v>
      </c>
      <c r="F4" s="5" t="s">
        <v>572</v>
      </c>
      <c r="G4" s="5" t="s">
        <v>573</v>
      </c>
      <c r="H4" s="5" t="s">
        <v>574</v>
      </c>
    </row>
    <row r="5" spans="1:11" ht="15" customHeight="1" x14ac:dyDescent="0.3">
      <c r="A5" s="43" t="s">
        <v>575</v>
      </c>
      <c r="B5" s="44">
        <f t="shared" ref="B5:G13" si="0">COUNTIFS($I$19:$I$86,$A5,$J$19:$J$86,B$4,$K$19:$K$86,"Yes")</f>
        <v>0</v>
      </c>
      <c r="C5" s="44">
        <f t="shared" si="0"/>
        <v>1</v>
      </c>
      <c r="D5" s="44">
        <f t="shared" si="0"/>
        <v>8</v>
      </c>
      <c r="E5" s="44">
        <f t="shared" si="0"/>
        <v>1</v>
      </c>
      <c r="F5" s="44">
        <f t="shared" si="0"/>
        <v>1</v>
      </c>
      <c r="G5" s="44">
        <f t="shared" si="0"/>
        <v>1</v>
      </c>
      <c r="H5" s="44" t="str">
        <f>"x"</f>
        <v>x</v>
      </c>
    </row>
    <row r="6" spans="1:11" ht="15" customHeight="1" x14ac:dyDescent="0.3">
      <c r="A6" s="43" t="s">
        <v>576</v>
      </c>
      <c r="B6" s="44">
        <f t="shared" si="0"/>
        <v>1</v>
      </c>
      <c r="C6" s="44">
        <f t="shared" si="0"/>
        <v>1</v>
      </c>
      <c r="D6" s="44">
        <f t="shared" si="0"/>
        <v>5</v>
      </c>
      <c r="E6" s="44">
        <f t="shared" si="0"/>
        <v>0</v>
      </c>
      <c r="F6" s="44">
        <f t="shared" si="0"/>
        <v>1</v>
      </c>
      <c r="G6" s="44">
        <f t="shared" si="0"/>
        <v>0</v>
      </c>
      <c r="H6" s="44" t="str">
        <f>IF(AND(p_tools="No",p_autonomy="None (chat or single completions)",p_multiagent="No",p_mcp="No"),"","x")</f>
        <v>x</v>
      </c>
    </row>
    <row r="7" spans="1:11" ht="15" customHeight="1" x14ac:dyDescent="0.3">
      <c r="A7" s="43" t="s">
        <v>577</v>
      </c>
      <c r="B7" s="44">
        <f t="shared" si="0"/>
        <v>1</v>
      </c>
      <c r="C7" s="44">
        <f t="shared" si="0"/>
        <v>0</v>
      </c>
      <c r="D7" s="44">
        <f t="shared" si="0"/>
        <v>3</v>
      </c>
      <c r="E7" s="44">
        <f t="shared" si="0"/>
        <v>0</v>
      </c>
      <c r="F7" s="44">
        <f t="shared" si="0"/>
        <v>0</v>
      </c>
      <c r="G7" s="44">
        <f t="shared" si="0"/>
        <v>0</v>
      </c>
      <c r="H7" s="44" t="str">
        <f>IF(p_downstream="No","","x")</f>
        <v>x</v>
      </c>
    </row>
    <row r="8" spans="1:11" ht="15" customHeight="1" x14ac:dyDescent="0.3">
      <c r="A8" s="43" t="s">
        <v>578</v>
      </c>
      <c r="B8" s="44">
        <f t="shared" si="0"/>
        <v>0</v>
      </c>
      <c r="C8" s="44">
        <f t="shared" si="0"/>
        <v>0</v>
      </c>
      <c r="D8" s="44">
        <f t="shared" si="0"/>
        <v>1</v>
      </c>
      <c r="E8" s="44">
        <f t="shared" si="0"/>
        <v>1</v>
      </c>
      <c r="F8" s="44">
        <f t="shared" si="0"/>
        <v>0</v>
      </c>
      <c r="G8" s="44">
        <f t="shared" si="0"/>
        <v>0</v>
      </c>
      <c r="H8" s="44" t="str">
        <f>IF(OR(p_locus="Network or gateway (inline)",p_multiagent="Yes"),"x","")</f>
        <v/>
      </c>
    </row>
    <row r="9" spans="1:11" ht="15" customHeight="1" x14ac:dyDescent="0.3">
      <c r="A9" s="43" t="s">
        <v>579</v>
      </c>
      <c r="B9" s="44">
        <f t="shared" si="0"/>
        <v>14</v>
      </c>
      <c r="C9" s="44">
        <f t="shared" si="0"/>
        <v>5</v>
      </c>
      <c r="D9" s="44">
        <f t="shared" si="0"/>
        <v>2</v>
      </c>
      <c r="E9" s="44">
        <f t="shared" si="0"/>
        <v>0</v>
      </c>
      <c r="F9" s="44">
        <f t="shared" si="0"/>
        <v>0</v>
      </c>
      <c r="G9" s="44">
        <f t="shared" si="0"/>
        <v>1</v>
      </c>
      <c r="H9" s="44" t="str">
        <f>"x"</f>
        <v>x</v>
      </c>
    </row>
    <row r="10" spans="1:11" ht="15" customHeight="1" x14ac:dyDescent="0.3">
      <c r="A10" s="43" t="s">
        <v>580</v>
      </c>
      <c r="B10" s="44">
        <f t="shared" si="0"/>
        <v>0</v>
      </c>
      <c r="C10" s="44">
        <f t="shared" si="0"/>
        <v>1</v>
      </c>
      <c r="D10" s="44">
        <f t="shared" si="0"/>
        <v>1</v>
      </c>
      <c r="E10" s="44">
        <f t="shared" si="0"/>
        <v>0</v>
      </c>
      <c r="F10" s="44">
        <f t="shared" si="0"/>
        <v>0</v>
      </c>
      <c r="G10" s="44">
        <f t="shared" si="0"/>
        <v>0</v>
      </c>
      <c r="H10" s="44" t="str">
        <f>IF(p_finetune="No","","x")</f>
        <v>x</v>
      </c>
    </row>
    <row r="11" spans="1:11" ht="15" customHeight="1" x14ac:dyDescent="0.3">
      <c r="A11" s="43" t="s">
        <v>581</v>
      </c>
      <c r="B11" s="44">
        <f t="shared" si="0"/>
        <v>4</v>
      </c>
      <c r="C11" s="44">
        <f t="shared" si="0"/>
        <v>4</v>
      </c>
      <c r="D11" s="44">
        <f t="shared" si="0"/>
        <v>4</v>
      </c>
      <c r="E11" s="44">
        <f t="shared" si="0"/>
        <v>0</v>
      </c>
      <c r="F11" s="44">
        <f t="shared" si="0"/>
        <v>0</v>
      </c>
      <c r="G11" s="44">
        <f t="shared" si="0"/>
        <v>0</v>
      </c>
      <c r="H11" s="44" t="str">
        <f>"x"</f>
        <v>x</v>
      </c>
    </row>
    <row r="12" spans="1:11" ht="15" customHeight="1" x14ac:dyDescent="0.3">
      <c r="A12" s="43" t="s">
        <v>582</v>
      </c>
      <c r="B12" s="44">
        <f t="shared" si="0"/>
        <v>1</v>
      </c>
      <c r="C12" s="44">
        <f t="shared" si="0"/>
        <v>0</v>
      </c>
      <c r="D12" s="44">
        <f t="shared" si="0"/>
        <v>2</v>
      </c>
      <c r="E12" s="44">
        <f t="shared" si="0"/>
        <v>2</v>
      </c>
      <c r="F12" s="44">
        <f t="shared" si="0"/>
        <v>0</v>
      </c>
      <c r="G12" s="44">
        <f t="shared" si="0"/>
        <v>0</v>
      </c>
      <c r="H12" s="44" t="str">
        <f>IF(p_autonomy="None (chat or single completions)","","x")</f>
        <v>x</v>
      </c>
    </row>
    <row r="13" spans="1:11" ht="15" customHeight="1" x14ac:dyDescent="0.3">
      <c r="A13" s="43" t="s">
        <v>583</v>
      </c>
      <c r="B13" s="44">
        <f t="shared" si="0"/>
        <v>0</v>
      </c>
      <c r="C13" s="44">
        <f t="shared" si="0"/>
        <v>0</v>
      </c>
      <c r="D13" s="44">
        <f t="shared" si="0"/>
        <v>0</v>
      </c>
      <c r="E13" s="44">
        <f t="shared" si="0"/>
        <v>0</v>
      </c>
      <c r="F13" s="44">
        <f t="shared" si="0"/>
        <v>0</v>
      </c>
      <c r="G13" s="44">
        <f t="shared" si="0"/>
        <v>0</v>
      </c>
      <c r="H13" s="44" t="str">
        <f>"x"</f>
        <v>x</v>
      </c>
    </row>
    <row r="15" spans="1:11" ht="15" customHeight="1" x14ac:dyDescent="0.3">
      <c r="A15" s="89" t="s">
        <v>584</v>
      </c>
      <c r="B15" s="89"/>
      <c r="C15" s="89"/>
      <c r="D15" s="89"/>
      <c r="E15" s="89"/>
      <c r="F15" s="89"/>
      <c r="G15" s="89"/>
      <c r="H15" s="89"/>
    </row>
    <row r="18" spans="1:11" ht="15" customHeight="1" x14ac:dyDescent="0.3">
      <c r="A18" s="90" t="s">
        <v>585</v>
      </c>
      <c r="B18" s="90"/>
      <c r="C18" s="90"/>
      <c r="D18" s="90"/>
      <c r="E18" s="90"/>
      <c r="F18" s="90"/>
      <c r="G18" s="90"/>
      <c r="H18" s="5" t="s">
        <v>586</v>
      </c>
      <c r="I18" s="5" t="s">
        <v>567</v>
      </c>
      <c r="J18" s="5" t="s">
        <v>587</v>
      </c>
      <c r="K18" s="5" t="s">
        <v>142</v>
      </c>
    </row>
    <row r="19" spans="1:11" ht="30" customHeight="1" x14ac:dyDescent="0.3">
      <c r="A19" s="45" t="s">
        <v>183</v>
      </c>
      <c r="H19" s="46" t="str">
        <f>VLOOKUP($A19,'Assessment Matrix'!$A:$D,4,FALSE())</f>
        <v>Business purpose, accountable owner, users, and intended decisions are documented.</v>
      </c>
      <c r="I19" s="47" t="s">
        <v>579</v>
      </c>
      <c r="J19" s="47" t="s">
        <v>568</v>
      </c>
      <c r="K19" s="47" t="str">
        <f>VLOOKUP($A19,'Assessment Matrix'!$A:$I,9,FALSE())</f>
        <v>Yes</v>
      </c>
    </row>
    <row r="20" spans="1:11" ht="45" customHeight="1" x14ac:dyDescent="0.3">
      <c r="A20" s="45" t="s">
        <v>189</v>
      </c>
      <c r="H20" s="46" t="str">
        <f>VLOOKUP($A20,'Assessment Matrix'!$A:$D,4,FALSE())</f>
        <v>Data classification is defined, including personal, confidential, regulated, and export-controlled data.</v>
      </c>
      <c r="I20" s="47" t="s">
        <v>581</v>
      </c>
      <c r="J20" s="47" t="s">
        <v>569</v>
      </c>
      <c r="K20" s="47" t="str">
        <f>VLOOKUP($A20,'Assessment Matrix'!$A:$I,9,FALSE())</f>
        <v>Yes</v>
      </c>
    </row>
    <row r="21" spans="1:11" ht="45" customHeight="1" x14ac:dyDescent="0.3">
      <c r="A21" s="45" t="s">
        <v>193</v>
      </c>
      <c r="H21" s="46" t="str">
        <f>VLOOKUP($A21,'Assessment Matrix'!$A:$D,4,FALSE())</f>
        <v>AI Act classification is completed: prohibited, high-risk, GPAI dependency, deployer/provider role, and transparency obligations.</v>
      </c>
      <c r="I21" s="47" t="s">
        <v>579</v>
      </c>
      <c r="J21" s="47" t="s">
        <v>568</v>
      </c>
      <c r="K21" s="47" t="str">
        <f>VLOOKUP($A21,'Assessment Matrix'!$A:$I,9,FALSE())</f>
        <v>Yes</v>
      </c>
    </row>
    <row r="22" spans="1:11" ht="30" customHeight="1" x14ac:dyDescent="0.3">
      <c r="A22" s="45" t="s">
        <v>197</v>
      </c>
      <c r="H22" s="46" t="str">
        <f>VLOOKUP($A22,'Assessment Matrix'!$A:$D,4,FALSE())</f>
        <v>Human oversight, accountability, escalation, and override are defined for consequential outputs.</v>
      </c>
      <c r="I22" s="47" t="s">
        <v>579</v>
      </c>
      <c r="J22" s="47" t="s">
        <v>568</v>
      </c>
      <c r="K22" s="47" t="str">
        <f>VLOOKUP($A22,'Assessment Matrix'!$A:$I,9,FALSE())</f>
        <v>Yes</v>
      </c>
    </row>
    <row r="23" spans="1:11" ht="45" customHeight="1" x14ac:dyDescent="0.3">
      <c r="A23" s="45" t="s">
        <v>201</v>
      </c>
      <c r="H23" s="46" t="str">
        <f>VLOOKUP($A23,'Assessment Matrix'!$A:$D,4,FALSE())</f>
        <v>The system does not execute high-impact actions autonomously without policy, validation, and approval controls.</v>
      </c>
      <c r="I23" s="47" t="s">
        <v>576</v>
      </c>
      <c r="J23" s="47" t="s">
        <v>568</v>
      </c>
      <c r="K23" s="47" t="str">
        <f>VLOOKUP($A23,'Assessment Matrix'!$A:$I,9,FALSE())</f>
        <v>Yes</v>
      </c>
    </row>
    <row r="24" spans="1:11" ht="60" customHeight="1" x14ac:dyDescent="0.3">
      <c r="A24" s="45" t="s">
        <v>206</v>
      </c>
      <c r="H24" s="46" t="str">
        <f>VLOOKUP($A24,'Assessment Matrix'!$A:$D,4,FALSE())</f>
        <v>Model card/system card or equivalent documentation describes intended use, limitations, training/evaluation approach, and known risks.</v>
      </c>
      <c r="I24" s="47" t="s">
        <v>579</v>
      </c>
      <c r="J24" s="47" t="s">
        <v>569</v>
      </c>
      <c r="K24" s="47" t="str">
        <f>VLOOKUP($A24,'Assessment Matrix'!$A:$I,9,FALSE())</f>
        <v>Yes</v>
      </c>
    </row>
    <row r="25" spans="1:11" ht="45" customHeight="1" x14ac:dyDescent="0.3">
      <c r="A25" s="45" t="s">
        <v>210</v>
      </c>
      <c r="H25" s="46" t="str">
        <f>VLOOKUP($A25,'Assessment Matrix'!$A:$D,4,FALSE())</f>
        <v>Provider legal entity, jurisdictions, subcontractors, hosting locations, and support dependencies are documented.</v>
      </c>
      <c r="I25" s="47" t="s">
        <v>579</v>
      </c>
      <c r="J25" s="47" t="s">
        <v>569</v>
      </c>
      <c r="K25" s="47" t="str">
        <f>VLOOKUP($A25,'Assessment Matrix'!$A:$I,9,FALSE())</f>
        <v>Yes</v>
      </c>
    </row>
    <row r="26" spans="1:11" ht="45" customHeight="1" x14ac:dyDescent="0.3">
      <c r="A26" s="45" t="s">
        <v>215</v>
      </c>
      <c r="H26" s="46" t="str">
        <f>VLOOKUP($A26,'Assessment Matrix'!$A:$D,4,FALSE())</f>
        <v>Independent assurance is available where appropriate, such as ISO 27001, SOC 2, audit report, penetration test, or equivalent.</v>
      </c>
      <c r="I26" s="47" t="s">
        <v>579</v>
      </c>
      <c r="J26" s="47" t="s">
        <v>568</v>
      </c>
      <c r="K26" s="47" t="str">
        <f>VLOOKUP($A26,'Assessment Matrix'!$A:$I,9,FALSE())</f>
        <v>Yes</v>
      </c>
    </row>
    <row r="27" spans="1:11" ht="30" customHeight="1" x14ac:dyDescent="0.3">
      <c r="A27" s="45" t="s">
        <v>219</v>
      </c>
      <c r="H27" s="46" t="str">
        <f>VLOOKUP($A27,'Assessment Matrix'!$A:$D,4,FALSE())</f>
        <v>Target model version has release notes, lifecycle support, change log, and update/rollback path.</v>
      </c>
      <c r="I27" s="47" t="s">
        <v>579</v>
      </c>
      <c r="J27" s="47" t="s">
        <v>569</v>
      </c>
      <c r="K27" s="47" t="str">
        <f>VLOOKUP($A27,'Assessment Matrix'!$A:$I,9,FALSE())</f>
        <v>Yes</v>
      </c>
    </row>
    <row r="28" spans="1:11" ht="45" customHeight="1" x14ac:dyDescent="0.3">
      <c r="A28" s="45" t="s">
        <v>223</v>
      </c>
      <c r="H28" s="46" t="str">
        <f>VLOOKUP($A28,'Assessment Matrix'!$A:$D,4,FALSE())</f>
        <v>Terms, license, retention, logging, confidentiality, IP, and acceptable use permit the intended company use.</v>
      </c>
      <c r="I28" s="47" t="s">
        <v>579</v>
      </c>
      <c r="J28" s="47" t="s">
        <v>568</v>
      </c>
      <c r="K28" s="47" t="str">
        <f>VLOOKUP($A28,'Assessment Matrix'!$A:$I,9,FALSE())</f>
        <v>Yes</v>
      </c>
    </row>
    <row r="29" spans="1:11" ht="30" customHeight="1" x14ac:dyDescent="0.3">
      <c r="A29" s="45" t="s">
        <v>227</v>
      </c>
      <c r="H29" s="46" t="str">
        <f>VLOOKUP($A29,'Assessment Matrix'!$A:$D,4,FALSE())</f>
        <v>Support, patching, incident notification, and end-of-life commitments match business criticality.</v>
      </c>
      <c r="I29" s="47" t="s">
        <v>579</v>
      </c>
      <c r="J29" s="47" t="s">
        <v>568</v>
      </c>
      <c r="K29" s="47" t="str">
        <f>VLOOKUP($A29,'Assessment Matrix'!$A:$I,9,FALSE())</f>
        <v>Yes</v>
      </c>
    </row>
    <row r="30" spans="1:11" ht="45" customHeight="1" x14ac:dyDescent="0.3">
      <c r="A30" s="45" t="s">
        <v>234</v>
      </c>
      <c r="H30" s="46" t="str">
        <f>VLOOKUP($A30,'Assessment Matrix'!$A:$D,4,FALSE())</f>
        <v>Deployment model, trust boundaries, network paths, data flows, and dependencies are documented and approved.</v>
      </c>
      <c r="I30" s="47" t="s">
        <v>575</v>
      </c>
      <c r="J30" s="47" t="s">
        <v>569</v>
      </c>
      <c r="K30" s="47" t="str">
        <f>VLOOKUP($A30,'Assessment Matrix'!$A:$I,9,FALSE())</f>
        <v>Yes</v>
      </c>
    </row>
    <row r="31" spans="1:11" ht="60" customHeight="1" x14ac:dyDescent="0.3">
      <c r="A31" s="45" t="s">
        <v>238</v>
      </c>
      <c r="H31" s="46" t="str">
        <f>VLOOKUP($A31,'Assessment Matrix'!$A:$D,4,FALSE())</f>
        <v>Runtime, tools, containers, and integrations follow least privilege and do not require avoidable root, broad Linux capabilities, or broad credentials.</v>
      </c>
      <c r="I31" s="47" t="s">
        <v>575</v>
      </c>
      <c r="J31" s="47" t="s">
        <v>570</v>
      </c>
      <c r="K31" s="47" t="str">
        <f>VLOOKUP($A31,'Assessment Matrix'!$A:$I,9,FALSE())</f>
        <v>Yes</v>
      </c>
    </row>
    <row r="32" spans="1:11" ht="45" customHeight="1" x14ac:dyDescent="0.3">
      <c r="A32" s="45" t="s">
        <v>242</v>
      </c>
      <c r="H32" s="46" t="str">
        <f>VLOOKUP($A32,'Assessment Matrix'!$A:$D,4,FALSE())</f>
        <v>Authentication, authorization, tenant/user segregation, and privileged admin access are defined and tested.</v>
      </c>
      <c r="I32" s="47" t="s">
        <v>575</v>
      </c>
      <c r="J32" s="47" t="s">
        <v>570</v>
      </c>
      <c r="K32" s="47" t="str">
        <f>VLOOKUP($A32,'Assessment Matrix'!$A:$I,9,FALSE())</f>
        <v>Yes</v>
      </c>
    </row>
    <row r="33" spans="1:11" ht="45" customHeight="1" x14ac:dyDescent="0.3">
      <c r="A33" s="45" t="s">
        <v>245</v>
      </c>
      <c r="H33" s="46" t="str">
        <f>VLOOKUP($A33,'Assessment Matrix'!$A:$D,4,FALSE())</f>
        <v>Secrets, credentials, tokens, and sensitive system prompts are not exposed to user-controllable context or model output.</v>
      </c>
      <c r="I33" s="47" t="s">
        <v>581</v>
      </c>
      <c r="J33" s="47" t="s">
        <v>570</v>
      </c>
      <c r="K33" s="47" t="str">
        <f>VLOOKUP($A33,'Assessment Matrix'!$A:$I,9,FALSE())</f>
        <v>Yes</v>
      </c>
    </row>
    <row r="34" spans="1:11" ht="45" customHeight="1" x14ac:dyDescent="0.3">
      <c r="A34" s="45" t="s">
        <v>248</v>
      </c>
      <c r="H34" s="46" t="str">
        <f>VLOOKUP($A34,'Assessment Matrix'!$A:$D,4,FALSE())</f>
        <v>Retrieval data is scoped to user entitlements and protected against cross-tenant or cross-project leakage.</v>
      </c>
      <c r="I34" s="47" t="s">
        <v>581</v>
      </c>
      <c r="J34" s="47" t="s">
        <v>570</v>
      </c>
      <c r="K34" s="47" t="str">
        <f>VLOOKUP($A34,'Assessment Matrix'!$A:$I,9,FALSE())</f>
        <v>Yes</v>
      </c>
    </row>
    <row r="35" spans="1:11" ht="45" customHeight="1" x14ac:dyDescent="0.3">
      <c r="A35" s="45" t="s">
        <v>252</v>
      </c>
      <c r="H35" s="46" t="str">
        <f>VLOOKUP($A35,'Assessment Matrix'!$A:$D,4,FALSE())</f>
        <v>Outputs are treated as untrusted and validated/sandboxed before execution, rendering, or downstream action.</v>
      </c>
      <c r="I35" s="47" t="s">
        <v>577</v>
      </c>
      <c r="J35" s="47" t="s">
        <v>570</v>
      </c>
      <c r="K35" s="47" t="str">
        <f>VLOOKUP($A35,'Assessment Matrix'!$A:$I,9,FALSE())</f>
        <v>Yes</v>
      </c>
    </row>
    <row r="36" spans="1:11" ht="60" customHeight="1" x14ac:dyDescent="0.3">
      <c r="A36" s="45" t="s">
        <v>257</v>
      </c>
      <c r="H36" s="46" t="str">
        <f>VLOOKUP($A36,'Assessment Matrix'!$A:$D,4,FALSE())</f>
        <v>If deployed in or adjacent to production/OT environments: OT networks and safety functions are segregated, and the system has no unvalidated write path into control systems.</v>
      </c>
      <c r="I36" s="47" t="s">
        <v>575</v>
      </c>
      <c r="J36" s="47" t="s">
        <v>570</v>
      </c>
      <c r="K36" s="47" t="str">
        <f>VLOOKUP($A36,'Assessment Matrix'!$A:$I,9,FALSE())</f>
        <v>Yes</v>
      </c>
    </row>
    <row r="37" spans="1:11" ht="45" customHeight="1" x14ac:dyDescent="0.3">
      <c r="A37" s="45" t="s">
        <v>269</v>
      </c>
      <c r="H37" s="46" t="str">
        <f>VLOOKUP($A37,'Assessment Matrix'!$A:$D,4,FALSE())</f>
        <v>Prompt injection and jailbreak testing is performed against the actual use case, prompts, tools, and data.</v>
      </c>
      <c r="I37" s="47" t="s">
        <v>581</v>
      </c>
      <c r="J37" s="47" t="s">
        <v>569</v>
      </c>
      <c r="K37" s="47" t="str">
        <f>VLOOKUP($A37,'Assessment Matrix'!$A:$I,9,FALSE())</f>
        <v>Yes</v>
      </c>
    </row>
    <row r="38" spans="1:11" ht="45" customHeight="1" x14ac:dyDescent="0.3">
      <c r="A38" s="45" t="s">
        <v>274</v>
      </c>
      <c r="H38" s="46" t="str">
        <f>VLOOKUP($A38,'Assessment Matrix'!$A:$D,4,FALSE())</f>
        <v>Insecure output handling controls are implemented for code, markup, links, files, commands, and structured data.</v>
      </c>
      <c r="I38" s="47" t="s">
        <v>577</v>
      </c>
      <c r="J38" s="47" t="s">
        <v>570</v>
      </c>
      <c r="K38" s="47" t="str">
        <f>VLOOKUP($A38,'Assessment Matrix'!$A:$I,9,FALSE())</f>
        <v>Yes</v>
      </c>
    </row>
    <row r="39" spans="1:11" ht="30" customHeight="1" x14ac:dyDescent="0.3">
      <c r="A39" s="45" t="s">
        <v>278</v>
      </c>
      <c r="H39" s="46" t="str">
        <f>VLOOKUP($A39,'Assessment Matrix'!$A:$D,4,FALSE())</f>
        <v>Training, fine-tuning, embedding, and retrieval data poisoning risks are assessed and mitigated.</v>
      </c>
      <c r="I39" s="47" t="s">
        <v>580</v>
      </c>
      <c r="J39" s="47" t="s">
        <v>570</v>
      </c>
      <c r="K39" s="47" t="str">
        <f>VLOOKUP($A39,'Assessment Matrix'!$A:$I,9,FALSE())</f>
        <v>Yes</v>
      </c>
    </row>
    <row r="40" spans="1:11" ht="45" customHeight="1" x14ac:dyDescent="0.3">
      <c r="A40" s="45" t="s">
        <v>282</v>
      </c>
      <c r="H40" s="46" t="str">
        <f>VLOOKUP($A40,'Assessment Matrix'!$A:$D,4,FALSE())</f>
        <v>Rate limiting, quota, token/cost controls, abuse throttling, and model denial-of-service protections exist.</v>
      </c>
      <c r="I40" s="47" t="s">
        <v>578</v>
      </c>
      <c r="J40" s="47" t="s">
        <v>570</v>
      </c>
      <c r="K40" s="47" t="str">
        <f>VLOOKUP($A40,'Assessment Matrix'!$A:$I,9,FALSE())</f>
        <v>Yes</v>
      </c>
    </row>
    <row r="41" spans="1:11" ht="45" customHeight="1" x14ac:dyDescent="0.3">
      <c r="A41" s="45" t="s">
        <v>286</v>
      </c>
      <c r="H41" s="46" t="str">
        <f>VLOOKUP($A41,'Assessment Matrix'!$A:$D,4,FALSE())</f>
        <v>Sensitive information disclosure testing covers prompt leakage, training data extraction, RAG leakage, and logs.</v>
      </c>
      <c r="I41" s="47" t="s">
        <v>581</v>
      </c>
      <c r="J41" s="47" t="s">
        <v>569</v>
      </c>
      <c r="K41" s="47" t="str">
        <f>VLOOKUP($A41,'Assessment Matrix'!$A:$I,9,FALSE())</f>
        <v>Yes</v>
      </c>
    </row>
    <row r="42" spans="1:11" ht="45" customHeight="1" x14ac:dyDescent="0.3">
      <c r="A42" s="45" t="s">
        <v>290</v>
      </c>
      <c r="H42" s="46" t="str">
        <f>VLOOKUP($A42,'Assessment Matrix'!$A:$D,4,FALSE())</f>
        <v>Tool and agent actions are constrained, logged, policy-checked, and require confirmation for material actions.</v>
      </c>
      <c r="I42" s="47" t="s">
        <v>576</v>
      </c>
      <c r="J42" s="47" t="s">
        <v>570</v>
      </c>
      <c r="K42" s="47" t="str">
        <f>VLOOKUP($A42,'Assessment Matrix'!$A:$I,9,FALSE())</f>
        <v>Yes</v>
      </c>
    </row>
    <row r="43" spans="1:11" ht="45" customHeight="1" x14ac:dyDescent="0.3">
      <c r="A43" s="45" t="s">
        <v>295</v>
      </c>
      <c r="H43" s="46" t="str">
        <f>VLOOKUP($A43,'Assessment Matrix'!$A:$D,4,FALSE())</f>
        <v>Quality and safety evaluations cover hallucination, prohibited content, bias/fairness where relevant, and domain accuracy.</v>
      </c>
      <c r="I43" s="47" t="s">
        <v>579</v>
      </c>
      <c r="J43" s="47" t="s">
        <v>569</v>
      </c>
      <c r="K43" s="47" t="str">
        <f>VLOOKUP($A43,'Assessment Matrix'!$A:$I,9,FALSE())</f>
        <v>Yes</v>
      </c>
    </row>
    <row r="44" spans="1:11" ht="45" customHeight="1" x14ac:dyDescent="0.3">
      <c r="A44" s="45" t="s">
        <v>310</v>
      </c>
      <c r="H44" s="46" t="str">
        <f>VLOOKUP($A44,'Assessment Matrix'!$A:$D,4,FALSE())</f>
        <v>AI BOM / ML-BOM / SBOM covers model, datasets, dependencies, containers, prompts, plugins/tools, APIs, and licenses.</v>
      </c>
      <c r="I44" s="47" t="s">
        <v>579</v>
      </c>
      <c r="J44" s="47" t="s">
        <v>569</v>
      </c>
      <c r="K44" s="47" t="str">
        <f>VLOOKUP($A44,'Assessment Matrix'!$A:$I,9,FALSE())</f>
        <v>Yes</v>
      </c>
    </row>
    <row r="45" spans="1:11" ht="45" customHeight="1" x14ac:dyDescent="0.3">
      <c r="A45" s="45" t="s">
        <v>314</v>
      </c>
      <c r="H45" s="46" t="str">
        <f>VLOOKUP($A45,'Assessment Matrix'!$A:$D,4,FALSE())</f>
        <v>Artifacts are verifiable: signed containers, checksums, provenance, reproducible release process, or trusted registry.</v>
      </c>
      <c r="I45" s="47" t="s">
        <v>575</v>
      </c>
      <c r="J45" s="47" t="s">
        <v>570</v>
      </c>
      <c r="K45" s="47" t="str">
        <f>VLOOKUP($A45,'Assessment Matrix'!$A:$I,9,FALSE())</f>
        <v>Yes</v>
      </c>
    </row>
    <row r="46" spans="1:11" ht="45" customHeight="1" x14ac:dyDescent="0.3">
      <c r="A46" s="45" t="s">
        <v>318</v>
      </c>
      <c r="H46" s="46" t="str">
        <f>VLOOKUP($A46,'Assessment Matrix'!$A:$D,4,FALSE())</f>
        <v>Critical/high vulnerabilities in model-serving stack, containers, dependencies, and integrations are remediated or risk-accepted.</v>
      </c>
      <c r="I46" s="47" t="s">
        <v>575</v>
      </c>
      <c r="J46" s="47" t="s">
        <v>570</v>
      </c>
      <c r="K46" s="47" t="str">
        <f>VLOOKUP($A46,'Assessment Matrix'!$A:$I,9,FALSE())</f>
        <v>Yes</v>
      </c>
    </row>
    <row r="47" spans="1:11" ht="45" customHeight="1" x14ac:dyDescent="0.3">
      <c r="A47" s="45" t="s">
        <v>321</v>
      </c>
      <c r="H47" s="46" t="str">
        <f>VLOOKUP($A47,'Assessment Matrix'!$A:$D,4,FALSE())</f>
        <v>License review covers model license, code license, dataset license, usage restrictions, redistribution, copyright, and attribution.</v>
      </c>
      <c r="I47" s="47" t="s">
        <v>579</v>
      </c>
      <c r="J47" s="47" t="s">
        <v>568</v>
      </c>
      <c r="K47" s="47" t="str">
        <f>VLOOKUP($A47,'Assessment Matrix'!$A:$I,9,FALSE())</f>
        <v>Yes</v>
      </c>
    </row>
    <row r="48" spans="1:11" ht="45" customHeight="1" x14ac:dyDescent="0.3">
      <c r="A48" s="45" t="s">
        <v>325</v>
      </c>
      <c r="H48" s="46" t="str">
        <f>VLOOKUP($A48,'Assessment Matrix'!$A:$D,4,FALSE())</f>
        <v>Third-party fine-tunes, datasets, embeddings, and community artifacts are provenance-checked and malware/scanning controls are applied.</v>
      </c>
      <c r="I48" s="47" t="s">
        <v>580</v>
      </c>
      <c r="J48" s="47" t="s">
        <v>569</v>
      </c>
      <c r="K48" s="47" t="str">
        <f>VLOOKUP($A48,'Assessment Matrix'!$A:$I,9,FALSE())</f>
        <v>Yes</v>
      </c>
    </row>
    <row r="49" spans="1:11" ht="45" customHeight="1" x14ac:dyDescent="0.3">
      <c r="A49" s="45" t="s">
        <v>329</v>
      </c>
      <c r="H49" s="46" t="str">
        <f>VLOOKUP($A49,'Assessment Matrix'!$A:$D,4,FALSE())</f>
        <v>Container/image scanning, hardened base images, patch cadence, and vulnerability SLAs are implemented.</v>
      </c>
      <c r="I49" s="47" t="s">
        <v>575</v>
      </c>
      <c r="J49" s="47" t="s">
        <v>570</v>
      </c>
      <c r="K49" s="47" t="str">
        <f>VLOOKUP($A49,'Assessment Matrix'!$A:$I,9,FALSE())</f>
        <v>Yes</v>
      </c>
    </row>
    <row r="50" spans="1:11" ht="60" customHeight="1" x14ac:dyDescent="0.3">
      <c r="A50" s="45" t="s">
        <v>341</v>
      </c>
      <c r="H50" s="46" t="str">
        <f>VLOOKUP($A50,'Assessment Matrix'!$A:$D,4,FALSE())</f>
        <v>Security telemetry is integrated into SIEM/SOC monitoring, including authentication, admin actions, tool calls, errors, abuse signals, and policy violations.</v>
      </c>
      <c r="I50" s="47" t="s">
        <v>575</v>
      </c>
      <c r="J50" s="47" t="s">
        <v>571</v>
      </c>
      <c r="K50" s="47" t="str">
        <f>VLOOKUP($A50,'Assessment Matrix'!$A:$I,9,FALSE())</f>
        <v>Yes</v>
      </c>
    </row>
    <row r="51" spans="1:11" ht="45" customHeight="1" x14ac:dyDescent="0.3">
      <c r="A51" s="45" t="s">
        <v>346</v>
      </c>
      <c r="H51" s="46" t="str">
        <f>VLOOKUP($A51,'Assessment Matrix'!$A:$D,4,FALSE())</f>
        <v>Prompt and response logging policy balances forensic need with privacy, confidentiality, minimization, retention, and masking.</v>
      </c>
      <c r="I51" s="47" t="s">
        <v>581</v>
      </c>
      <c r="J51" s="47" t="s">
        <v>568</v>
      </c>
      <c r="K51" s="47" t="str">
        <f>VLOOKUP($A51,'Assessment Matrix'!$A:$I,9,FALSE())</f>
        <v>Yes</v>
      </c>
    </row>
    <row r="52" spans="1:11" ht="45" customHeight="1" x14ac:dyDescent="0.3">
      <c r="A52" s="45" t="s">
        <v>349</v>
      </c>
      <c r="H52" s="46" t="str">
        <f>VLOOKUP($A52,'Assessment Matrix'!$A:$D,4,FALSE())</f>
        <v>Anomaly, abuse, data leakage, jailbreak, and excessive token/cost monitoring has alerts and operational ownership.</v>
      </c>
      <c r="I52" s="47" t="s">
        <v>578</v>
      </c>
      <c r="J52" s="47" t="s">
        <v>571</v>
      </c>
      <c r="K52" s="47" t="str">
        <f>VLOOKUP($A52,'Assessment Matrix'!$A:$I,9,FALSE())</f>
        <v>Yes</v>
      </c>
    </row>
    <row r="53" spans="1:11" ht="45" customHeight="1" x14ac:dyDescent="0.3">
      <c r="A53" s="45" t="s">
        <v>352</v>
      </c>
      <c r="H53" s="46" t="str">
        <f>VLOOKUP($A53,'Assessment Matrix'!$A:$D,4,FALSE())</f>
        <v>Kill switch, model/provider rollback, prompt rollback, RAG disablement, and communication procedures exist.</v>
      </c>
      <c r="I53" s="47" t="s">
        <v>579</v>
      </c>
      <c r="J53" s="47" t="s">
        <v>573</v>
      </c>
      <c r="K53" s="47" t="str">
        <f>VLOOKUP($A53,'Assessment Matrix'!$A:$I,9,FALSE())</f>
        <v>Yes</v>
      </c>
    </row>
    <row r="54" spans="1:11" ht="45" customHeight="1" x14ac:dyDescent="0.3">
      <c r="A54" s="45" t="s">
        <v>356</v>
      </c>
      <c r="H54" s="46" t="str">
        <f>VLOOKUP($A54,'Assessment Matrix'!$A:$D,4,FALSE())</f>
        <v>AI incident response runbook includes prompt injection, data exposure, unsafe output, provider breach, and model behavior incident scenarios.</v>
      </c>
      <c r="I54" s="47" t="s">
        <v>575</v>
      </c>
      <c r="J54" s="47" t="s">
        <v>572</v>
      </c>
      <c r="K54" s="47" t="str">
        <f>VLOOKUP($A54,'Assessment Matrix'!$A:$I,9,FALSE())</f>
        <v>Yes</v>
      </c>
    </row>
    <row r="55" spans="1:11" ht="45" customHeight="1" x14ac:dyDescent="0.3">
      <c r="A55" s="45" t="s">
        <v>363</v>
      </c>
      <c r="H55" s="46" t="str">
        <f>VLOOKUP($A55,'Assessment Matrix'!$A:$D,4,FALSE())</f>
        <v>Privacy assessment/DPIA, legal basis, minimization, retention, data subject rights, and cross-border transfer controls are complete.</v>
      </c>
      <c r="I55" s="47" t="s">
        <v>581</v>
      </c>
      <c r="J55" s="47" t="s">
        <v>568</v>
      </c>
      <c r="K55" s="47" t="str">
        <f>VLOOKUP($A55,'Assessment Matrix'!$A:$I,9,FALSE())</f>
        <v>Yes</v>
      </c>
    </row>
    <row r="56" spans="1:11" ht="45" customHeight="1" x14ac:dyDescent="0.3">
      <c r="A56" s="45" t="s">
        <v>368</v>
      </c>
      <c r="H56" s="46" t="str">
        <f>VLOOKUP($A56,'Assessment Matrix'!$A:$D,4,FALSE())</f>
        <v>DPA, SCCs/transfer impact assessment, confidentiality, audit rights, breach notification, and subprocessor terms are in place.</v>
      </c>
      <c r="I56" s="47" t="s">
        <v>581</v>
      </c>
      <c r="J56" s="47" t="s">
        <v>568</v>
      </c>
      <c r="K56" s="47" t="str">
        <f>VLOOKUP($A56,'Assessment Matrix'!$A:$I,9,FALSE())</f>
        <v>Yes</v>
      </c>
    </row>
    <row r="57" spans="1:11" ht="45" customHeight="1" x14ac:dyDescent="0.3">
      <c r="A57" s="45" t="s">
        <v>372</v>
      </c>
      <c r="H57" s="46" t="str">
        <f>VLOOKUP($A57,'Assessment Matrix'!$A:$D,4,FALSE())</f>
        <v>Export control, sanctions, extraterritorial law, geopolitical supplier risk, and national security restrictions are reviewed by legal/compliance.</v>
      </c>
      <c r="I57" s="47" t="s">
        <v>579</v>
      </c>
      <c r="J57" s="47" t="s">
        <v>568</v>
      </c>
      <c r="K57" s="47" t="str">
        <f>VLOOKUP($A57,'Assessment Matrix'!$A:$I,9,FALSE())</f>
        <v>Yes</v>
      </c>
    </row>
    <row r="58" spans="1:11" ht="45" customHeight="1" x14ac:dyDescent="0.3">
      <c r="A58" s="45" t="s">
        <v>376</v>
      </c>
      <c r="H58" s="46" t="str">
        <f>VLOOKUP($A58,'Assessment Matrix'!$A:$D,4,FALSE())</f>
        <v>GPAI/high-risk/deployer/provider obligations, transparency notices, logging, human oversight, and incident reporting duties are mapped.</v>
      </c>
      <c r="I58" s="47" t="s">
        <v>579</v>
      </c>
      <c r="J58" s="47" t="s">
        <v>568</v>
      </c>
      <c r="K58" s="47" t="str">
        <f>VLOOKUP($A58,'Assessment Matrix'!$A:$I,9,FALSE())</f>
        <v>Yes</v>
      </c>
    </row>
    <row r="59" spans="1:11" ht="45" customHeight="1" x14ac:dyDescent="0.3">
      <c r="A59" s="45" t="s">
        <v>379</v>
      </c>
      <c r="H59" s="46" t="str">
        <f>VLOOKUP($A59,'Assessment Matrix'!$A:$D,4,FALSE())</f>
        <v>Copyright, training data provenance, output IP, content marking, and third-party rights are reviewed.</v>
      </c>
      <c r="I59" s="47" t="s">
        <v>577</v>
      </c>
      <c r="J59" s="47" t="s">
        <v>568</v>
      </c>
      <c r="K59" s="47" t="str">
        <f>VLOOKUP($A59,'Assessment Matrix'!$A:$I,9,FALSE())</f>
        <v>Yes</v>
      </c>
    </row>
    <row r="60" spans="1:11" ht="30" customHeight="1" x14ac:dyDescent="0.3">
      <c r="A60" s="45" t="s">
        <v>383</v>
      </c>
      <c r="H60" s="46" t="str">
        <f>VLOOKUP($A60,'Assessment Matrix'!$A:$D,4,FALSE())</f>
        <v>Risk owner, service owner, data owner, model owner, and operational support are assigned.</v>
      </c>
      <c r="I60" s="47" t="s">
        <v>579</v>
      </c>
      <c r="J60" s="47" t="s">
        <v>568</v>
      </c>
      <c r="K60" s="47" t="str">
        <f>VLOOKUP($A60,'Assessment Matrix'!$A:$I,9,FALSE())</f>
        <v>Yes</v>
      </c>
    </row>
    <row r="61" spans="1:11" ht="45" customHeight="1" x14ac:dyDescent="0.3">
      <c r="A61" s="45" t="s">
        <v>387</v>
      </c>
      <c r="H61" s="46" t="str">
        <f>VLOOKUP($A61,'Assessment Matrix'!$A:$D,4,FALSE())</f>
        <v>Change control covers model version, prompts, system instructions, retrieval corpus, embeddings, tools, guardrails, and thresholds.</v>
      </c>
      <c r="I61" s="47" t="s">
        <v>579</v>
      </c>
      <c r="J61" s="47" t="s">
        <v>568</v>
      </c>
      <c r="K61" s="47" t="str">
        <f>VLOOKUP($A61,'Assessment Matrix'!$A:$I,9,FALSE())</f>
        <v>Yes</v>
      </c>
    </row>
    <row r="62" spans="1:11" ht="45" customHeight="1" x14ac:dyDescent="0.3">
      <c r="A62" s="45" t="s">
        <v>390</v>
      </c>
      <c r="H62" s="46" t="str">
        <f>VLOOKUP($A62,'Assessment Matrix'!$A:$D,4,FALSE())</f>
        <v>A residual-risk sign-off process is defined before the go-live decision: a named accountable risk owner, sign-off criteria, and timing (before pilot/production and after material changes).</v>
      </c>
      <c r="I62" s="47" t="s">
        <v>579</v>
      </c>
      <c r="J62" s="47" t="s">
        <v>568</v>
      </c>
      <c r="K62" s="47" t="str">
        <f>VLOOKUP($A62,'Assessment Matrix'!$A:$I,9,FALSE())</f>
        <v>Yes</v>
      </c>
    </row>
    <row r="63" spans="1:11" ht="75" customHeight="1" x14ac:dyDescent="0.3">
      <c r="A63" s="45" t="s">
        <v>393</v>
      </c>
      <c r="H63" s="46" t="str">
        <f>VLOOKUP($A63,'Assessment Matrix'!$A:$D,4,FALSE())</f>
        <v>Users, administrators, reviewers, and other persons operating or using the system on the organisation's behalf receive role-, context-, and risk-appropriate AI literacy measures (training and/or guidance); target groups and measures are documented.</v>
      </c>
      <c r="I63" s="47" t="s">
        <v>588</v>
      </c>
      <c r="J63" s="47" t="s">
        <v>568</v>
      </c>
      <c r="K63" s="47" t="str">
        <f>VLOOKUP($A63,'Assessment Matrix'!$A:$I,9,FALSE())</f>
        <v>Yes</v>
      </c>
    </row>
    <row r="64" spans="1:11" ht="45" customHeight="1" x14ac:dyDescent="0.3">
      <c r="A64" s="45" t="s">
        <v>396</v>
      </c>
      <c r="H64" s="46" t="str">
        <f>VLOOKUP($A64,'Assessment Matrix'!$A:$D,4,FALSE())</f>
        <v>Periodic reassessment cadence is set for model updates, provider changes, threat changes, incidents, and regulatory changes.</v>
      </c>
      <c r="I64" s="47" t="s">
        <v>579</v>
      </c>
      <c r="J64" s="47" t="s">
        <v>568</v>
      </c>
      <c r="K64" s="47" t="str">
        <f>VLOOKUP($A64,'Assessment Matrix'!$A:$I,9,FALSE())</f>
        <v>Yes</v>
      </c>
    </row>
    <row r="65" spans="1:11" ht="45" customHeight="1" x14ac:dyDescent="0.3">
      <c r="A65" s="45" t="s">
        <v>399</v>
      </c>
      <c r="H65" s="46" t="str">
        <f>VLOOKUP($A65,'Assessment Matrix'!$A:$D,4,FALSE())</f>
        <v>Autonomy is classified and documented: task scope, allowed action types, and which actions may run without human approval.</v>
      </c>
      <c r="I65" s="47" t="s">
        <v>582</v>
      </c>
      <c r="J65" s="47" t="s">
        <v>568</v>
      </c>
      <c r="K65" s="47" t="str">
        <f>VLOOKUP($A65,'Assessment Matrix'!$A:$I,9,FALSE())</f>
        <v>Yes</v>
      </c>
    </row>
    <row r="66" spans="1:11" ht="60" customHeight="1" x14ac:dyDescent="0.3">
      <c r="A66" s="45" t="s">
        <v>403</v>
      </c>
      <c r="H66" s="46" t="str">
        <f>VLOOKUP($A66,'Assessment Matrix'!$A:$D,4,FALSE())</f>
        <v>High-impact or irreversible actions (external communication, financial transactions, deletion, configuration or rights changes) require human approval or dual control before execution.</v>
      </c>
      <c r="I66" s="47" t="s">
        <v>576</v>
      </c>
      <c r="J66" s="47" t="s">
        <v>570</v>
      </c>
      <c r="K66" s="47" t="str">
        <f>VLOOKUP($A66,'Assessment Matrix'!$A:$I,9,FALSE())</f>
        <v>Yes</v>
      </c>
    </row>
    <row r="67" spans="1:11" ht="60" customHeight="1" x14ac:dyDescent="0.3">
      <c r="A67" s="45" t="s">
        <v>407</v>
      </c>
      <c r="H67" s="46" t="str">
        <f>VLOOKUP($A67,'Assessment Matrix'!$A:$D,4,FALSE())</f>
        <v>The agent acts under its own governed identity with least-privilege, task-scoped, time-limited credentials per tool; it does not inherit broad user or service rights.</v>
      </c>
      <c r="I67" s="47" t="s">
        <v>582</v>
      </c>
      <c r="J67" s="47" t="s">
        <v>570</v>
      </c>
      <c r="K67" s="47" t="str">
        <f>VLOOKUP($A67,'Assessment Matrix'!$A:$I,9,FALSE())</f>
        <v>Yes</v>
      </c>
    </row>
    <row r="68" spans="1:11" ht="60" customHeight="1" x14ac:dyDescent="0.3">
      <c r="A68" s="45" t="s">
        <v>410</v>
      </c>
      <c r="H68" s="46" t="str">
        <f>VLOOKUP($A68,'Assessment Matrix'!$A:$D,4,FALSE())</f>
        <v>Tools and connectors are inventoried and allowlisted with per-tool permissions; arbitrary code or shell execution is only possible inside a sandbox.</v>
      </c>
      <c r="I68" s="47" t="s">
        <v>576</v>
      </c>
      <c r="J68" s="47" t="s">
        <v>570</v>
      </c>
      <c r="K68" s="47" t="str">
        <f>VLOOKUP($A68,'Assessment Matrix'!$A:$I,9,FALSE())</f>
        <v>Yes</v>
      </c>
    </row>
    <row r="69" spans="1:11" ht="60" customHeight="1" x14ac:dyDescent="0.3">
      <c r="A69" s="45" t="s">
        <v>414</v>
      </c>
      <c r="H69" s="46" t="str">
        <f>VLOOKUP($A69,'Assessment Matrix'!$A:$D,4,FALSE())</f>
        <v>The execution environment is isolated (container/VM) with controlled network egress; local file, shell, and browser access is restricted to a defined workspace.</v>
      </c>
      <c r="I69" s="47" t="s">
        <v>575</v>
      </c>
      <c r="J69" s="47" t="s">
        <v>570</v>
      </c>
      <c r="K69" s="47" t="str">
        <f>VLOOKUP($A69,'Assessment Matrix'!$A:$I,9,FALSE())</f>
        <v>Yes</v>
      </c>
    </row>
    <row r="70" spans="1:11" ht="75" customHeight="1" x14ac:dyDescent="0.3">
      <c r="A70" s="45" t="s">
        <v>418</v>
      </c>
      <c r="H70" s="46" t="str">
        <f>VLOOKUP($A70,'Assessment Matrix'!$A:$D,4,FALSE())</f>
        <v>Content the agent processes (mails, web pages, documents, tickets) is treated as untrusted; indirect prompt injection defenses are implemented and tested against the actual tool set.</v>
      </c>
      <c r="I70" s="47" t="s">
        <v>581</v>
      </c>
      <c r="J70" s="47" t="s">
        <v>570</v>
      </c>
      <c r="K70" s="47" t="str">
        <f>VLOOKUP($A70,'Assessment Matrix'!$A:$I,9,FALSE())</f>
        <v>Yes</v>
      </c>
    </row>
    <row r="71" spans="1:11" ht="60" customHeight="1" x14ac:dyDescent="0.3">
      <c r="A71" s="45" t="s">
        <v>421</v>
      </c>
      <c r="H71" s="46" t="str">
        <f>VLOOKUP($A71,'Assessment Matrix'!$A:$D,4,FALSE())</f>
        <v>Persistent agent memory is governed: defined scope and retention, user transparency, protection against memory poisoning, and a way to inspect and delete stored entries.</v>
      </c>
      <c r="I71" s="47" t="s">
        <v>581</v>
      </c>
      <c r="J71" s="47" t="s">
        <v>568</v>
      </c>
      <c r="K71" s="47" t="str">
        <f>VLOOKUP($A71,'Assessment Matrix'!$A:$I,9,FALSE())</f>
        <v>Yes</v>
      </c>
    </row>
    <row r="72" spans="1:11" ht="60" customHeight="1" x14ac:dyDescent="0.3">
      <c r="A72" s="45" t="s">
        <v>425</v>
      </c>
      <c r="H72" s="46" t="str">
        <f>VLOOKUP($A72,'Assessment Matrix'!$A:$D,4,FALSE())</f>
        <v>Background or scheduled operation is bounded: run frequency, runtime, hard per-user token/cost budget caps, and automatic stop conditions are enforced.</v>
      </c>
      <c r="I72" s="47" t="s">
        <v>576</v>
      </c>
      <c r="J72" s="47" t="s">
        <v>570</v>
      </c>
      <c r="K72" s="47" t="str">
        <f>VLOOKUP($A72,'Assessment Matrix'!$A:$I,9,FALSE())</f>
        <v>Yes</v>
      </c>
    </row>
    <row r="73" spans="1:11" ht="60" customHeight="1" x14ac:dyDescent="0.3">
      <c r="A73" s="45" t="s">
        <v>429</v>
      </c>
      <c r="H73" s="46" t="str">
        <f>VLOOKUP($A73,'Assessment Matrix'!$A:$D,4,FALSE())</f>
        <v>Every agent action is attributably logged (agent identity, tool used, input/output, approver) and auditable end to end; logs feed security monitoring.</v>
      </c>
      <c r="I73" s="47" t="s">
        <v>582</v>
      </c>
      <c r="J73" s="47" t="s">
        <v>571</v>
      </c>
      <c r="K73" s="47" t="str">
        <f>VLOOKUP($A73,'Assessment Matrix'!$A:$I,9,FALSE())</f>
        <v>Yes</v>
      </c>
    </row>
    <row r="74" spans="1:11" ht="75" customHeight="1" x14ac:dyDescent="0.3">
      <c r="A74" s="45" t="s">
        <v>432</v>
      </c>
      <c r="H74" s="46" t="str">
        <f>VLOOKUP($A74,'Assessment Matrix'!$A:$D,4,FALSE())</f>
        <v>A tested kill switch can stop the agent immediately, revoke its credentials, and contain or roll back in-flight actions; trigger criteria (budget cap breach, anomaly thresholds, policy violation) are defined in advance.</v>
      </c>
      <c r="I74" s="47" t="s">
        <v>576</v>
      </c>
      <c r="J74" s="47" t="s">
        <v>572</v>
      </c>
      <c r="K74" s="47" t="str">
        <f>VLOOKUP($A74,'Assessment Matrix'!$A:$I,9,FALSE())</f>
        <v>Yes</v>
      </c>
    </row>
    <row r="75" spans="1:11" ht="45" customHeight="1" x14ac:dyDescent="0.3">
      <c r="A75" s="45" t="s">
        <v>436</v>
      </c>
      <c r="H75" s="46" t="str">
        <f>VLOOKUP($A75,'Assessment Matrix'!$A:$D,4,FALSE())</f>
        <v>Third-party agents, MCP servers, and agent-to-agent connections are inventoried, vetted like suppliers, and constrained like any other tool.</v>
      </c>
      <c r="I75" s="47" t="s">
        <v>576</v>
      </c>
      <c r="J75" s="47" t="s">
        <v>569</v>
      </c>
      <c r="K75" s="47" t="str">
        <f>VLOOKUP($A75,'Assessment Matrix'!$A:$I,9,FALSE())</f>
        <v>Yes</v>
      </c>
    </row>
    <row r="76" spans="1:11" ht="60" customHeight="1" x14ac:dyDescent="0.3">
      <c r="A76" s="45" t="s">
        <v>441</v>
      </c>
      <c r="H76" s="46" t="str">
        <f>VLOOKUP($A76,'Assessment Matrix'!$A:$D,4,FALSE())</f>
        <v>Agent behavior is monitored for autonomy anomalies (excessive tool invocations, loops, goal deviation, unusual action patterns) with alerts and assigned response ownership.</v>
      </c>
      <c r="I76" s="47" t="s">
        <v>582</v>
      </c>
      <c r="J76" s="47" t="s">
        <v>571</v>
      </c>
      <c r="K76" s="47" t="str">
        <f>VLOOKUP($A76,'Assessment Matrix'!$A:$I,9,FALSE())</f>
        <v>Yes</v>
      </c>
    </row>
    <row r="77" spans="1:11" ht="45" customHeight="1" x14ac:dyDescent="0.3">
      <c r="A77" s="45" t="s">
        <v>444</v>
      </c>
      <c r="H77" s="46" t="str">
        <f>VLOOKUP($A77,'Assessment Matrix'!$A:$D,4,FALSE())</f>
        <v>Agent credentials follow a managed non-human-identity lifecycle: automated rotation, expiry, and decommissioning when the agent or its task ends.</v>
      </c>
      <c r="I77" s="47" t="s">
        <v>582</v>
      </c>
      <c r="J77" s="47" t="s">
        <v>570</v>
      </c>
      <c r="K77" s="47" t="str">
        <f>VLOOKUP($A77,'Assessment Matrix'!$A:$I,9,FALSE())</f>
        <v>Yes</v>
      </c>
    </row>
    <row r="78" spans="1:11" ht="15" customHeight="1" x14ac:dyDescent="0.3">
      <c r="A78" s="48" t="s">
        <v>230</v>
      </c>
      <c r="H78" s="46" t="str">
        <f>VLOOKUP($A78,'Assessment Matrix'!$A:$D,4,FALSE())</f>
        <v>Model and provider entities are checked against the company country-risk / sovereignty policy (ownership, development location, substantial contributions); the depth of the review follows the data classification (S3/S4).</v>
      </c>
      <c r="I78" s="47" t="s">
        <v>579</v>
      </c>
      <c r="J78" s="47" t="s">
        <v>568</v>
      </c>
      <c r="K78" s="47" t="str">
        <f>VLOOKUP($A78,'Assessment Matrix'!$A:$I,9,FALSE())</f>
        <v>Yes</v>
      </c>
    </row>
    <row r="79" spans="1:11" ht="15" customHeight="1" x14ac:dyDescent="0.3">
      <c r="A79" s="48" t="s">
        <v>261</v>
      </c>
      <c r="H79" s="46" t="str">
        <f>VLOOKUP($A79,'Assessment Matrix'!$A:$D,4,FALSE())</f>
        <v>Conversational context and session state are isolated between users, sessions, and tenants; no cross-session leakage of prompts, history, or retrieved content.</v>
      </c>
      <c r="I79" s="47" t="s">
        <v>575</v>
      </c>
      <c r="J79" s="47" t="s">
        <v>570</v>
      </c>
      <c r="K79" s="47" t="str">
        <f>VLOOKUP($A79,'Assessment Matrix'!$A:$I,9,FALSE())</f>
        <v>Yes</v>
      </c>
    </row>
    <row r="80" spans="1:11" ht="15" customHeight="1" x14ac:dyDescent="0.3">
      <c r="A80" s="48" t="s">
        <v>298</v>
      </c>
      <c r="H80" s="46" t="str">
        <f>VLOOKUP($A80,'Assessment Matrix'!$A:$D,4,FALSE())</f>
        <v>Adversarial testing covers transformations that may bypass policy controls wherever guardrails or content filters are relied upon: encoding and obfuscation, Unicode and homoglyphs, multilingual reformulation, canonicalization and tokenization effects.</v>
      </c>
      <c r="I80" s="47" t="s">
        <v>581</v>
      </c>
      <c r="J80" s="47" t="s">
        <v>569</v>
      </c>
      <c r="K80" s="47" t="str">
        <f>VLOOKUP($A80,'Assessment Matrix'!$A:$I,9,FALSE())</f>
        <v>Yes</v>
      </c>
    </row>
    <row r="81" spans="1:11" ht="15" customHeight="1" x14ac:dyDescent="0.3">
      <c r="A81" s="48" t="s">
        <v>301</v>
      </c>
      <c r="H81" s="46" t="str">
        <f>VLOOKUP($A81,'Assessment Matrix'!$A:$D,4,FALSE())</f>
        <v>Generated code, package names, dependencies, build instructions, and configuration are treated as untrusted and checked against approved registries, provenance information, license policy, and security tooling before use.</v>
      </c>
      <c r="I81" s="47" t="s">
        <v>577</v>
      </c>
      <c r="J81" s="47" t="s">
        <v>570</v>
      </c>
      <c r="K81" s="47" t="str">
        <f>VLOOKUP($A81,'Assessment Matrix'!$A:$I,9,FALSE())</f>
        <v>Yes</v>
      </c>
    </row>
    <row r="82" spans="1:11" ht="15" customHeight="1" x14ac:dyDescent="0.3">
      <c r="A82" s="48" t="s">
        <v>332</v>
      </c>
      <c r="H82" s="46" t="str">
        <f>VLOOKUP($A82,'Assessment Matrix'!$A:$D,4,FALSE())</f>
        <v>Untrusted model or ML artifacts are not deserialized with executable formats or unsafe loading modes (including pickle-based mechanisms); approved non-executable formats (e.g. Safetensors), provenance and integrity checks, and isolated loading are used.</v>
      </c>
      <c r="I82" s="47" t="s">
        <v>579</v>
      </c>
      <c r="J82" s="47" t="s">
        <v>570</v>
      </c>
      <c r="K82" s="47" t="str">
        <f>VLOOKUP($A82,'Assessment Matrix'!$A:$I,9,FALSE())</f>
        <v>Yes</v>
      </c>
    </row>
    <row r="83" spans="1:11" ht="57" customHeight="1" x14ac:dyDescent="0.3">
      <c r="A83" s="23" t="s">
        <v>264</v>
      </c>
      <c r="B83" s="49"/>
      <c r="C83" s="49"/>
      <c r="D83" s="49"/>
      <c r="E83" s="49"/>
      <c r="F83" s="49"/>
      <c r="G83" s="49"/>
      <c r="H83" s="46" t="str">
        <f>VLOOKUP($A83,'Assessment Matrix'!$A:$D,4,FALSE())</f>
        <v>Sensitive data is technically redacted, tokenized, or minimized (PII/secret scrubbing, DLP rules) before content leaves the trust boundary toward external providers or tools.</v>
      </c>
      <c r="I83" s="50" t="s">
        <v>581</v>
      </c>
      <c r="J83" s="50" t="s">
        <v>570</v>
      </c>
      <c r="K83" s="50" t="str">
        <f>VLOOKUP($A83,'Assessment Matrix'!$A:$I,9,FALSE())</f>
        <v>Yes</v>
      </c>
    </row>
    <row r="84" spans="1:11" ht="57" customHeight="1" x14ac:dyDescent="0.3">
      <c r="A84" s="23" t="s">
        <v>306</v>
      </c>
      <c r="B84" s="49"/>
      <c r="C84" s="49"/>
      <c r="D84" s="49"/>
      <c r="E84" s="49"/>
      <c r="F84" s="49"/>
      <c r="G84" s="49"/>
      <c r="H84" s="46" t="str">
        <f>VLOOKUP($A84,'Assessment Matrix'!$A:$D,4,FALSE())</f>
        <v>A versioned regression suite (prompt set, guardrail bypass attempts, safety and quality evals) is rerun on every model, prompt, retrieval, or guardrail change; failures block rollout.</v>
      </c>
      <c r="I84" s="50" t="s">
        <v>576</v>
      </c>
      <c r="J84" s="50" t="s">
        <v>570</v>
      </c>
      <c r="K84" s="50" t="str">
        <f>VLOOKUP($A84,'Assessment Matrix'!$A:$I,9,FALSE())</f>
        <v>Yes</v>
      </c>
    </row>
    <row r="85" spans="1:11" ht="57" customHeight="1" x14ac:dyDescent="0.3">
      <c r="A85" s="23" t="s">
        <v>337</v>
      </c>
      <c r="B85" s="49"/>
      <c r="C85" s="49"/>
      <c r="D85" s="49"/>
      <c r="E85" s="49"/>
      <c r="F85" s="49"/>
      <c r="G85" s="49"/>
      <c r="H85" s="46" t="str">
        <f>VLOOKUP($A85,'Assessment Matrix'!$A:$D,4,FALSE())</f>
        <v>Model artifacts (weights, adapters, fine-tunes) are protected according to their classification and intended distribution: integrity verification and provenance for all artifacts; where confidentiality is required, also access control, encryption at rest, and exfiltration/theft monitoring.</v>
      </c>
      <c r="I85" s="50" t="s">
        <v>579</v>
      </c>
      <c r="J85" s="50" t="s">
        <v>570</v>
      </c>
      <c r="K85" s="50" t="str">
        <f>VLOOKUP($A85,'Assessment Matrix'!$A:$I,9,FALSE())</f>
        <v>Yes</v>
      </c>
    </row>
    <row r="86" spans="1:11" ht="57" customHeight="1" x14ac:dyDescent="0.3">
      <c r="A86" s="23" t="s">
        <v>359</v>
      </c>
      <c r="B86" s="49"/>
      <c r="C86" s="49"/>
      <c r="D86" s="49"/>
      <c r="E86" s="49"/>
      <c r="F86" s="49"/>
      <c r="G86" s="49"/>
      <c r="H86" s="46" t="str">
        <f>VLOOKUP($A86,'Assessment Matrix'!$A:$D,4,FALSE())</f>
        <v>Availability and degraded modes are engineered and tested: provider outage and quota exhaustion handling, fallback model or reduced-functionality mode, and user-facing messaging.</v>
      </c>
      <c r="I86" s="50" t="s">
        <v>575</v>
      </c>
      <c r="J86" s="50" t="s">
        <v>573</v>
      </c>
      <c r="K86" s="50" t="str">
        <f>VLOOKUP($A86,'Assessment Matrix'!$A:$I,9,FALSE())</f>
        <v>Yes</v>
      </c>
    </row>
  </sheetData>
  <sheetProtection sheet="1" formatCells="0" formatColumns="0" formatRows="0"/>
  <mergeCells count="4">
    <mergeCell ref="A1:K1"/>
    <mergeCell ref="A2:K2"/>
    <mergeCell ref="A15:H15"/>
    <mergeCell ref="A18:G18"/>
  </mergeCells>
  <conditionalFormatting sqref="A19:K86">
    <cfRule type="expression" dxfId="6" priority="2">
      <formula>$K19="No"</formula>
    </cfRule>
  </conditionalFormatting>
  <conditionalFormatting sqref="B5:G13">
    <cfRule type="colorScale" priority="3">
      <colorScale>
        <cfvo type="num" val="0"/>
        <cfvo type="max"/>
        <color rgb="FFFFFFFF"/>
        <color rgb="FF63BE7B"/>
      </colorScale>
    </cfRule>
  </conditionalFormatting>
  <pageMargins left="0.75" right="0.75" top="1" bottom="1" header="0.51180555555555596" footer="0.51180555555555596"/>
  <pageSetup paperSize="9" fitToHeight="0" orientation="landscape" horizontalDpi="300" verticalDpi="300"/>
  <headerFooter>
    <oddHeader>&amp;L&amp;A&amp;Rv0.6.8-r4 - &amp;D</oddHeader>
    <oddFooter>&amp;RPage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F77"/>
  <sheetViews>
    <sheetView zoomScaleNormal="100" workbookViewId="0">
      <pane xSplit="6" ySplit="9" topLeftCell="G10" activePane="bottomRight" state="frozen"/>
      <selection pane="topRight" activeCell="G1" sqref="G1"/>
      <selection pane="bottomLeft" activeCell="A10" sqref="A10"/>
      <selection pane="bottomRight"/>
    </sheetView>
  </sheetViews>
  <sheetFormatPr baseColWidth="10" defaultColWidth="9.109375" defaultRowHeight="14.4" x14ac:dyDescent="0.3"/>
  <cols>
    <col min="1" max="1" width="7" customWidth="1"/>
    <col min="2" max="2" width="24" customWidth="1"/>
    <col min="3" max="3" width="11" customWidth="1"/>
    <col min="4" max="4" width="8" hidden="1" customWidth="1"/>
    <col min="5" max="5" width="11" customWidth="1"/>
    <col min="6" max="6" width="70" customWidth="1"/>
    <col min="7" max="10" width="23" customWidth="1"/>
    <col min="11" max="14" width="22" customWidth="1"/>
    <col min="16" max="16" width="25" customWidth="1"/>
    <col min="17" max="17" width="14" customWidth="1"/>
    <col min="18" max="19" width="38" customWidth="1"/>
    <col min="20" max="23" width="10" hidden="1" customWidth="1"/>
    <col min="24" max="32" width="12" hidden="1" customWidth="1"/>
  </cols>
  <sheetData>
    <row r="1" spans="1:32" ht="18" customHeight="1" x14ac:dyDescent="0.35">
      <c r="A1" s="30" t="s">
        <v>589</v>
      </c>
    </row>
    <row r="2" spans="1:32" ht="150" customHeight="1" x14ac:dyDescent="0.3">
      <c r="A2" s="91" t="s">
        <v>590</v>
      </c>
      <c r="B2" s="91"/>
      <c r="C2" s="91"/>
      <c r="D2" s="91"/>
      <c r="E2" s="11" t="s">
        <v>591</v>
      </c>
      <c r="G2">
        <f>IFERROR(SUMPRODUCT(($E$10:$E$77="Yes")*(G$10:G$77&lt;&gt;"")*(G$10:G$77&lt;&gt;"Yes")*(G$10:G$77&lt;&gt;"Partial")*(G$10:G$77&lt;&gt;"No")*(G$10:G$77&lt;&gt;"N/A")),1)</f>
        <v>0</v>
      </c>
      <c r="H2">
        <f>IFERROR(SUMPRODUCT(($E$10:$E$77="Yes")*(H$10:H$77&lt;&gt;"")*(H$10:H$77&lt;&gt;"Yes")*(H$10:H$77&lt;&gt;"Partial")*(H$10:H$77&lt;&gt;"No")*(H$10:H$77&lt;&gt;"N/A")),1)</f>
        <v>0</v>
      </c>
      <c r="I2">
        <f>IFERROR(SUMPRODUCT(($E$10:$E$77="Yes")*(I$10:I$77&lt;&gt;"")*(I$10:I$77&lt;&gt;"Yes")*(I$10:I$77&lt;&gt;"Partial")*(I$10:I$77&lt;&gt;"No")*(I$10:I$77&lt;&gt;"N/A")),1)</f>
        <v>0</v>
      </c>
      <c r="J2">
        <f>IFERROR(SUMPRODUCT(($E$10:$E$77="Yes")*(J$10:J$77&lt;&gt;"")*(J$10:J$77&lt;&gt;"Yes")*(J$10:J$77&lt;&gt;"Partial")*(J$10:J$77&lt;&gt;"No")*(J$10:J$77&lt;&gt;"N/A")),1)</f>
        <v>0</v>
      </c>
    </row>
    <row r="3" spans="1:32" ht="48" customHeight="1" x14ac:dyDescent="0.3">
      <c r="E3" s="11" t="s">
        <v>592</v>
      </c>
      <c r="G3" s="8" t="str">
        <f>IFERROR($AE$8&amp;" | "&amp;$AC$8&amp;" exclusions ("&amp;TEXT(SUMPRODUCT(IFERROR(($E$10:$E$77="Yes")*(G$10:G$77="N/A")*$D$10:$D$77,0))/MAX(1,SUMPRODUCT(IFERROR(($E$10:$E$77="Yes")*$D$10:$D$77,0))),"0%")&amp;" of applicable weight)","Incomplete - input/calculation error")</f>
        <v>Incomplete answers / reasons | 0 exclusions (0% of applicable weight)</v>
      </c>
      <c r="H3" s="8" t="str">
        <f>IFERROR($AE$9&amp;" | "&amp;$AC$9&amp;" exclusions ("&amp;TEXT(SUMPRODUCT(IFERROR(($E$10:$E$77="Yes")*(H$10:H$77="N/A")*$D$10:$D$77,0))/MAX(1,SUMPRODUCT(IFERROR(($E$10:$E$77="Yes")*$D$10:$D$77,0))),"0%")&amp;" of applicable weight)","Incomplete - input/calculation error")</f>
        <v>Incomplete answers / reasons | 0 exclusions (0% of applicable weight)</v>
      </c>
      <c r="I3" s="8" t="str">
        <f>IFERROR($AE$10&amp;" | "&amp;$AC$10&amp;" exclusions ("&amp;TEXT(SUMPRODUCT(IFERROR(($E$10:$E$77="Yes")*(I$10:I$77="N/A")*$D$10:$D$77,0))/MAX(1,SUMPRODUCT(IFERROR(($E$10:$E$77="Yes")*$D$10:$D$77,0))),"0%")&amp;" of applicable weight)","Incomplete - input/calculation error")</f>
        <v>Incomplete answers / reasons | 0 exclusions (0% of applicable weight)</v>
      </c>
      <c r="J3" s="8" t="str">
        <f>IFERROR($AE$11&amp;" | "&amp;$AC$11&amp;" exclusions ("&amp;TEXT(SUMPRODUCT(IFERROR(($E$10:$E$77="Yes")*(J$10:J$77="N/A")*$D$10:$D$77,0))/MAX(1,SUMPRODUCT(IFERROR(($E$10:$E$77="Yes")*$D$10:$D$77,0))),"0%")&amp;" of applicable weight)","Incomplete - input/calculation error")</f>
        <v>Incomplete answers / reasons | 0 exclusions (0% of applicable weight)</v>
      </c>
    </row>
    <row r="4" spans="1:32" ht="14.25" customHeight="1" x14ac:dyDescent="0.3">
      <c r="E4" t="s">
        <v>593</v>
      </c>
      <c r="G4" s="36" t="s">
        <v>594</v>
      </c>
      <c r="H4" s="36" t="s">
        <v>595</v>
      </c>
      <c r="I4" s="36" t="s">
        <v>596</v>
      </c>
      <c r="J4" s="36" t="s">
        <v>597</v>
      </c>
    </row>
    <row r="5" spans="1:32" ht="14.25" customHeight="1" x14ac:dyDescent="0.3">
      <c r="E5" s="11" t="s">
        <v>598</v>
      </c>
      <c r="G5" s="33">
        <f>IFERROR(SUMPRODUCT(IFERROR(($E$10:$E$77="Yes")*$D$10:$D$77*((G$10:G$77="Yes")+(G$10:G$77="Partial")*0.5),0))/SUMPRODUCT(IFERROR(($E$10:$E$77="Yes")*$D$10:$D$77*(G$10:G$77&lt;&gt;"N/A"),0)),0)</f>
        <v>0</v>
      </c>
      <c r="H5" s="33">
        <f>IFERROR(SUMPRODUCT(IFERROR(($E$10:$E$77="Yes")*$D$10:$D$77*((H$10:H$77="Yes")+(H$10:H$77="Partial")*0.5),0))/SUMPRODUCT(IFERROR(($E$10:$E$77="Yes")*$D$10:$D$77*(H$10:H$77&lt;&gt;"N/A"),0)),0)</f>
        <v>0</v>
      </c>
      <c r="I5" s="33">
        <f>IFERROR(SUMPRODUCT(IFERROR(($E$10:$E$77="Yes")*$D$10:$D$77*((I$10:I$77="Yes")+(I$10:I$77="Partial")*0.5),0))/SUMPRODUCT(IFERROR(($E$10:$E$77="Yes")*$D$10:$D$77*(I$10:I$77&lt;&gt;"N/A"),0)),0)</f>
        <v>0</v>
      </c>
      <c r="J5" s="33">
        <f>IFERROR(SUMPRODUCT(IFERROR(($E$10:$E$77="Yes")*$D$10:$D$77*((J$10:J$77="Yes")+(J$10:J$77="Partial")*0.5),0))/SUMPRODUCT(IFERROR(($E$10:$E$77="Yes")*$D$10:$D$77*(J$10:J$77&lt;&gt;"N/A"),0)),0)</f>
        <v>0</v>
      </c>
    </row>
    <row r="6" spans="1:32" ht="42" customHeight="1" x14ac:dyDescent="0.3">
      <c r="E6" s="11" t="s">
        <v>599</v>
      </c>
      <c r="G6">
        <f>SUMPRODUCT(IFERROR(($E$10:$E$77="Yes")*($C$10:$C$77="Blocker")*((G$10:G$77="No")+(G$10:G$77="Partial")+(G$10:G$77="")),0))</f>
        <v>0</v>
      </c>
      <c r="H6">
        <f>SUMPRODUCT(IFERROR(($E$10:$E$77="Yes")*($C$10:$C$77="Blocker")*((H$10:H$77="No")+(H$10:H$77="Partial")+(H$10:H$77="")),0))</f>
        <v>0</v>
      </c>
      <c r="I6">
        <f>SUMPRODUCT(IFERROR(($E$10:$E$77="Yes")*($C$10:$C$77="Blocker")*((I$10:I$77="No")+(I$10:I$77="Partial")+(I$10:I$77="")),0))</f>
        <v>0</v>
      </c>
      <c r="J6">
        <f>SUMPRODUCT(IFERROR(($E$10:$E$77="Yes")*($C$10:$C$77="Blocker")*((J$10:J$77="No")+(J$10:J$77="Partial")+(J$10:J$77="")),0))</f>
        <v>0</v>
      </c>
      <c r="O6" s="92" t="s">
        <v>600</v>
      </c>
      <c r="P6" s="92"/>
      <c r="Q6" s="92"/>
      <c r="R6" s="92"/>
      <c r="S6" s="92"/>
    </row>
    <row r="7" spans="1:32" ht="54" customHeight="1" x14ac:dyDescent="0.3">
      <c r="E7" s="11" t="s">
        <v>601</v>
      </c>
      <c r="G7" s="8" t="str">
        <f>IFERROR(IF(OR(p_open&gt;0,Dashboard!$B$23&gt;0,Dashboard!$B$27&gt;0),"PROVISIONAL - invalid scope/config",IF($AD$8&gt;0,"INCOMPLETE",IF($AC$8&gt;0,IF($AB$8=-1,"INCOMPLETE - re-answer rejected exclusions",IF($AB$8&lt;&gt;1,"PENDING REVIEW",IF(G$6&gt;0,"NO-GO",IF(G$5&gt;=cmp_suitable,"Suitable",IF(G$5&gt;=cmp_conditional,"Conditionally suitable","Unsuitable"))))),IF(G$6&gt;0,"NO-GO",IF(G$5&gt;=cmp_suitable,"Suitable",IF(G$5&gt;=cmp_conditional,"Conditionally suitable","Unsuitable")))))),"INCOMPLETE - input/calculation error")</f>
        <v>PROVISIONAL - invalid scope/config</v>
      </c>
      <c r="H7" s="8" t="str">
        <f>IFERROR(IF(OR(p_open&gt;0,Dashboard!$B$23&gt;0,Dashboard!$B$27&gt;0),"PROVISIONAL - invalid scope/config",IF($AD$9&gt;0,"INCOMPLETE",IF($AC$9&gt;0,IF($AB$9=-1,"INCOMPLETE - re-answer rejected exclusions",IF($AB$9&lt;&gt;1,"PENDING REVIEW",IF(H$6&gt;0,"NO-GO",IF(H$5&gt;=cmp_suitable,"Suitable",IF(H$5&gt;=cmp_conditional,"Conditionally suitable","Unsuitable"))))),IF(H$6&gt;0,"NO-GO",IF(H$5&gt;=cmp_suitable,"Suitable",IF(H$5&gt;=cmp_conditional,"Conditionally suitable","Unsuitable")))))),"INCOMPLETE - input/calculation error")</f>
        <v>PROVISIONAL - invalid scope/config</v>
      </c>
      <c r="I7" s="8" t="str">
        <f>IFERROR(IF(OR(p_open&gt;0,Dashboard!$B$23&gt;0,Dashboard!$B$27&gt;0),"PROVISIONAL - invalid scope/config",IF($AD$10&gt;0,"INCOMPLETE",IF($AC$10&gt;0,IF($AB$10=-1,"INCOMPLETE - re-answer rejected exclusions",IF($AB$10&lt;&gt;1,"PENDING REVIEW",IF(I$6&gt;0,"NO-GO",IF(I$5&gt;=cmp_suitable,"Suitable",IF(I$5&gt;=cmp_conditional,"Conditionally suitable","Unsuitable"))))),IF(I$6&gt;0,"NO-GO",IF(I$5&gt;=cmp_suitable,"Suitable",IF(I$5&gt;=cmp_conditional,"Conditionally suitable","Unsuitable")))))),"INCOMPLETE - input/calculation error")</f>
        <v>PROVISIONAL - invalid scope/config</v>
      </c>
      <c r="J7" s="8" t="str">
        <f>IFERROR(IF(OR(p_open&gt;0,Dashboard!$B$23&gt;0,Dashboard!$B$27&gt;0),"PROVISIONAL - invalid scope/config",IF($AD$11&gt;0,"INCOMPLETE",IF($AC$11&gt;0,IF($AB$11=-1,"INCOMPLETE - re-answer rejected exclusions",IF($AB$11&lt;&gt;1,"PENDING REVIEW",IF(J$6&gt;0,"NO-GO",IF(J$5&gt;=cmp_suitable,"Suitable",IF(J$5&gt;=cmp_conditional,"Conditionally suitable","Unsuitable"))))),IF(J$6&gt;0,"NO-GO",IF(J$5&gt;=cmp_suitable,"Suitable",IF(J$5&gt;=cmp_conditional,"Conditionally suitable","Unsuitable")))))),"INCOMPLETE - input/calculation error")</f>
        <v>PROVISIONAL - invalid scope/config</v>
      </c>
      <c r="K7" s="51" t="s">
        <v>602</v>
      </c>
      <c r="L7" s="51" t="s">
        <v>603</v>
      </c>
      <c r="M7" s="51" t="s">
        <v>604</v>
      </c>
      <c r="N7" s="51" t="s">
        <v>605</v>
      </c>
      <c r="O7" s="7" t="s">
        <v>593</v>
      </c>
      <c r="P7" s="7" t="s">
        <v>606</v>
      </c>
      <c r="Q7" s="7" t="s">
        <v>66</v>
      </c>
      <c r="R7" s="7" t="s">
        <v>607</v>
      </c>
      <c r="S7" s="7" t="s">
        <v>608</v>
      </c>
      <c r="AB7" t="s">
        <v>609</v>
      </c>
      <c r="AC7" t="s">
        <v>610</v>
      </c>
      <c r="AD7" t="s">
        <v>611</v>
      </c>
      <c r="AE7" t="s">
        <v>612</v>
      </c>
      <c r="AF7" t="s">
        <v>613</v>
      </c>
    </row>
    <row r="8" spans="1:32" ht="14.25" customHeight="1" x14ac:dyDescent="0.3">
      <c r="E8" t="s">
        <v>614</v>
      </c>
      <c r="G8">
        <f>SUMPRODUCT(IFERROR(($E$10:$E$77="Yes")*(G$10:G$77="N/A")*(K$10:K$77=""),1))</f>
        <v>1</v>
      </c>
      <c r="H8">
        <f>SUMPRODUCT(IFERROR(($E$10:$E$77="Yes")*(H$10:H$77="N/A")*(L$10:L$77=""),1))</f>
        <v>1</v>
      </c>
      <c r="I8">
        <f>SUMPRODUCT(IFERROR(($E$10:$E$77="Yes")*(I$10:I$77="N/A")*(M$10:M$77=""),1))</f>
        <v>1</v>
      </c>
      <c r="J8">
        <f>SUMPRODUCT(IFERROR(($E$10:$E$77="Yes")*(J$10:J$77="N/A")*(N$10:N$77=""),1))</f>
        <v>1</v>
      </c>
      <c r="K8" s="52"/>
      <c r="L8" s="52"/>
      <c r="M8" s="52"/>
      <c r="N8" s="52"/>
      <c r="O8" t="s">
        <v>615</v>
      </c>
      <c r="P8" s="53"/>
      <c r="Q8" s="54"/>
      <c r="R8" s="55"/>
      <c r="S8" s="8" t="str">
        <f>_xlfn.TEXTJOIN("; ",TRUE(),$T$10:$T$77)</f>
        <v/>
      </c>
      <c r="AB8">
        <f>IF($AC$8=0,2,IF(IFERROR(AND($K$8="Rejected",AND(IFERROR($P$8&lt;&gt;"",FALSE()),IFERROR(AND(ISNUMBER($Q$8),$Q$8&gt;=DATE(2020,1,1),$Q$8&lt;=DATE(2100,12,31)),FALSE()))),FALSE()),-1,IF(IFERROR(AND($K$8="Approved",AND(IFERROR($P$8&lt;&gt;"",FALSE()),IFERROR(AND(ISNUMBER($Q$8),$Q$8&gt;=DATE(2020,1,1),$Q$8&lt;=DATE(2100,12,31)),FALSE())),$R$8&lt;&gt;"",$R$8=$S$8,NOT(_xlfn.ISFORMULA($R$8))),FALSE()),1,0)))</f>
        <v>2</v>
      </c>
      <c r="AC8">
        <f>COUNTIFS($E$10:$E$77,"Yes",G$10:G$77,"N/A")</f>
        <v>0</v>
      </c>
      <c r="AD8">
        <f>SUM($X$10:$X$77)</f>
        <v>68</v>
      </c>
      <c r="AE8" t="str">
        <f>IF($AD$8&gt;0,"Incomplete answers / reasons",IF($AC$8=0,"No exclusions",IF($AB$8=1,"Approved",IF($AB$8=-1,"Rejected - re-answer","Pending review"))))</f>
        <v>Incomplete answers / reasons</v>
      </c>
      <c r="AF8" t="str">
        <f>IFERROR(_xlfn.TEXTJOIN(", ",TRUE(),IF($X10&gt;0,$A10&amp;" (G10/K10)",""),IF($X11&gt;0,$A11&amp;" (G11/K11)",""),IF($X12&gt;0,$A12&amp;" (G12/K12)",""),IF($X13&gt;0,$A13&amp;" (G13/K13)",""),IF($X14&gt;0,$A14&amp;" (G14/K14)",""),IF($X15&gt;0,$A15&amp;" (G15/K15)",""),IF($X16&gt;0,$A16&amp;" (G16/K16)",""),IF($X17&gt;0,$A17&amp;" (G17/K17)",""),IF($X18&gt;0,$A18&amp;" (G18/K18)",""),IF($X19&gt;0,$A19&amp;" (G19/K19)",""),IF($X20&gt;0,$A20&amp;" (G20/K20)",""),IF($X21&gt;0,$A21&amp;" (G21/K21)",""),IF($X22&gt;0,$A22&amp;" (G22/K22)",""),IF($X23&gt;0,$A23&amp;" (G23/K23)",""),IF($X24&gt;0,$A24&amp;" (G24/K24)",""),IF($X25&gt;0,$A25&amp;" (G25/K25)",""),IF($X26&gt;0,$A26&amp;" (G26/K26)",""),IF($X27&gt;0,$A27&amp;" (G27/K27)",""),IF($X28&gt;0,$A28&amp;" (G28/K28)",""),IF($X29&gt;0,$A29&amp;" (G29/K29)",""),IF($X30&gt;0,$A30&amp;" (G30/K30)",""),IF($X31&gt;0,$A31&amp;" (G31/K31)",""),IF($X32&gt;0,$A32&amp;" (G32/K32)",""),IF($X33&gt;0,$A33&amp;" (G33/K33)",""),IF($X34&gt;0,$A34&amp;" (G34/K34)",""),IF($X35&gt;0,$A35&amp;" (G35/K35)",""),IF($X36&gt;0,$A36&amp;" (G36/K36)",""),IF($X37&gt;0,$A37&amp;" (G37/K37)",""),IF($X38&gt;0,$A38&amp;" (G38/K38)",""),IF($X39&gt;0,$A39&amp;" (G39/K39)",""),IF($X40&gt;0,$A40&amp;" (G40/K40)",""),IF($X41&gt;0,$A41&amp;" (G41/K41)",""),IF($X42&gt;0,$A42&amp;" (G42/K42)",""),IF($X43&gt;0,$A43&amp;" (G43/K43)",""),IF($X44&gt;0,$A44&amp;" (G44/K44)",""),IF($X45&gt;0,$A45&amp;" (G45/K45)",""),IF($X46&gt;0,$A46&amp;" (G46/K46)",""),IF($X47&gt;0,$A47&amp;" (G47/K47)",""),IF($X48&gt;0,$A48&amp;" (G48/K48)",""),IF($X49&gt;0,$A49&amp;" (G49/K49)",""),IF($X50&gt;0,$A50&amp;" (G50/K50)",""),IF($X51&gt;0,$A51&amp;" (G51/K51)",""),IF($X52&gt;0,$A52&amp;" (G52/K52)",""),IF($X53&gt;0,$A53&amp;" (G53/K53)",""),IF($X54&gt;0,$A54&amp;" (G54/K54)",""),IF($X55&gt;0,$A55&amp;" (G55/K55)",""),IF($X56&gt;0,$A56&amp;" (G56/K56)",""),IF($X57&gt;0,$A57&amp;" (G57/K57)",""),IF($X58&gt;0,$A58&amp;" (G58/K58)",""),IF($X59&gt;0,$A59&amp;" (G59/K59)",""),IF($X60&gt;0,$A60&amp;" (G60/K60)",""),IF($X61&gt;0,$A61&amp;" (G61/K61)",""),IF($X62&gt;0,$A62&amp;" (G62/K62)",""),IF($X63&gt;0,$A63&amp;" (G63/K63)",""),IF($X64&gt;0,$A64&amp;" (G64/K64)",""),IF($X65&gt;0,$A65&amp;" (G65/K65)",""),IF($X66&gt;0,$A66&amp;" (G66/K66)",""),IF($X67&gt;0,$A67&amp;" (G67/K67)",""),IF($X68&gt;0,$A68&amp;" (G68/K68)",""),IF($X69&gt;0,$A69&amp;" (G69/K69)",""),IF($X70&gt;0,$A70&amp;" (G70/K70)",""),IF($X71&gt;0,$A71&amp;" (G71/K71)",""),IF($X72&gt;0,$A72&amp;" (G72/K72)",""),IF($X73&gt;0,$A73&amp;" (G73/K73)",""),IF($X74&gt;0,$A74&amp;" (G74/K74)",""),IF($X75&gt;0,$A75&amp;" (G75/K75)",""),IF($X76&gt;0,$A76&amp;" (G76/K76)",""),IF($X77&gt;0,$A77&amp;" (G77/K77)","")),"See answer and N/A-reason cells")</f>
        <v>1.1 (G10/K10), 1.2 (G11/K11), 1.3 (G12/K12), 1.4 (G13/K13), 1.5 (G14/K14), 2.1 (G15/K15), 2.2 (G16/K16), 2.3 (G17/K17), 2.4 (G18/K18), 2.5 (G19/K19), 2.6 (G20/K20), 2.7 (G21/K21), 3.1 (G22/K22), 3.2 (G23/K23), 3.3 (G24/K24), 3.4 (G25/K25), 3.5 (G26/K26), 3.6 (G27/K27), 3.7 (G28/K28), 3.8 (G29/K29), 3.9 (G30/K30), 4.1 (G31/K31), 4.2 (G32/K32), 4.3 (G33/K33), 4.4 (G34/K34), 4.5 (G35/K35), 4.6 (G36/K36), 4.7 (G37/K37), 4.8 (G38/K38), 4.9 (G39/K39), 4.10 (G40/K40), 5.1 (G41/K41), 5.2 (G42/K42), 5.3 (G43/K43), 5.4 (G44/K44), 5.5 (G45/K45), 5.6 (G46/K46), 5.7 (G47/K47), 5.8 (G48/K48), 6.1 (G49/K49), 6.2 (G50/K50), 6.3 (G51/K51), 6.4 (G52/K52), 6.5 (G53/K53), 6.6 (G54/K54), 7.1 (G55/K55), 7.2 (G56/K56), 7.3 (G57/K57), 7.4 (G58/K58), 7.5 (G59/K59), 8.1 (G60/K60), 8.2 (G61/K61), 8.3 (G62/K62), 8.4 (G63/K63), 8.5 (G64/K64), 9.1 (G65/K65), 9.2 (G66/K66), 9.3 (G67/K67), 9.4 (G68/K68), 9.5 (G69/K69), 9.6 (G70/K70), 9.7 (G71/K71), 9.8 (G72/K72), 9.9 (G73/K73), 9.10 (G74/K74), 9.11 (G75/K75), 9.12 (G76/K76), 9.13 (G77/K77)</v>
      </c>
    </row>
    <row r="9" spans="1:32" ht="14.25" customHeight="1" x14ac:dyDescent="0.3">
      <c r="A9" s="32" t="s">
        <v>68</v>
      </c>
      <c r="B9" s="32" t="s">
        <v>135</v>
      </c>
      <c r="C9" s="32" t="s">
        <v>138</v>
      </c>
      <c r="D9" s="32" t="s">
        <v>139</v>
      </c>
      <c r="E9" s="32" t="s">
        <v>142</v>
      </c>
      <c r="F9" s="32" t="s">
        <v>137</v>
      </c>
      <c r="G9" s="32" t="s">
        <v>70</v>
      </c>
      <c r="H9" s="32" t="s">
        <v>70</v>
      </c>
      <c r="I9" s="32" t="s">
        <v>70</v>
      </c>
      <c r="J9" s="32" t="s">
        <v>70</v>
      </c>
      <c r="K9" s="20" t="s">
        <v>616</v>
      </c>
      <c r="L9" s="20" t="s">
        <v>617</v>
      </c>
      <c r="M9" s="20" t="s">
        <v>618</v>
      </c>
      <c r="N9" s="20" t="s">
        <v>619</v>
      </c>
      <c r="O9" t="s">
        <v>620</v>
      </c>
      <c r="P9" s="53"/>
      <c r="Q9" s="54"/>
      <c r="R9" s="55"/>
      <c r="S9" s="8" t="str">
        <f>_xlfn.TEXTJOIN("; ",TRUE(),$U$10:$U$77)</f>
        <v/>
      </c>
      <c r="AB9">
        <f>IF($AC$9=0,2,IF(IFERROR(AND($L$8="Rejected",AND(IFERROR($P$9&lt;&gt;"",FALSE()),IFERROR(AND(ISNUMBER($Q$9),$Q$9&gt;=DATE(2020,1,1),$Q$9&lt;=DATE(2100,12,31)),FALSE()))),FALSE()),-1,IF(IFERROR(AND($L$8="Approved",AND(IFERROR($P$9&lt;&gt;"",FALSE()),IFERROR(AND(ISNUMBER($Q$9),$Q$9&gt;=DATE(2020,1,1),$Q$9&lt;=DATE(2100,12,31)),FALSE())),$R$9&lt;&gt;"",$R$9=$S$9,NOT(_xlfn.ISFORMULA($R$9))),FALSE()),1,0)))</f>
        <v>2</v>
      </c>
      <c r="AC9">
        <f>COUNTIFS($E$10:$E$77,"Yes",H$10:H$77,"N/A")</f>
        <v>0</v>
      </c>
      <c r="AD9">
        <f>SUM($Y$10:$Y$77)</f>
        <v>68</v>
      </c>
      <c r="AE9" t="str">
        <f>IF($AD$9&gt;0,"Incomplete answers / reasons",IF($AC$9=0,"No exclusions",IF($AB$9=1,"Approved",IF($AB$9=-1,"Rejected - re-answer","Pending review"))))</f>
        <v>Incomplete answers / reasons</v>
      </c>
      <c r="AF9" t="str">
        <f>IFERROR(_xlfn.TEXTJOIN(", ",TRUE(),IF($Y10&gt;0,$A10&amp;" (H10/L10)",""),IF($Y11&gt;0,$A11&amp;" (H11/L11)",""),IF($Y12&gt;0,$A12&amp;" (H12/L12)",""),IF($Y13&gt;0,$A13&amp;" (H13/L13)",""),IF($Y14&gt;0,$A14&amp;" (H14/L14)",""),IF($Y15&gt;0,$A15&amp;" (H15/L15)",""),IF($Y16&gt;0,$A16&amp;" (H16/L16)",""),IF($Y17&gt;0,$A17&amp;" (H17/L17)",""),IF($Y18&gt;0,$A18&amp;" (H18/L18)",""),IF($Y19&gt;0,$A19&amp;" (H19/L19)",""),IF($Y20&gt;0,$A20&amp;" (H20/L20)",""),IF($Y21&gt;0,$A21&amp;" (H21/L21)",""),IF($Y22&gt;0,$A22&amp;" (H22/L22)",""),IF($Y23&gt;0,$A23&amp;" (H23/L23)",""),IF($Y24&gt;0,$A24&amp;" (H24/L24)",""),IF($Y25&gt;0,$A25&amp;" (H25/L25)",""),IF($Y26&gt;0,$A26&amp;" (H26/L26)",""),IF($Y27&gt;0,$A27&amp;" (H27/L27)",""),IF($Y28&gt;0,$A28&amp;" (H28/L28)",""),IF($Y29&gt;0,$A29&amp;" (H29/L29)",""),IF($Y30&gt;0,$A30&amp;" (H30/L30)",""),IF($Y31&gt;0,$A31&amp;" (H31/L31)",""),IF($Y32&gt;0,$A32&amp;" (H32/L32)",""),IF($Y33&gt;0,$A33&amp;" (H33/L33)",""),IF($Y34&gt;0,$A34&amp;" (H34/L34)",""),IF($Y35&gt;0,$A35&amp;" (H35/L35)",""),IF($Y36&gt;0,$A36&amp;" (H36/L36)",""),IF($Y37&gt;0,$A37&amp;" (H37/L37)",""),IF($Y38&gt;0,$A38&amp;" (H38/L38)",""),IF($Y39&gt;0,$A39&amp;" (H39/L39)",""),IF($Y40&gt;0,$A40&amp;" (H40/L40)",""),IF($Y41&gt;0,$A41&amp;" (H41/L41)",""),IF($Y42&gt;0,$A42&amp;" (H42/L42)",""),IF($Y43&gt;0,$A43&amp;" (H43/L43)",""),IF($Y44&gt;0,$A44&amp;" (H44/L44)",""),IF($Y45&gt;0,$A45&amp;" (H45/L45)",""),IF($Y46&gt;0,$A46&amp;" (H46/L46)",""),IF($Y47&gt;0,$A47&amp;" (H47/L47)",""),IF($Y48&gt;0,$A48&amp;" (H48/L48)",""),IF($Y49&gt;0,$A49&amp;" (H49/L49)",""),IF($Y50&gt;0,$A50&amp;" (H50/L50)",""),IF($Y51&gt;0,$A51&amp;" (H51/L51)",""),IF($Y52&gt;0,$A52&amp;" (H52/L52)",""),IF($Y53&gt;0,$A53&amp;" (H53/L53)",""),IF($Y54&gt;0,$A54&amp;" (H54/L54)",""),IF($Y55&gt;0,$A55&amp;" (H55/L55)",""),IF($Y56&gt;0,$A56&amp;" (H56/L56)",""),IF($Y57&gt;0,$A57&amp;" (H57/L57)",""),IF($Y58&gt;0,$A58&amp;" (H58/L58)",""),IF($Y59&gt;0,$A59&amp;" (H59/L59)",""),IF($Y60&gt;0,$A60&amp;" (H60/L60)",""),IF($Y61&gt;0,$A61&amp;" (H61/L61)",""),IF($Y62&gt;0,$A62&amp;" (H62/L62)",""),IF($Y63&gt;0,$A63&amp;" (H63/L63)",""),IF($Y64&gt;0,$A64&amp;" (H64/L64)",""),IF($Y65&gt;0,$A65&amp;" (H65/L65)",""),IF($Y66&gt;0,$A66&amp;" (H66/L66)",""),IF($Y67&gt;0,$A67&amp;" (H67/L67)",""),IF($Y68&gt;0,$A68&amp;" (H68/L68)",""),IF($Y69&gt;0,$A69&amp;" (H69/L69)",""),IF($Y70&gt;0,$A70&amp;" (H70/L70)",""),IF($Y71&gt;0,$A71&amp;" (H71/L71)",""),IF($Y72&gt;0,$A72&amp;" (H72/L72)",""),IF($Y73&gt;0,$A73&amp;" (H73/L73)",""),IF($Y74&gt;0,$A74&amp;" (H74/L74)",""),IF($Y75&gt;0,$A75&amp;" (H75/L75)",""),IF($Y76&gt;0,$A76&amp;" (H76/L76)",""),IF($Y77&gt;0,$A77&amp;" (H77/L77)","")),"See answer and N/A-reason cells")</f>
        <v>1.1 (H10/L10), 1.2 (H11/L11), 1.3 (H12/L12), 1.4 (H13/L13), 1.5 (H14/L14), 2.1 (H15/L15), 2.2 (H16/L16), 2.3 (H17/L17), 2.4 (H18/L18), 2.5 (H19/L19), 2.6 (H20/L20), 2.7 (H21/L21), 3.1 (H22/L22), 3.2 (H23/L23), 3.3 (H24/L24), 3.4 (H25/L25), 3.5 (H26/L26), 3.6 (H27/L27), 3.7 (H28/L28), 3.8 (H29/L29), 3.9 (H30/L30), 4.1 (H31/L31), 4.2 (H32/L32), 4.3 (H33/L33), 4.4 (H34/L34), 4.5 (H35/L35), 4.6 (H36/L36), 4.7 (H37/L37), 4.8 (H38/L38), 4.9 (H39/L39), 4.10 (H40/L40), 5.1 (H41/L41), 5.2 (H42/L42), 5.3 (H43/L43), 5.4 (H44/L44), 5.5 (H45/L45), 5.6 (H46/L46), 5.7 (H47/L47), 5.8 (H48/L48), 6.1 (H49/L49), 6.2 (H50/L50), 6.3 (H51/L51), 6.4 (H52/L52), 6.5 (H53/L53), 6.6 (H54/L54), 7.1 (H55/L55), 7.2 (H56/L56), 7.3 (H57/L57), 7.4 (H58/L58), 7.5 (H59/L59), 8.1 (H60/L60), 8.2 (H61/L61), 8.3 (H62/L62), 8.4 (H63/L63), 8.5 (H64/L64), 9.1 (H65/L65), 9.2 (H66/L66), 9.3 (H67/L67), 9.4 (H68/L68), 9.5 (H69/L69), 9.6 (H70/L70), 9.7 (H71/L71), 9.8 (H72/L72), 9.9 (H73/L73), 9.10 (H74/L74), 9.11 (H75/L75), 9.12 (H76/L76), 9.13 (H77/L77)</v>
      </c>
    </row>
    <row r="10" spans="1:32" ht="28.5" customHeight="1" x14ac:dyDescent="0.3">
      <c r="A10" t="s">
        <v>183</v>
      </c>
      <c r="B10" t="str">
        <f>IFERROR(VLOOKUP($A10,'Assessment Matrix'!$A:$W,2,FALSE()),"")</f>
        <v>Use Case &amp; Data</v>
      </c>
      <c r="C10" t="str">
        <f>IFERROR(VLOOKUP($A10,'Assessment Matrix'!$A:$W,5,FALSE()),"")</f>
        <v>Major</v>
      </c>
      <c r="D10">
        <f>IFERROR(VLOOKUP($A10,'Assessment Matrix'!$A:$W,6,FALSE()),0)</f>
        <v>4</v>
      </c>
      <c r="E10" t="str">
        <f>IFERROR(VLOOKUP($A10,'Assessment Matrix'!$A:$W,9,FALSE()),"")</f>
        <v>Yes</v>
      </c>
      <c r="F10" s="8" t="str">
        <f>IFERROR(VLOOKUP($A10,'Assessment Matrix'!$A:$W,4,FALSE()),"")</f>
        <v>Business purpose, accountable owner, users, and intended decisions are documented.</v>
      </c>
      <c r="G10" s="42"/>
      <c r="H10" s="42"/>
      <c r="I10" s="42"/>
      <c r="J10" s="42"/>
      <c r="K10" s="13"/>
      <c r="L10" s="13"/>
      <c r="M10" s="13"/>
      <c r="N10" s="13"/>
      <c r="O10" t="s">
        <v>621</v>
      </c>
      <c r="P10" s="53"/>
      <c r="Q10" s="54"/>
      <c r="R10" s="55"/>
      <c r="S10" s="8" t="str">
        <f>_xlfn.TEXTJOIN("; ",TRUE(),$V$10:$V$77)</f>
        <v/>
      </c>
      <c r="T10" t="str">
        <f t="shared" ref="T10:T41" si="0">IFERROR(IF(AND($E10="Yes",G10="N/A",K10&lt;&gt;""),$A10&amp;":"&amp;LEN(K10)&amp;":"&amp;K10,""),$A10&amp;":0:input-fault")</f>
        <v/>
      </c>
      <c r="U10" t="str">
        <f t="shared" ref="U10:U41" si="1">IFERROR(IF(AND($E10="Yes",H10="N/A",L10&lt;&gt;""),$A10&amp;":"&amp;LEN(L10)&amp;":"&amp;L10,""),$A10&amp;":0:input-fault")</f>
        <v/>
      </c>
      <c r="V10" t="str">
        <f t="shared" ref="V10:V41" si="2">IFERROR(IF(AND($E10="Yes",I10="N/A",M10&lt;&gt;""),$A10&amp;":"&amp;LEN(M10)&amp;":"&amp;M10,""),$A10&amp;":0:input-fault")</f>
        <v/>
      </c>
      <c r="W10" t="str">
        <f t="shared" ref="W10:W41" si="3">IFERROR(IF(AND($E10="Yes",J10="N/A",N10&lt;&gt;""),$A10&amp;":"&amp;LEN(N10)&amp;":"&amp;N10,""),$A10&amp;":0:input-fault")</f>
        <v/>
      </c>
      <c r="X10">
        <f t="shared" ref="X10:X41" si="4">IF(IFERROR(IF($E10="Yes",OR(NOT(OR(G10="Yes",G10="Partial",G10="No",G10="N/A")),IF(G10="N/A",K10="",FALSE()),ISERROR(K10)),FALSE()),TRUE()),1,0)</f>
        <v>1</v>
      </c>
      <c r="Y10">
        <f t="shared" ref="Y10:Y41" si="5">IF(IFERROR(IF($E10="Yes",OR(NOT(OR(H10="Yes",H10="Partial",H10="No",H10="N/A")),IF(H10="N/A",L10="",FALSE()),ISERROR(L10)),FALSE()),TRUE()),1,0)</f>
        <v>1</v>
      </c>
      <c r="Z10">
        <f t="shared" ref="Z10:Z41" si="6">IF(IFERROR(IF($E10="Yes",OR(NOT(OR(I10="Yes",I10="Partial",I10="No",I10="N/A")),IF(I10="N/A",M10="",FALSE()),ISERROR(M10)),FALSE()),TRUE()),1,0)</f>
        <v>1</v>
      </c>
      <c r="AA10">
        <f t="shared" ref="AA10:AA41" si="7">IF(IFERROR(IF($E10="Yes",OR(NOT(OR(J10="Yes",J10="Partial",J10="No",J10="N/A")),IF(J10="N/A",N10="",FALSE()),ISERROR(N10)),FALSE()),TRUE()),1,0)</f>
        <v>1</v>
      </c>
      <c r="AB10">
        <f>IF($AC$10=0,2,IF(IFERROR(AND($M$8="Rejected",AND(IFERROR($P$10&lt;&gt;"",FALSE()),IFERROR(AND(ISNUMBER($Q$10),$Q$10&gt;=DATE(2020,1,1),$Q$10&lt;=DATE(2100,12,31)),FALSE()))),FALSE()),-1,IF(IFERROR(AND($M$8="Approved",AND(IFERROR($P$10&lt;&gt;"",FALSE()),IFERROR(AND(ISNUMBER($Q$10),$Q$10&gt;=DATE(2020,1,1),$Q$10&lt;=DATE(2100,12,31)),FALSE())),$R$10&lt;&gt;"",$R$10=$S$10,NOT(_xlfn.ISFORMULA($R$10))),FALSE()),1,0)))</f>
        <v>2</v>
      </c>
      <c r="AC10">
        <f>COUNTIFS($E$10:$E$77,"Yes",I$10:I$77,"N/A")</f>
        <v>0</v>
      </c>
      <c r="AD10">
        <f>SUM($Z$10:$Z$77)</f>
        <v>68</v>
      </c>
      <c r="AE10" t="str">
        <f>IF($AD$10&gt;0,"Incomplete answers / reasons",IF($AC$10=0,"No exclusions",IF($AB$10=1,"Approved",IF($AB$10=-1,"Rejected - re-answer","Pending review"))))</f>
        <v>Incomplete answers / reasons</v>
      </c>
      <c r="AF10" t="str">
        <f>IFERROR(_xlfn.TEXTJOIN(", ",TRUE(),IF($Z10&gt;0,$A10&amp;" (I10/M10)",""),IF($Z11&gt;0,$A11&amp;" (I11/M11)",""),IF($Z12&gt;0,$A12&amp;" (I12/M12)",""),IF($Z13&gt;0,$A13&amp;" (I13/M13)",""),IF($Z14&gt;0,$A14&amp;" (I14/M14)",""),IF($Z15&gt;0,$A15&amp;" (I15/M15)",""),IF($Z16&gt;0,$A16&amp;" (I16/M16)",""),IF($Z17&gt;0,$A17&amp;" (I17/M17)",""),IF($Z18&gt;0,$A18&amp;" (I18/M18)",""),IF($Z19&gt;0,$A19&amp;" (I19/M19)",""),IF($Z20&gt;0,$A20&amp;" (I20/M20)",""),IF($Z21&gt;0,$A21&amp;" (I21/M21)",""),IF($Z22&gt;0,$A22&amp;" (I22/M22)",""),IF($Z23&gt;0,$A23&amp;" (I23/M23)",""),IF($Z24&gt;0,$A24&amp;" (I24/M24)",""),IF($Z25&gt;0,$A25&amp;" (I25/M25)",""),IF($Z26&gt;0,$A26&amp;" (I26/M26)",""),IF($Z27&gt;0,$A27&amp;" (I27/M27)",""),IF($Z28&gt;0,$A28&amp;" (I28/M28)",""),IF($Z29&gt;0,$A29&amp;" (I29/M29)",""),IF($Z30&gt;0,$A30&amp;" (I30/M30)",""),IF($Z31&gt;0,$A31&amp;" (I31/M31)",""),IF($Z32&gt;0,$A32&amp;" (I32/M32)",""),IF($Z33&gt;0,$A33&amp;" (I33/M33)",""),IF($Z34&gt;0,$A34&amp;" (I34/M34)",""),IF($Z35&gt;0,$A35&amp;" (I35/M35)",""),IF($Z36&gt;0,$A36&amp;" (I36/M36)",""),IF($Z37&gt;0,$A37&amp;" (I37/M37)",""),IF($Z38&gt;0,$A38&amp;" (I38/M38)",""),IF($Z39&gt;0,$A39&amp;" (I39/M39)",""),IF($Z40&gt;0,$A40&amp;" (I40/M40)",""),IF($Z41&gt;0,$A41&amp;" (I41/M41)",""),IF($Z42&gt;0,$A42&amp;" (I42/M42)",""),IF($Z43&gt;0,$A43&amp;" (I43/M43)",""),IF($Z44&gt;0,$A44&amp;" (I44/M44)",""),IF($Z45&gt;0,$A45&amp;" (I45/M45)",""),IF($Z46&gt;0,$A46&amp;" (I46/M46)",""),IF($Z47&gt;0,$A47&amp;" (I47/M47)",""),IF($Z48&gt;0,$A48&amp;" (I48/M48)",""),IF($Z49&gt;0,$A49&amp;" (I49/M49)",""),IF($Z50&gt;0,$A50&amp;" (I50/M50)",""),IF($Z51&gt;0,$A51&amp;" (I51/M51)",""),IF($Z52&gt;0,$A52&amp;" (I52/M52)",""),IF($Z53&gt;0,$A53&amp;" (I53/M53)",""),IF($Z54&gt;0,$A54&amp;" (I54/M54)",""),IF($Z55&gt;0,$A55&amp;" (I55/M55)",""),IF($Z56&gt;0,$A56&amp;" (I56/M56)",""),IF($Z57&gt;0,$A57&amp;" (I57/M57)",""),IF($Z58&gt;0,$A58&amp;" (I58/M58)",""),IF($Z59&gt;0,$A59&amp;" (I59/M59)",""),IF($Z60&gt;0,$A60&amp;" (I60/M60)",""),IF($Z61&gt;0,$A61&amp;" (I61/M61)",""),IF($Z62&gt;0,$A62&amp;" (I62/M62)",""),IF($Z63&gt;0,$A63&amp;" (I63/M63)",""),IF($Z64&gt;0,$A64&amp;" (I64/M64)",""),IF($Z65&gt;0,$A65&amp;" (I65/M65)",""),IF($Z66&gt;0,$A66&amp;" (I66/M66)",""),IF($Z67&gt;0,$A67&amp;" (I67/M67)",""),IF($Z68&gt;0,$A68&amp;" (I68/M68)",""),IF($Z69&gt;0,$A69&amp;" (I69/M69)",""),IF($Z70&gt;0,$A70&amp;" (I70/M70)",""),IF($Z71&gt;0,$A71&amp;" (I71/M71)",""),IF($Z72&gt;0,$A72&amp;" (I72/M72)",""),IF($Z73&gt;0,$A73&amp;" (I73/M73)",""),IF($Z74&gt;0,$A74&amp;" (I74/M74)",""),IF($Z75&gt;0,$A75&amp;" (I75/M75)",""),IF($Z76&gt;0,$A76&amp;" (I76/M76)",""),IF($Z77&gt;0,$A77&amp;" (I77/M77)","")),"See answer and N/A-reason cells")</f>
        <v>1.1 (I10/M10), 1.2 (I11/M11), 1.3 (I12/M12), 1.4 (I13/M13), 1.5 (I14/M14), 2.1 (I15/M15), 2.2 (I16/M16), 2.3 (I17/M17), 2.4 (I18/M18), 2.5 (I19/M19), 2.6 (I20/M20), 2.7 (I21/M21), 3.1 (I22/M22), 3.2 (I23/M23), 3.3 (I24/M24), 3.4 (I25/M25), 3.5 (I26/M26), 3.6 (I27/M27), 3.7 (I28/M28), 3.8 (I29/M29), 3.9 (I30/M30), 4.1 (I31/M31), 4.2 (I32/M32), 4.3 (I33/M33), 4.4 (I34/M34), 4.5 (I35/M35), 4.6 (I36/M36), 4.7 (I37/M37), 4.8 (I38/M38), 4.9 (I39/M39), 4.10 (I40/M40), 5.1 (I41/M41), 5.2 (I42/M42), 5.3 (I43/M43), 5.4 (I44/M44), 5.5 (I45/M45), 5.6 (I46/M46), 5.7 (I47/M47), 5.8 (I48/M48), 6.1 (I49/M49), 6.2 (I50/M50), 6.3 (I51/M51), 6.4 (I52/M52), 6.5 (I53/M53), 6.6 (I54/M54), 7.1 (I55/M55), 7.2 (I56/M56), 7.3 (I57/M57), 7.4 (I58/M58), 7.5 (I59/M59), 8.1 (I60/M60), 8.2 (I61/M61), 8.3 (I62/M62), 8.4 (I63/M63), 8.5 (I64/M64), 9.1 (I65/M65), 9.2 (I66/M66), 9.3 (I67/M67), 9.4 (I68/M68), 9.5 (I69/M69), 9.6 (I70/M70), 9.7 (I71/M71), 9.8 (I72/M72), 9.9 (I73/M73), 9.10 (I74/M74), 9.11 (I75/M75), 9.12 (I76/M76), 9.13 (I77/M77)</v>
      </c>
    </row>
    <row r="11" spans="1:32" ht="28.5" customHeight="1" x14ac:dyDescent="0.3">
      <c r="A11" t="s">
        <v>189</v>
      </c>
      <c r="B11" t="str">
        <f>IFERROR(VLOOKUP($A11,'Assessment Matrix'!$A:$W,2,FALSE()),"")</f>
        <v>Use Case &amp; Data</v>
      </c>
      <c r="C11" t="str">
        <f>IFERROR(VLOOKUP($A11,'Assessment Matrix'!$A:$W,5,FALSE()),"")</f>
        <v>Blocker</v>
      </c>
      <c r="D11">
        <f>IFERROR(VLOOKUP($A11,'Assessment Matrix'!$A:$W,6,FALSE()),0)</f>
        <v>5</v>
      </c>
      <c r="E11" t="str">
        <f>IFERROR(VLOOKUP($A11,'Assessment Matrix'!$A:$W,9,FALSE()),"")</f>
        <v>Yes</v>
      </c>
      <c r="F11" s="8" t="str">
        <f>IFERROR(VLOOKUP($A11,'Assessment Matrix'!$A:$W,4,FALSE()),"")</f>
        <v>Data classification is defined, including personal, confidential, regulated, and export-controlled data.</v>
      </c>
      <c r="G11" s="42"/>
      <c r="H11" s="42"/>
      <c r="I11" s="42"/>
      <c r="J11" s="42"/>
      <c r="K11" s="13"/>
      <c r="L11" s="13"/>
      <c r="M11" s="13"/>
      <c r="N11" s="13"/>
      <c r="O11" t="s">
        <v>622</v>
      </c>
      <c r="P11" s="53"/>
      <c r="Q11" s="54"/>
      <c r="R11" s="55"/>
      <c r="S11" s="8" t="str">
        <f>_xlfn.TEXTJOIN("; ",TRUE(),$W$10:$W$77)</f>
        <v/>
      </c>
      <c r="T11" t="str">
        <f t="shared" si="0"/>
        <v/>
      </c>
      <c r="U11" t="str">
        <f t="shared" si="1"/>
        <v/>
      </c>
      <c r="V11" t="str">
        <f t="shared" si="2"/>
        <v/>
      </c>
      <c r="W11" t="str">
        <f t="shared" si="3"/>
        <v/>
      </c>
      <c r="X11">
        <f t="shared" si="4"/>
        <v>1</v>
      </c>
      <c r="Y11">
        <f t="shared" si="5"/>
        <v>1</v>
      </c>
      <c r="Z11">
        <f t="shared" si="6"/>
        <v>1</v>
      </c>
      <c r="AA11">
        <f t="shared" si="7"/>
        <v>1</v>
      </c>
      <c r="AB11">
        <f>IF($AC$11=0,2,IF(IFERROR(AND($N$8="Rejected",AND(IFERROR($P$11&lt;&gt;"",FALSE()),IFERROR(AND(ISNUMBER($Q$11),$Q$11&gt;=DATE(2020,1,1),$Q$11&lt;=DATE(2100,12,31)),FALSE()))),FALSE()),-1,IF(IFERROR(AND($N$8="Approved",AND(IFERROR($P$11&lt;&gt;"",FALSE()),IFERROR(AND(ISNUMBER($Q$11),$Q$11&gt;=DATE(2020,1,1),$Q$11&lt;=DATE(2100,12,31)),FALSE())),$R$11&lt;&gt;"",$R$11=$S$11,NOT(_xlfn.ISFORMULA($R$11))),FALSE()),1,0)))</f>
        <v>2</v>
      </c>
      <c r="AC11">
        <f>COUNTIFS($E$10:$E$77,"Yes",J$10:J$77,"N/A")</f>
        <v>0</v>
      </c>
      <c r="AD11">
        <f>SUM($AA$10:$AA$77)</f>
        <v>68</v>
      </c>
      <c r="AE11" t="str">
        <f>IF($AD$11&gt;0,"Incomplete answers / reasons",IF($AC$11=0,"No exclusions",IF($AB$11=1,"Approved",IF($AB$11=-1,"Rejected - re-answer","Pending review"))))</f>
        <v>Incomplete answers / reasons</v>
      </c>
      <c r="AF11" t="str">
        <f>IFERROR(_xlfn.TEXTJOIN(", ",TRUE(),IF($AA10&gt;0,$A10&amp;" (J10/N10)",""),IF($AA11&gt;0,$A11&amp;" (J11/N11)",""),IF($AA12&gt;0,$A12&amp;" (J12/N12)",""),IF($AA13&gt;0,$A13&amp;" (J13/N13)",""),IF($AA14&gt;0,$A14&amp;" (J14/N14)",""),IF($AA15&gt;0,$A15&amp;" (J15/N15)",""),IF($AA16&gt;0,$A16&amp;" (J16/N16)",""),IF($AA17&gt;0,$A17&amp;" (J17/N17)",""),IF($AA18&gt;0,$A18&amp;" (J18/N18)",""),IF($AA19&gt;0,$A19&amp;" (J19/N19)",""),IF($AA20&gt;0,$A20&amp;" (J20/N20)",""),IF($AA21&gt;0,$A21&amp;" (J21/N21)",""),IF($AA22&gt;0,$A22&amp;" (J22/N22)",""),IF($AA23&gt;0,$A23&amp;" (J23/N23)",""),IF($AA24&gt;0,$A24&amp;" (J24/N24)",""),IF($AA25&gt;0,$A25&amp;" (J25/N25)",""),IF($AA26&gt;0,$A26&amp;" (J26/N26)",""),IF($AA27&gt;0,$A27&amp;" (J27/N27)",""),IF($AA28&gt;0,$A28&amp;" (J28/N28)",""),IF($AA29&gt;0,$A29&amp;" (J29/N29)",""),IF($AA30&gt;0,$A30&amp;" (J30/N30)",""),IF($AA31&gt;0,$A31&amp;" (J31/N31)",""),IF($AA32&gt;0,$A32&amp;" (J32/N32)",""),IF($AA33&gt;0,$A33&amp;" (J33/N33)",""),IF($AA34&gt;0,$A34&amp;" (J34/N34)",""),IF($AA35&gt;0,$A35&amp;" (J35/N35)",""),IF($AA36&gt;0,$A36&amp;" (J36/N36)",""),IF($AA37&gt;0,$A37&amp;" (J37/N37)",""),IF($AA38&gt;0,$A38&amp;" (J38/N38)",""),IF($AA39&gt;0,$A39&amp;" (J39/N39)",""),IF($AA40&gt;0,$A40&amp;" (J40/N40)",""),IF($AA41&gt;0,$A41&amp;" (J41/N41)",""),IF($AA42&gt;0,$A42&amp;" (J42/N42)",""),IF($AA43&gt;0,$A43&amp;" (J43/N43)",""),IF($AA44&gt;0,$A44&amp;" (J44/N44)",""),IF($AA45&gt;0,$A45&amp;" (J45/N45)",""),IF($AA46&gt;0,$A46&amp;" (J46/N46)",""),IF($AA47&gt;0,$A47&amp;" (J47/N47)",""),IF($AA48&gt;0,$A48&amp;" (J48/N48)",""),IF($AA49&gt;0,$A49&amp;" (J49/N49)",""),IF($AA50&gt;0,$A50&amp;" (J50/N50)",""),IF($AA51&gt;0,$A51&amp;" (J51/N51)",""),IF($AA52&gt;0,$A52&amp;" (J52/N52)",""),IF($AA53&gt;0,$A53&amp;" (J53/N53)",""),IF($AA54&gt;0,$A54&amp;" (J54/N54)",""),IF($AA55&gt;0,$A55&amp;" (J55/N55)",""),IF($AA56&gt;0,$A56&amp;" (J56/N56)",""),IF($AA57&gt;0,$A57&amp;" (J57/N57)",""),IF($AA58&gt;0,$A58&amp;" (J58/N58)",""),IF($AA59&gt;0,$A59&amp;" (J59/N59)",""),IF($AA60&gt;0,$A60&amp;" (J60/N60)",""),IF($AA61&gt;0,$A61&amp;" (J61/N61)",""),IF($AA62&gt;0,$A62&amp;" (J62/N62)",""),IF($AA63&gt;0,$A63&amp;" (J63/N63)",""),IF($AA64&gt;0,$A64&amp;" (J64/N64)",""),IF($AA65&gt;0,$A65&amp;" (J65/N65)",""),IF($AA66&gt;0,$A66&amp;" (J66/N66)",""),IF($AA67&gt;0,$A67&amp;" (J67/N67)",""),IF($AA68&gt;0,$A68&amp;" (J68/N68)",""),IF($AA69&gt;0,$A69&amp;" (J69/N69)",""),IF($AA70&gt;0,$A70&amp;" (J70/N70)",""),IF($AA71&gt;0,$A71&amp;" (J71/N71)",""),IF($AA72&gt;0,$A72&amp;" (J72/N72)",""),IF($AA73&gt;0,$A73&amp;" (J73/N73)",""),IF($AA74&gt;0,$A74&amp;" (J74/N74)",""),IF($AA75&gt;0,$A75&amp;" (J75/N75)",""),IF($AA76&gt;0,$A76&amp;" (J76/N76)",""),IF($AA77&gt;0,$A77&amp;" (J77/N77)","")),"See answer and N/A-reason cells")</f>
        <v>1.1 (J10/N10), 1.2 (J11/N11), 1.3 (J12/N12), 1.4 (J13/N13), 1.5 (J14/N14), 2.1 (J15/N15), 2.2 (J16/N16), 2.3 (J17/N17), 2.4 (J18/N18), 2.5 (J19/N19), 2.6 (J20/N20), 2.7 (J21/N21), 3.1 (J22/N22), 3.2 (J23/N23), 3.3 (J24/N24), 3.4 (J25/N25), 3.5 (J26/N26), 3.6 (J27/N27), 3.7 (J28/N28), 3.8 (J29/N29), 3.9 (J30/N30), 4.1 (J31/N31), 4.2 (J32/N32), 4.3 (J33/N33), 4.4 (J34/N34), 4.5 (J35/N35), 4.6 (J36/N36), 4.7 (J37/N37), 4.8 (J38/N38), 4.9 (J39/N39), 4.10 (J40/N40), 5.1 (J41/N41), 5.2 (J42/N42), 5.3 (J43/N43), 5.4 (J44/N44), 5.5 (J45/N45), 5.6 (J46/N46), 5.7 (J47/N47), 5.8 (J48/N48), 6.1 (J49/N49), 6.2 (J50/N50), 6.3 (J51/N51), 6.4 (J52/N52), 6.5 (J53/N53), 6.6 (J54/N54), 7.1 (J55/N55), 7.2 (J56/N56), 7.3 (J57/N57), 7.4 (J58/N58), 7.5 (J59/N59), 8.1 (J60/N60), 8.2 (J61/N61), 8.3 (J62/N62), 8.4 (J63/N63), 8.5 (J64/N64), 9.1 (J65/N65), 9.2 (J66/N66), 9.3 (J67/N67), 9.4 (J68/N68), 9.5 (J69/N69), 9.6 (J70/N70), 9.7 (J71/N71), 9.8 (J72/N72), 9.9 (J73/N73), 9.10 (J74/N74), 9.11 (J75/N75), 9.12 (J76/N76), 9.13 (J77/N77)</v>
      </c>
    </row>
    <row r="12" spans="1:32" ht="28.5" customHeight="1" x14ac:dyDescent="0.3">
      <c r="A12" t="s">
        <v>193</v>
      </c>
      <c r="B12" t="str">
        <f>IFERROR(VLOOKUP($A12,'Assessment Matrix'!$A:$W,2,FALSE()),"")</f>
        <v>Use Case &amp; Data</v>
      </c>
      <c r="C12" t="str">
        <f>IFERROR(VLOOKUP($A12,'Assessment Matrix'!$A:$W,5,FALSE()),"")</f>
        <v>Blocker</v>
      </c>
      <c r="D12">
        <f>IFERROR(VLOOKUP($A12,'Assessment Matrix'!$A:$W,6,FALSE()),0)</f>
        <v>5</v>
      </c>
      <c r="E12" t="str">
        <f>IFERROR(VLOOKUP($A12,'Assessment Matrix'!$A:$W,9,FALSE()),"")</f>
        <v>Yes</v>
      </c>
      <c r="F12" s="8" t="str">
        <f>IFERROR(VLOOKUP($A12,'Assessment Matrix'!$A:$W,4,FALSE()),"")</f>
        <v>AI Act classification is completed: prohibited, high-risk, GPAI dependency, deployer/provider role, and transparency obligations.</v>
      </c>
      <c r="G12" s="42"/>
      <c r="H12" s="42"/>
      <c r="I12" s="42"/>
      <c r="J12" s="42"/>
      <c r="K12" s="13"/>
      <c r="L12" s="13"/>
      <c r="M12" s="13"/>
      <c r="N12" s="13"/>
      <c r="T12" t="str">
        <f t="shared" si="0"/>
        <v/>
      </c>
      <c r="U12" t="str">
        <f t="shared" si="1"/>
        <v/>
      </c>
      <c r="V12" t="str">
        <f t="shared" si="2"/>
        <v/>
      </c>
      <c r="W12" t="str">
        <f t="shared" si="3"/>
        <v/>
      </c>
      <c r="X12">
        <f t="shared" si="4"/>
        <v>1</v>
      </c>
      <c r="Y12">
        <f t="shared" si="5"/>
        <v>1</v>
      </c>
      <c r="Z12">
        <f t="shared" si="6"/>
        <v>1</v>
      </c>
      <c r="AA12">
        <f t="shared" si="7"/>
        <v>1</v>
      </c>
    </row>
    <row r="13" spans="1:32" ht="28.5" customHeight="1" x14ac:dyDescent="0.3">
      <c r="A13" t="s">
        <v>197</v>
      </c>
      <c r="B13" t="str">
        <f>IFERROR(VLOOKUP($A13,'Assessment Matrix'!$A:$W,2,FALSE()),"")</f>
        <v>Use Case &amp; Data</v>
      </c>
      <c r="C13" t="str">
        <f>IFERROR(VLOOKUP($A13,'Assessment Matrix'!$A:$W,5,FALSE()),"")</f>
        <v>Major</v>
      </c>
      <c r="D13">
        <f>IFERROR(VLOOKUP($A13,'Assessment Matrix'!$A:$W,6,FALSE()),0)</f>
        <v>4</v>
      </c>
      <c r="E13" t="str">
        <f>IFERROR(VLOOKUP($A13,'Assessment Matrix'!$A:$W,9,FALSE()),"")</f>
        <v>Yes</v>
      </c>
      <c r="F13" s="8" t="str">
        <f>IFERROR(VLOOKUP($A13,'Assessment Matrix'!$A:$W,4,FALSE()),"")</f>
        <v>Human oversight, accountability, escalation, and override are defined for consequential outputs.</v>
      </c>
      <c r="G13" s="42"/>
      <c r="H13" s="42"/>
      <c r="I13" s="42"/>
      <c r="J13" s="42"/>
      <c r="K13" s="13"/>
      <c r="L13" s="13"/>
      <c r="M13" s="13"/>
      <c r="N13" s="13"/>
      <c r="T13" t="str">
        <f t="shared" si="0"/>
        <v/>
      </c>
      <c r="U13" t="str">
        <f t="shared" si="1"/>
        <v/>
      </c>
      <c r="V13" t="str">
        <f t="shared" si="2"/>
        <v/>
      </c>
      <c r="W13" t="str">
        <f t="shared" si="3"/>
        <v/>
      </c>
      <c r="X13">
        <f t="shared" si="4"/>
        <v>1</v>
      </c>
      <c r="Y13">
        <f t="shared" si="5"/>
        <v>1</v>
      </c>
      <c r="Z13">
        <f t="shared" si="6"/>
        <v>1</v>
      </c>
      <c r="AA13">
        <f t="shared" si="7"/>
        <v>1</v>
      </c>
    </row>
    <row r="14" spans="1:32" ht="28.5" customHeight="1" x14ac:dyDescent="0.3">
      <c r="A14" t="s">
        <v>201</v>
      </c>
      <c r="B14" t="str">
        <f>IFERROR(VLOOKUP($A14,'Assessment Matrix'!$A:$W,2,FALSE()),"")</f>
        <v>Use Case &amp; Data</v>
      </c>
      <c r="C14" t="str">
        <f>IFERROR(VLOOKUP($A14,'Assessment Matrix'!$A:$W,5,FALSE()),"")</f>
        <v>Blocker</v>
      </c>
      <c r="D14">
        <f>IFERROR(VLOOKUP($A14,'Assessment Matrix'!$A:$W,6,FALSE()),0)</f>
        <v>5</v>
      </c>
      <c r="E14" t="str">
        <f>IFERROR(VLOOKUP($A14,'Assessment Matrix'!$A:$W,9,FALSE()),"")</f>
        <v>Yes</v>
      </c>
      <c r="F14" s="8" t="str">
        <f>IFERROR(VLOOKUP($A14,'Assessment Matrix'!$A:$W,4,FALSE()),"")</f>
        <v>The system does not execute high-impact actions autonomously without policy, validation, and approval controls.</v>
      </c>
      <c r="G14" s="42"/>
      <c r="H14" s="42"/>
      <c r="I14" s="42"/>
      <c r="J14" s="42"/>
      <c r="K14" s="13"/>
      <c r="L14" s="13"/>
      <c r="M14" s="13"/>
      <c r="N14" s="13"/>
      <c r="T14" t="str">
        <f t="shared" si="0"/>
        <v/>
      </c>
      <c r="U14" t="str">
        <f t="shared" si="1"/>
        <v/>
      </c>
      <c r="V14" t="str">
        <f t="shared" si="2"/>
        <v/>
      </c>
      <c r="W14" t="str">
        <f t="shared" si="3"/>
        <v/>
      </c>
      <c r="X14">
        <f t="shared" si="4"/>
        <v>1</v>
      </c>
      <c r="Y14">
        <f t="shared" si="5"/>
        <v>1</v>
      </c>
      <c r="Z14">
        <f t="shared" si="6"/>
        <v>1</v>
      </c>
      <c r="AA14">
        <f t="shared" si="7"/>
        <v>1</v>
      </c>
    </row>
    <row r="15" spans="1:32" ht="28.5" customHeight="1" x14ac:dyDescent="0.3">
      <c r="A15" t="s">
        <v>206</v>
      </c>
      <c r="B15" t="str">
        <f>IFERROR(VLOOKUP($A15,'Assessment Matrix'!$A:$W,2,FALSE()),"")</f>
        <v>Model &amp; Provider</v>
      </c>
      <c r="C15" t="str">
        <f>IFERROR(VLOOKUP($A15,'Assessment Matrix'!$A:$W,5,FALSE()),"")</f>
        <v>Major</v>
      </c>
      <c r="D15">
        <f>IFERROR(VLOOKUP($A15,'Assessment Matrix'!$A:$W,6,FALSE()),0)</f>
        <v>4</v>
      </c>
      <c r="E15" t="str">
        <f>IFERROR(VLOOKUP($A15,'Assessment Matrix'!$A:$W,9,FALSE()),"")</f>
        <v>Yes</v>
      </c>
      <c r="F15" s="8" t="str">
        <f>IFERROR(VLOOKUP($A15,'Assessment Matrix'!$A:$W,4,FALSE()),"")</f>
        <v>Model card/system card or equivalent documentation describes intended use, limitations, training/evaluation approach, and known risks.</v>
      </c>
      <c r="G15" s="42"/>
      <c r="H15" s="42"/>
      <c r="I15" s="42"/>
      <c r="J15" s="42"/>
      <c r="K15" s="13"/>
      <c r="L15" s="13"/>
      <c r="M15" s="13"/>
      <c r="N15" s="13"/>
      <c r="T15" t="str">
        <f t="shared" si="0"/>
        <v/>
      </c>
      <c r="U15" t="str">
        <f t="shared" si="1"/>
        <v/>
      </c>
      <c r="V15" t="str">
        <f t="shared" si="2"/>
        <v/>
      </c>
      <c r="W15" t="str">
        <f t="shared" si="3"/>
        <v/>
      </c>
      <c r="X15">
        <f t="shared" si="4"/>
        <v>1</v>
      </c>
      <c r="Y15">
        <f t="shared" si="5"/>
        <v>1</v>
      </c>
      <c r="Z15">
        <f t="shared" si="6"/>
        <v>1</v>
      </c>
      <c r="AA15">
        <f t="shared" si="7"/>
        <v>1</v>
      </c>
    </row>
    <row r="16" spans="1:32" ht="28.5" customHeight="1" x14ac:dyDescent="0.3">
      <c r="A16" t="s">
        <v>210</v>
      </c>
      <c r="B16" t="str">
        <f>IFERROR(VLOOKUP($A16,'Assessment Matrix'!$A:$W,2,FALSE()),"")</f>
        <v>Model &amp; Provider</v>
      </c>
      <c r="C16" t="str">
        <f>IFERROR(VLOOKUP($A16,'Assessment Matrix'!$A:$W,5,FALSE()),"")</f>
        <v>Major</v>
      </c>
      <c r="D16">
        <f>IFERROR(VLOOKUP($A16,'Assessment Matrix'!$A:$W,6,FALSE()),0)</f>
        <v>4</v>
      </c>
      <c r="E16" t="str">
        <f>IFERROR(VLOOKUP($A16,'Assessment Matrix'!$A:$W,9,FALSE()),"")</f>
        <v>Yes</v>
      </c>
      <c r="F16" s="8" t="str">
        <f>IFERROR(VLOOKUP($A16,'Assessment Matrix'!$A:$W,4,FALSE()),"")</f>
        <v>Provider legal entity, jurisdictions, subcontractors, hosting locations, and support dependencies are documented.</v>
      </c>
      <c r="G16" s="42"/>
      <c r="H16" s="42"/>
      <c r="I16" s="42"/>
      <c r="J16" s="42"/>
      <c r="K16" s="13"/>
      <c r="L16" s="13"/>
      <c r="M16" s="13"/>
      <c r="N16" s="13"/>
      <c r="T16" t="str">
        <f t="shared" si="0"/>
        <v/>
      </c>
      <c r="U16" t="str">
        <f t="shared" si="1"/>
        <v/>
      </c>
      <c r="V16" t="str">
        <f t="shared" si="2"/>
        <v/>
      </c>
      <c r="W16" t="str">
        <f t="shared" si="3"/>
        <v/>
      </c>
      <c r="X16">
        <f t="shared" si="4"/>
        <v>1</v>
      </c>
      <c r="Y16">
        <f t="shared" si="5"/>
        <v>1</v>
      </c>
      <c r="Z16">
        <f t="shared" si="6"/>
        <v>1</v>
      </c>
      <c r="AA16">
        <f t="shared" si="7"/>
        <v>1</v>
      </c>
    </row>
    <row r="17" spans="1:27" ht="28.5" customHeight="1" x14ac:dyDescent="0.3">
      <c r="A17" t="s">
        <v>215</v>
      </c>
      <c r="B17" t="str">
        <f>IFERROR(VLOOKUP($A17,'Assessment Matrix'!$A:$W,2,FALSE()),"")</f>
        <v>Model &amp; Provider</v>
      </c>
      <c r="C17" t="str">
        <f>IFERROR(VLOOKUP($A17,'Assessment Matrix'!$A:$W,5,FALSE()),"")</f>
        <v>Moderate</v>
      </c>
      <c r="D17">
        <f>IFERROR(VLOOKUP($A17,'Assessment Matrix'!$A:$W,6,FALSE()),0)</f>
        <v>3</v>
      </c>
      <c r="E17" t="str">
        <f>IFERROR(VLOOKUP($A17,'Assessment Matrix'!$A:$W,9,FALSE()),"")</f>
        <v>Yes</v>
      </c>
      <c r="F17" s="8" t="str">
        <f>IFERROR(VLOOKUP($A17,'Assessment Matrix'!$A:$W,4,FALSE()),"")</f>
        <v>Independent assurance is available where appropriate, such as ISO 27001, SOC 2, audit report, penetration test, or equivalent.</v>
      </c>
      <c r="G17" s="42"/>
      <c r="H17" s="42"/>
      <c r="I17" s="42"/>
      <c r="J17" s="42"/>
      <c r="K17" s="13"/>
      <c r="L17" s="13"/>
      <c r="M17" s="13"/>
      <c r="N17" s="13"/>
      <c r="T17" t="str">
        <f t="shared" si="0"/>
        <v/>
      </c>
      <c r="U17" t="str">
        <f t="shared" si="1"/>
        <v/>
      </c>
      <c r="V17" t="str">
        <f t="shared" si="2"/>
        <v/>
      </c>
      <c r="W17" t="str">
        <f t="shared" si="3"/>
        <v/>
      </c>
      <c r="X17">
        <f t="shared" si="4"/>
        <v>1</v>
      </c>
      <c r="Y17">
        <f t="shared" si="5"/>
        <v>1</v>
      </c>
      <c r="Z17">
        <f t="shared" si="6"/>
        <v>1</v>
      </c>
      <c r="AA17">
        <f t="shared" si="7"/>
        <v>1</v>
      </c>
    </row>
    <row r="18" spans="1:27" ht="28.5" customHeight="1" x14ac:dyDescent="0.3">
      <c r="A18" t="s">
        <v>219</v>
      </c>
      <c r="B18" t="str">
        <f>IFERROR(VLOOKUP($A18,'Assessment Matrix'!$A:$W,2,FALSE()),"")</f>
        <v>Model &amp; Provider</v>
      </c>
      <c r="C18" t="str">
        <f>IFERROR(VLOOKUP($A18,'Assessment Matrix'!$A:$W,5,FALSE()),"")</f>
        <v>Major</v>
      </c>
      <c r="D18">
        <f>IFERROR(VLOOKUP($A18,'Assessment Matrix'!$A:$W,6,FALSE()),0)</f>
        <v>4</v>
      </c>
      <c r="E18" t="str">
        <f>IFERROR(VLOOKUP($A18,'Assessment Matrix'!$A:$W,9,FALSE()),"")</f>
        <v>Yes</v>
      </c>
      <c r="F18" s="8" t="str">
        <f>IFERROR(VLOOKUP($A18,'Assessment Matrix'!$A:$W,4,FALSE()),"")</f>
        <v>Target model version has release notes, lifecycle support, change log, and update/rollback path.</v>
      </c>
      <c r="G18" s="42"/>
      <c r="H18" s="42"/>
      <c r="I18" s="42"/>
      <c r="J18" s="42"/>
      <c r="K18" s="13"/>
      <c r="L18" s="13"/>
      <c r="M18" s="13"/>
      <c r="N18" s="13"/>
      <c r="T18" t="str">
        <f t="shared" si="0"/>
        <v/>
      </c>
      <c r="U18" t="str">
        <f t="shared" si="1"/>
        <v/>
      </c>
      <c r="V18" t="str">
        <f t="shared" si="2"/>
        <v/>
      </c>
      <c r="W18" t="str">
        <f t="shared" si="3"/>
        <v/>
      </c>
      <c r="X18">
        <f t="shared" si="4"/>
        <v>1</v>
      </c>
      <c r="Y18">
        <f t="shared" si="5"/>
        <v>1</v>
      </c>
      <c r="Z18">
        <f t="shared" si="6"/>
        <v>1</v>
      </c>
      <c r="AA18">
        <f t="shared" si="7"/>
        <v>1</v>
      </c>
    </row>
    <row r="19" spans="1:27" ht="28.5" customHeight="1" x14ac:dyDescent="0.3">
      <c r="A19" t="s">
        <v>223</v>
      </c>
      <c r="B19" t="str">
        <f>IFERROR(VLOOKUP($A19,'Assessment Matrix'!$A:$W,2,FALSE()),"")</f>
        <v>Model &amp; Provider</v>
      </c>
      <c r="C19" t="str">
        <f>IFERROR(VLOOKUP($A19,'Assessment Matrix'!$A:$W,5,FALSE()),"")</f>
        <v>Blocker</v>
      </c>
      <c r="D19">
        <f>IFERROR(VLOOKUP($A19,'Assessment Matrix'!$A:$W,6,FALSE()),0)</f>
        <v>5</v>
      </c>
      <c r="E19" t="str">
        <f>IFERROR(VLOOKUP($A19,'Assessment Matrix'!$A:$W,9,FALSE()),"")</f>
        <v>Yes</v>
      </c>
      <c r="F19" s="8" t="str">
        <f>IFERROR(VLOOKUP($A19,'Assessment Matrix'!$A:$W,4,FALSE()),"")</f>
        <v>Terms, license, retention, logging, confidentiality, IP, and acceptable use permit the intended company use.</v>
      </c>
      <c r="G19" s="42"/>
      <c r="H19" s="42"/>
      <c r="I19" s="42"/>
      <c r="J19" s="42"/>
      <c r="K19" s="13"/>
      <c r="L19" s="13"/>
      <c r="M19" s="13"/>
      <c r="N19" s="13"/>
      <c r="T19" t="str">
        <f t="shared" si="0"/>
        <v/>
      </c>
      <c r="U19" t="str">
        <f t="shared" si="1"/>
        <v/>
      </c>
      <c r="V19" t="str">
        <f t="shared" si="2"/>
        <v/>
      </c>
      <c r="W19" t="str">
        <f t="shared" si="3"/>
        <v/>
      </c>
      <c r="X19">
        <f t="shared" si="4"/>
        <v>1</v>
      </c>
      <c r="Y19">
        <f t="shared" si="5"/>
        <v>1</v>
      </c>
      <c r="Z19">
        <f t="shared" si="6"/>
        <v>1</v>
      </c>
      <c r="AA19">
        <f t="shared" si="7"/>
        <v>1</v>
      </c>
    </row>
    <row r="20" spans="1:27" ht="28.5" customHeight="1" x14ac:dyDescent="0.3">
      <c r="A20" t="s">
        <v>227</v>
      </c>
      <c r="B20" t="str">
        <f>IFERROR(VLOOKUP($A20,'Assessment Matrix'!$A:$W,2,FALSE()),"")</f>
        <v>Model &amp; Provider</v>
      </c>
      <c r="C20" t="str">
        <f>IFERROR(VLOOKUP($A20,'Assessment Matrix'!$A:$W,5,FALSE()),"")</f>
        <v>Major</v>
      </c>
      <c r="D20">
        <f>IFERROR(VLOOKUP($A20,'Assessment Matrix'!$A:$W,6,FALSE()),0)</f>
        <v>4</v>
      </c>
      <c r="E20" t="str">
        <f>IFERROR(VLOOKUP($A20,'Assessment Matrix'!$A:$W,9,FALSE()),"")</f>
        <v>Yes</v>
      </c>
      <c r="F20" s="8" t="str">
        <f>IFERROR(VLOOKUP($A20,'Assessment Matrix'!$A:$W,4,FALSE()),"")</f>
        <v>Support, patching, incident notification, and end-of-life commitments match business criticality.</v>
      </c>
      <c r="G20" s="42"/>
      <c r="H20" s="42"/>
      <c r="I20" s="42"/>
      <c r="J20" s="42"/>
      <c r="K20" s="13"/>
      <c r="L20" s="13"/>
      <c r="M20" s="13"/>
      <c r="N20" s="13"/>
      <c r="T20" t="str">
        <f t="shared" si="0"/>
        <v/>
      </c>
      <c r="U20" t="str">
        <f t="shared" si="1"/>
        <v/>
      </c>
      <c r="V20" t="str">
        <f t="shared" si="2"/>
        <v/>
      </c>
      <c r="W20" t="str">
        <f t="shared" si="3"/>
        <v/>
      </c>
      <c r="X20">
        <f t="shared" si="4"/>
        <v>1</v>
      </c>
      <c r="Y20">
        <f t="shared" si="5"/>
        <v>1</v>
      </c>
      <c r="Z20">
        <f t="shared" si="6"/>
        <v>1</v>
      </c>
      <c r="AA20">
        <f t="shared" si="7"/>
        <v>1</v>
      </c>
    </row>
    <row r="21" spans="1:27" ht="42.75" customHeight="1" x14ac:dyDescent="0.3">
      <c r="A21" t="s">
        <v>230</v>
      </c>
      <c r="B21" t="str">
        <f>IFERROR(VLOOKUP($A21,'Assessment Matrix'!$A:$W,2,FALSE()),"")</f>
        <v>Model &amp; Provider</v>
      </c>
      <c r="C21" t="str">
        <f>IFERROR(VLOOKUP($A21,'Assessment Matrix'!$A:$W,5,FALSE()),"")</f>
        <v>Major</v>
      </c>
      <c r="D21">
        <f>IFERROR(VLOOKUP($A21,'Assessment Matrix'!$A:$W,6,FALSE()),0)</f>
        <v>4</v>
      </c>
      <c r="E21" t="str">
        <f>IFERROR(VLOOKUP($A21,'Assessment Matrix'!$A:$W,9,FALSE()),"")</f>
        <v>Yes</v>
      </c>
      <c r="F21" s="8" t="str">
        <f>IFERROR(VLOOKUP($A21,'Assessment Matrix'!$A:$W,4,FALSE()),"")</f>
        <v>Model and provider entities are checked against the company country-risk / sovereignty policy (ownership, development location, substantial contributions); the depth of the review follows the data classification (S3/S4).</v>
      </c>
      <c r="G21" s="42"/>
      <c r="H21" s="42"/>
      <c r="I21" s="42"/>
      <c r="J21" s="42"/>
      <c r="K21" s="13"/>
      <c r="L21" s="13"/>
      <c r="M21" s="13"/>
      <c r="N21" s="13"/>
      <c r="T21" t="str">
        <f t="shared" si="0"/>
        <v/>
      </c>
      <c r="U21" t="str">
        <f t="shared" si="1"/>
        <v/>
      </c>
      <c r="V21" t="str">
        <f t="shared" si="2"/>
        <v/>
      </c>
      <c r="W21" t="str">
        <f t="shared" si="3"/>
        <v/>
      </c>
      <c r="X21">
        <f t="shared" si="4"/>
        <v>1</v>
      </c>
      <c r="Y21">
        <f t="shared" si="5"/>
        <v>1</v>
      </c>
      <c r="Z21">
        <f t="shared" si="6"/>
        <v>1</v>
      </c>
      <c r="AA21">
        <f t="shared" si="7"/>
        <v>1</v>
      </c>
    </row>
    <row r="22" spans="1:27" ht="28.5" customHeight="1" x14ac:dyDescent="0.3">
      <c r="A22" t="s">
        <v>234</v>
      </c>
      <c r="B22" t="str">
        <f>IFERROR(VLOOKUP($A22,'Assessment Matrix'!$A:$W,2,FALSE()),"")</f>
        <v>Architecture &amp; Integration</v>
      </c>
      <c r="C22" t="str">
        <f>IFERROR(VLOOKUP($A22,'Assessment Matrix'!$A:$W,5,FALSE()),"")</f>
        <v>Major</v>
      </c>
      <c r="D22">
        <f>IFERROR(VLOOKUP($A22,'Assessment Matrix'!$A:$W,6,FALSE()),0)</f>
        <v>4</v>
      </c>
      <c r="E22" t="str">
        <f>IFERROR(VLOOKUP($A22,'Assessment Matrix'!$A:$W,9,FALSE()),"")</f>
        <v>Yes</v>
      </c>
      <c r="F22" s="8" t="str">
        <f>IFERROR(VLOOKUP($A22,'Assessment Matrix'!$A:$W,4,FALSE()),"")</f>
        <v>Deployment model, trust boundaries, network paths, data flows, and dependencies are documented and approved.</v>
      </c>
      <c r="G22" s="42"/>
      <c r="H22" s="42"/>
      <c r="I22" s="42"/>
      <c r="J22" s="42"/>
      <c r="K22" s="13"/>
      <c r="L22" s="13"/>
      <c r="M22" s="13"/>
      <c r="N22" s="13"/>
      <c r="T22" t="str">
        <f t="shared" si="0"/>
        <v/>
      </c>
      <c r="U22" t="str">
        <f t="shared" si="1"/>
        <v/>
      </c>
      <c r="V22" t="str">
        <f t="shared" si="2"/>
        <v/>
      </c>
      <c r="W22" t="str">
        <f t="shared" si="3"/>
        <v/>
      </c>
      <c r="X22">
        <f t="shared" si="4"/>
        <v>1</v>
      </c>
      <c r="Y22">
        <f t="shared" si="5"/>
        <v>1</v>
      </c>
      <c r="Z22">
        <f t="shared" si="6"/>
        <v>1</v>
      </c>
      <c r="AA22">
        <f t="shared" si="7"/>
        <v>1</v>
      </c>
    </row>
    <row r="23" spans="1:27" ht="28.5" customHeight="1" x14ac:dyDescent="0.3">
      <c r="A23" t="s">
        <v>238</v>
      </c>
      <c r="B23" t="str">
        <f>IFERROR(VLOOKUP($A23,'Assessment Matrix'!$A:$W,2,FALSE()),"")</f>
        <v>Architecture &amp; Integration</v>
      </c>
      <c r="C23" t="str">
        <f>IFERROR(VLOOKUP($A23,'Assessment Matrix'!$A:$W,5,FALSE()),"")</f>
        <v>Blocker</v>
      </c>
      <c r="D23">
        <f>IFERROR(VLOOKUP($A23,'Assessment Matrix'!$A:$W,6,FALSE()),0)</f>
        <v>5</v>
      </c>
      <c r="E23" t="str">
        <f>IFERROR(VLOOKUP($A23,'Assessment Matrix'!$A:$W,9,FALSE()),"")</f>
        <v>Yes</v>
      </c>
      <c r="F23" s="8" t="str">
        <f>IFERROR(VLOOKUP($A23,'Assessment Matrix'!$A:$W,4,FALSE()),"")</f>
        <v>Runtime, tools, containers, and integrations follow least privilege and do not require avoidable root, broad Linux capabilities, or broad credentials.</v>
      </c>
      <c r="G23" s="42"/>
      <c r="H23" s="42"/>
      <c r="I23" s="42"/>
      <c r="J23" s="42"/>
      <c r="K23" s="13"/>
      <c r="L23" s="13"/>
      <c r="M23" s="13"/>
      <c r="N23" s="13"/>
      <c r="T23" t="str">
        <f t="shared" si="0"/>
        <v/>
      </c>
      <c r="U23" t="str">
        <f t="shared" si="1"/>
        <v/>
      </c>
      <c r="V23" t="str">
        <f t="shared" si="2"/>
        <v/>
      </c>
      <c r="W23" t="str">
        <f t="shared" si="3"/>
        <v/>
      </c>
      <c r="X23">
        <f t="shared" si="4"/>
        <v>1</v>
      </c>
      <c r="Y23">
        <f t="shared" si="5"/>
        <v>1</v>
      </c>
      <c r="Z23">
        <f t="shared" si="6"/>
        <v>1</v>
      </c>
      <c r="AA23">
        <f t="shared" si="7"/>
        <v>1</v>
      </c>
    </row>
    <row r="24" spans="1:27" ht="28.5" customHeight="1" x14ac:dyDescent="0.3">
      <c r="A24" t="s">
        <v>242</v>
      </c>
      <c r="B24" t="str">
        <f>IFERROR(VLOOKUP($A24,'Assessment Matrix'!$A:$W,2,FALSE()),"")</f>
        <v>Architecture &amp; Integration</v>
      </c>
      <c r="C24" t="str">
        <f>IFERROR(VLOOKUP($A24,'Assessment Matrix'!$A:$W,5,FALSE()),"")</f>
        <v>Blocker</v>
      </c>
      <c r="D24">
        <f>IFERROR(VLOOKUP($A24,'Assessment Matrix'!$A:$W,6,FALSE()),0)</f>
        <v>5</v>
      </c>
      <c r="E24" t="str">
        <f>IFERROR(VLOOKUP($A24,'Assessment Matrix'!$A:$W,9,FALSE()),"")</f>
        <v>Yes</v>
      </c>
      <c r="F24" s="8" t="str">
        <f>IFERROR(VLOOKUP($A24,'Assessment Matrix'!$A:$W,4,FALSE()),"")</f>
        <v>Authentication, authorization, tenant/user segregation, and privileged admin access are defined and tested.</v>
      </c>
      <c r="G24" s="42"/>
      <c r="H24" s="42"/>
      <c r="I24" s="42"/>
      <c r="J24" s="42"/>
      <c r="K24" s="13"/>
      <c r="L24" s="13"/>
      <c r="M24" s="13"/>
      <c r="N24" s="13"/>
      <c r="T24" t="str">
        <f t="shared" si="0"/>
        <v/>
      </c>
      <c r="U24" t="str">
        <f t="shared" si="1"/>
        <v/>
      </c>
      <c r="V24" t="str">
        <f t="shared" si="2"/>
        <v/>
      </c>
      <c r="W24" t="str">
        <f t="shared" si="3"/>
        <v/>
      </c>
      <c r="X24">
        <f t="shared" si="4"/>
        <v>1</v>
      </c>
      <c r="Y24">
        <f t="shared" si="5"/>
        <v>1</v>
      </c>
      <c r="Z24">
        <f t="shared" si="6"/>
        <v>1</v>
      </c>
      <c r="AA24">
        <f t="shared" si="7"/>
        <v>1</v>
      </c>
    </row>
    <row r="25" spans="1:27" ht="28.5" customHeight="1" x14ac:dyDescent="0.3">
      <c r="A25" t="s">
        <v>245</v>
      </c>
      <c r="B25" t="str">
        <f>IFERROR(VLOOKUP($A25,'Assessment Matrix'!$A:$W,2,FALSE()),"")</f>
        <v>Architecture &amp; Integration</v>
      </c>
      <c r="C25" t="str">
        <f>IFERROR(VLOOKUP($A25,'Assessment Matrix'!$A:$W,5,FALSE()),"")</f>
        <v>Blocker</v>
      </c>
      <c r="D25">
        <f>IFERROR(VLOOKUP($A25,'Assessment Matrix'!$A:$W,6,FALSE()),0)</f>
        <v>5</v>
      </c>
      <c r="E25" t="str">
        <f>IFERROR(VLOOKUP($A25,'Assessment Matrix'!$A:$W,9,FALSE()),"")</f>
        <v>Yes</v>
      </c>
      <c r="F25" s="8" t="str">
        <f>IFERROR(VLOOKUP($A25,'Assessment Matrix'!$A:$W,4,FALSE()),"")</f>
        <v>Secrets, credentials, tokens, and sensitive system prompts are not exposed to user-controllable context or model output.</v>
      </c>
      <c r="G25" s="42"/>
      <c r="H25" s="42"/>
      <c r="I25" s="42"/>
      <c r="J25" s="42"/>
      <c r="K25" s="13"/>
      <c r="L25" s="13"/>
      <c r="M25" s="13"/>
      <c r="N25" s="13"/>
      <c r="T25" t="str">
        <f t="shared" si="0"/>
        <v/>
      </c>
      <c r="U25" t="str">
        <f t="shared" si="1"/>
        <v/>
      </c>
      <c r="V25" t="str">
        <f t="shared" si="2"/>
        <v/>
      </c>
      <c r="W25" t="str">
        <f t="shared" si="3"/>
        <v/>
      </c>
      <c r="X25">
        <f t="shared" si="4"/>
        <v>1</v>
      </c>
      <c r="Y25">
        <f t="shared" si="5"/>
        <v>1</v>
      </c>
      <c r="Z25">
        <f t="shared" si="6"/>
        <v>1</v>
      </c>
      <c r="AA25">
        <f t="shared" si="7"/>
        <v>1</v>
      </c>
    </row>
    <row r="26" spans="1:27" ht="28.5" customHeight="1" x14ac:dyDescent="0.3">
      <c r="A26" t="s">
        <v>248</v>
      </c>
      <c r="B26" t="str">
        <f>IFERROR(VLOOKUP($A26,'Assessment Matrix'!$A:$W,2,FALSE()),"")</f>
        <v>Architecture &amp; Integration</v>
      </c>
      <c r="C26" t="str">
        <f>IFERROR(VLOOKUP($A26,'Assessment Matrix'!$A:$W,5,FALSE()),"")</f>
        <v>Blocker</v>
      </c>
      <c r="D26">
        <f>IFERROR(VLOOKUP($A26,'Assessment Matrix'!$A:$W,6,FALSE()),0)</f>
        <v>5</v>
      </c>
      <c r="E26" t="str">
        <f>IFERROR(VLOOKUP($A26,'Assessment Matrix'!$A:$W,9,FALSE()),"")</f>
        <v>Yes</v>
      </c>
      <c r="F26" s="8" t="str">
        <f>IFERROR(VLOOKUP($A26,'Assessment Matrix'!$A:$W,4,FALSE()),"")</f>
        <v>Retrieval data is scoped to user entitlements and protected against cross-tenant or cross-project leakage.</v>
      </c>
      <c r="G26" s="42"/>
      <c r="H26" s="42"/>
      <c r="I26" s="42"/>
      <c r="J26" s="42"/>
      <c r="K26" s="13"/>
      <c r="L26" s="13"/>
      <c r="M26" s="13"/>
      <c r="N26" s="13"/>
      <c r="T26" t="str">
        <f t="shared" si="0"/>
        <v/>
      </c>
      <c r="U26" t="str">
        <f t="shared" si="1"/>
        <v/>
      </c>
      <c r="V26" t="str">
        <f t="shared" si="2"/>
        <v/>
      </c>
      <c r="W26" t="str">
        <f t="shared" si="3"/>
        <v/>
      </c>
      <c r="X26">
        <f t="shared" si="4"/>
        <v>1</v>
      </c>
      <c r="Y26">
        <f t="shared" si="5"/>
        <v>1</v>
      </c>
      <c r="Z26">
        <f t="shared" si="6"/>
        <v>1</v>
      </c>
      <c r="AA26">
        <f t="shared" si="7"/>
        <v>1</v>
      </c>
    </row>
    <row r="27" spans="1:27" ht="28.5" customHeight="1" x14ac:dyDescent="0.3">
      <c r="A27" t="s">
        <v>252</v>
      </c>
      <c r="B27" t="str">
        <f>IFERROR(VLOOKUP($A27,'Assessment Matrix'!$A:$W,2,FALSE()),"")</f>
        <v>Architecture &amp; Integration</v>
      </c>
      <c r="C27" t="str">
        <f>IFERROR(VLOOKUP($A27,'Assessment Matrix'!$A:$W,5,FALSE()),"")</f>
        <v>Blocker</v>
      </c>
      <c r="D27">
        <f>IFERROR(VLOOKUP($A27,'Assessment Matrix'!$A:$W,6,FALSE()),0)</f>
        <v>5</v>
      </c>
      <c r="E27" t="str">
        <f>IFERROR(VLOOKUP($A27,'Assessment Matrix'!$A:$W,9,FALSE()),"")</f>
        <v>Yes</v>
      </c>
      <c r="F27" s="8" t="str">
        <f>IFERROR(VLOOKUP($A27,'Assessment Matrix'!$A:$W,4,FALSE()),"")</f>
        <v>Outputs are treated as untrusted and validated/sandboxed before execution, rendering, or downstream action.</v>
      </c>
      <c r="G27" s="42"/>
      <c r="H27" s="42"/>
      <c r="I27" s="42"/>
      <c r="J27" s="42"/>
      <c r="K27" s="13"/>
      <c r="L27" s="13"/>
      <c r="M27" s="13"/>
      <c r="N27" s="13"/>
      <c r="T27" t="str">
        <f t="shared" si="0"/>
        <v/>
      </c>
      <c r="U27" t="str">
        <f t="shared" si="1"/>
        <v/>
      </c>
      <c r="V27" t="str">
        <f t="shared" si="2"/>
        <v/>
      </c>
      <c r="W27" t="str">
        <f t="shared" si="3"/>
        <v/>
      </c>
      <c r="X27">
        <f t="shared" si="4"/>
        <v>1</v>
      </c>
      <c r="Y27">
        <f t="shared" si="5"/>
        <v>1</v>
      </c>
      <c r="Z27">
        <f t="shared" si="6"/>
        <v>1</v>
      </c>
      <c r="AA27">
        <f t="shared" si="7"/>
        <v>1</v>
      </c>
    </row>
    <row r="28" spans="1:27" ht="42.75" customHeight="1" x14ac:dyDescent="0.3">
      <c r="A28" t="s">
        <v>257</v>
      </c>
      <c r="B28" t="str">
        <f>IFERROR(VLOOKUP($A28,'Assessment Matrix'!$A:$W,2,FALSE()),"")</f>
        <v>Architecture &amp; Integration</v>
      </c>
      <c r="C28" t="str">
        <f>IFERROR(VLOOKUP($A28,'Assessment Matrix'!$A:$W,5,FALSE()),"")</f>
        <v>Blocker</v>
      </c>
      <c r="D28">
        <f>IFERROR(VLOOKUP($A28,'Assessment Matrix'!$A:$W,6,FALSE()),0)</f>
        <v>5</v>
      </c>
      <c r="E28" t="str">
        <f>IFERROR(VLOOKUP($A28,'Assessment Matrix'!$A:$W,9,FALSE()),"")</f>
        <v>Yes</v>
      </c>
      <c r="F28" s="8" t="str">
        <f>IFERROR(VLOOKUP($A28,'Assessment Matrix'!$A:$W,4,FALSE()),"")</f>
        <v>If deployed in or adjacent to production/OT environments: OT networks and safety functions are segregated, and the system has no unvalidated write path into control systems.</v>
      </c>
      <c r="G28" s="42"/>
      <c r="H28" s="42"/>
      <c r="I28" s="42"/>
      <c r="J28" s="42"/>
      <c r="K28" s="13"/>
      <c r="L28" s="13"/>
      <c r="M28" s="13"/>
      <c r="N28" s="13"/>
      <c r="T28" t="str">
        <f t="shared" si="0"/>
        <v/>
      </c>
      <c r="U28" t="str">
        <f t="shared" si="1"/>
        <v/>
      </c>
      <c r="V28" t="str">
        <f t="shared" si="2"/>
        <v/>
      </c>
      <c r="W28" t="str">
        <f t="shared" si="3"/>
        <v/>
      </c>
      <c r="X28">
        <f t="shared" si="4"/>
        <v>1</v>
      </c>
      <c r="Y28">
        <f t="shared" si="5"/>
        <v>1</v>
      </c>
      <c r="Z28">
        <f t="shared" si="6"/>
        <v>1</v>
      </c>
      <c r="AA28">
        <f t="shared" si="7"/>
        <v>1</v>
      </c>
    </row>
    <row r="29" spans="1:27" ht="28.5" customHeight="1" x14ac:dyDescent="0.3">
      <c r="A29" t="s">
        <v>261</v>
      </c>
      <c r="B29" t="str">
        <f>IFERROR(VLOOKUP($A29,'Assessment Matrix'!$A:$W,2,FALSE()),"")</f>
        <v>Architecture &amp; Integration</v>
      </c>
      <c r="C29" t="str">
        <f>IFERROR(VLOOKUP($A29,'Assessment Matrix'!$A:$W,5,FALSE()),"")</f>
        <v>Blocker</v>
      </c>
      <c r="D29">
        <f>IFERROR(VLOOKUP($A29,'Assessment Matrix'!$A:$W,6,FALSE()),0)</f>
        <v>5</v>
      </c>
      <c r="E29" t="str">
        <f>IFERROR(VLOOKUP($A29,'Assessment Matrix'!$A:$W,9,FALSE()),"")</f>
        <v>Yes</v>
      </c>
      <c r="F29" s="8" t="str">
        <f>IFERROR(VLOOKUP($A29,'Assessment Matrix'!$A:$W,4,FALSE()),"")</f>
        <v>Conversational context and session state are isolated between users, sessions, and tenants; no cross-session leakage of prompts, history, or retrieved content.</v>
      </c>
      <c r="G29" s="42"/>
      <c r="H29" s="42"/>
      <c r="I29" s="42"/>
      <c r="J29" s="42"/>
      <c r="K29" s="13"/>
      <c r="L29" s="13"/>
      <c r="M29" s="13"/>
      <c r="N29" s="13"/>
      <c r="T29" t="str">
        <f t="shared" si="0"/>
        <v/>
      </c>
      <c r="U29" t="str">
        <f t="shared" si="1"/>
        <v/>
      </c>
      <c r="V29" t="str">
        <f t="shared" si="2"/>
        <v/>
      </c>
      <c r="W29" t="str">
        <f t="shared" si="3"/>
        <v/>
      </c>
      <c r="X29">
        <f t="shared" si="4"/>
        <v>1</v>
      </c>
      <c r="Y29">
        <f t="shared" si="5"/>
        <v>1</v>
      </c>
      <c r="Z29">
        <f t="shared" si="6"/>
        <v>1</v>
      </c>
      <c r="AA29">
        <f t="shared" si="7"/>
        <v>1</v>
      </c>
    </row>
    <row r="30" spans="1:27" ht="42.75" customHeight="1" x14ac:dyDescent="0.3">
      <c r="A30" t="s">
        <v>264</v>
      </c>
      <c r="B30" t="str">
        <f>IFERROR(VLOOKUP($A30,'Assessment Matrix'!$A:$W,2,FALSE()),"")</f>
        <v>Architecture &amp; Integration</v>
      </c>
      <c r="C30" t="str">
        <f>IFERROR(VLOOKUP($A30,'Assessment Matrix'!$A:$W,5,FALSE()),"")</f>
        <v>Major</v>
      </c>
      <c r="D30">
        <f>IFERROR(VLOOKUP($A30,'Assessment Matrix'!$A:$W,6,FALSE()),0)</f>
        <v>4</v>
      </c>
      <c r="E30" t="str">
        <f>IFERROR(VLOOKUP($A30,'Assessment Matrix'!$A:$W,9,FALSE()),"")</f>
        <v>Yes</v>
      </c>
      <c r="F30" s="8" t="str">
        <f>IFERROR(VLOOKUP($A30,'Assessment Matrix'!$A:$W,4,FALSE()),"")</f>
        <v>Sensitive data is technically redacted, tokenized, or minimized (PII/secret scrubbing, DLP rules) before content leaves the trust boundary toward external providers or tools.</v>
      </c>
      <c r="G30" s="42"/>
      <c r="H30" s="42"/>
      <c r="I30" s="42"/>
      <c r="J30" s="42"/>
      <c r="K30" s="13"/>
      <c r="L30" s="13"/>
      <c r="M30" s="13"/>
      <c r="N30" s="13"/>
      <c r="T30" t="str">
        <f t="shared" si="0"/>
        <v/>
      </c>
      <c r="U30" t="str">
        <f t="shared" si="1"/>
        <v/>
      </c>
      <c r="V30" t="str">
        <f t="shared" si="2"/>
        <v/>
      </c>
      <c r="W30" t="str">
        <f t="shared" si="3"/>
        <v/>
      </c>
      <c r="X30">
        <f t="shared" si="4"/>
        <v>1</v>
      </c>
      <c r="Y30">
        <f t="shared" si="5"/>
        <v>1</v>
      </c>
      <c r="Z30">
        <f t="shared" si="6"/>
        <v>1</v>
      </c>
      <c r="AA30">
        <f t="shared" si="7"/>
        <v>1</v>
      </c>
    </row>
    <row r="31" spans="1:27" ht="28.5" customHeight="1" x14ac:dyDescent="0.3">
      <c r="A31" t="s">
        <v>269</v>
      </c>
      <c r="B31" t="str">
        <f>IFERROR(VLOOKUP($A31,'Assessment Matrix'!$A:$W,2,FALSE()),"")</f>
        <v>LLM-Specific Threats</v>
      </c>
      <c r="C31" t="str">
        <f>IFERROR(VLOOKUP($A31,'Assessment Matrix'!$A:$W,5,FALSE()),"")</f>
        <v>Major</v>
      </c>
      <c r="D31">
        <f>IFERROR(VLOOKUP($A31,'Assessment Matrix'!$A:$W,6,FALSE()),0)</f>
        <v>4</v>
      </c>
      <c r="E31" t="str">
        <f>IFERROR(VLOOKUP($A31,'Assessment Matrix'!$A:$W,9,FALSE()),"")</f>
        <v>Yes</v>
      </c>
      <c r="F31" s="8" t="str">
        <f>IFERROR(VLOOKUP($A31,'Assessment Matrix'!$A:$W,4,FALSE()),"")</f>
        <v>Prompt injection and jailbreak testing is performed against the actual use case, prompts, tools, and data.</v>
      </c>
      <c r="G31" s="42"/>
      <c r="H31" s="42"/>
      <c r="I31" s="42"/>
      <c r="J31" s="42"/>
      <c r="K31" s="13"/>
      <c r="L31" s="13"/>
      <c r="M31" s="13"/>
      <c r="N31" s="13"/>
      <c r="T31" t="str">
        <f t="shared" si="0"/>
        <v/>
      </c>
      <c r="U31" t="str">
        <f t="shared" si="1"/>
        <v/>
      </c>
      <c r="V31" t="str">
        <f t="shared" si="2"/>
        <v/>
      </c>
      <c r="W31" t="str">
        <f t="shared" si="3"/>
        <v/>
      </c>
      <c r="X31">
        <f t="shared" si="4"/>
        <v>1</v>
      </c>
      <c r="Y31">
        <f t="shared" si="5"/>
        <v>1</v>
      </c>
      <c r="Z31">
        <f t="shared" si="6"/>
        <v>1</v>
      </c>
      <c r="AA31">
        <f t="shared" si="7"/>
        <v>1</v>
      </c>
    </row>
    <row r="32" spans="1:27" ht="28.5" customHeight="1" x14ac:dyDescent="0.3">
      <c r="A32" t="s">
        <v>274</v>
      </c>
      <c r="B32" t="str">
        <f>IFERROR(VLOOKUP($A32,'Assessment Matrix'!$A:$W,2,FALSE()),"")</f>
        <v>LLM-Specific Threats</v>
      </c>
      <c r="C32" t="str">
        <f>IFERROR(VLOOKUP($A32,'Assessment Matrix'!$A:$W,5,FALSE()),"")</f>
        <v>Blocker</v>
      </c>
      <c r="D32">
        <f>IFERROR(VLOOKUP($A32,'Assessment Matrix'!$A:$W,6,FALSE()),0)</f>
        <v>5</v>
      </c>
      <c r="E32" t="str">
        <f>IFERROR(VLOOKUP($A32,'Assessment Matrix'!$A:$W,9,FALSE()),"")</f>
        <v>Yes</v>
      </c>
      <c r="F32" s="8" t="str">
        <f>IFERROR(VLOOKUP($A32,'Assessment Matrix'!$A:$W,4,FALSE()),"")</f>
        <v>Insecure output handling controls are implemented for code, markup, links, files, commands, and structured data.</v>
      </c>
      <c r="G32" s="42"/>
      <c r="H32" s="42"/>
      <c r="I32" s="42"/>
      <c r="J32" s="42"/>
      <c r="K32" s="13"/>
      <c r="L32" s="13"/>
      <c r="M32" s="13"/>
      <c r="N32" s="13"/>
      <c r="T32" t="str">
        <f t="shared" si="0"/>
        <v/>
      </c>
      <c r="U32" t="str">
        <f t="shared" si="1"/>
        <v/>
      </c>
      <c r="V32" t="str">
        <f t="shared" si="2"/>
        <v/>
      </c>
      <c r="W32" t="str">
        <f t="shared" si="3"/>
        <v/>
      </c>
      <c r="X32">
        <f t="shared" si="4"/>
        <v>1</v>
      </c>
      <c r="Y32">
        <f t="shared" si="5"/>
        <v>1</v>
      </c>
      <c r="Z32">
        <f t="shared" si="6"/>
        <v>1</v>
      </c>
      <c r="AA32">
        <f t="shared" si="7"/>
        <v>1</v>
      </c>
    </row>
    <row r="33" spans="1:27" ht="28.5" customHeight="1" x14ac:dyDescent="0.3">
      <c r="A33" t="s">
        <v>278</v>
      </c>
      <c r="B33" t="str">
        <f>IFERROR(VLOOKUP($A33,'Assessment Matrix'!$A:$W,2,FALSE()),"")</f>
        <v>LLM-Specific Threats</v>
      </c>
      <c r="C33" t="str">
        <f>IFERROR(VLOOKUP($A33,'Assessment Matrix'!$A:$W,5,FALSE()),"")</f>
        <v>Major</v>
      </c>
      <c r="D33">
        <f>IFERROR(VLOOKUP($A33,'Assessment Matrix'!$A:$W,6,FALSE()),0)</f>
        <v>4</v>
      </c>
      <c r="E33" t="str">
        <f>IFERROR(VLOOKUP($A33,'Assessment Matrix'!$A:$W,9,FALSE()),"")</f>
        <v>Yes</v>
      </c>
      <c r="F33" s="8" t="str">
        <f>IFERROR(VLOOKUP($A33,'Assessment Matrix'!$A:$W,4,FALSE()),"")</f>
        <v>Training, fine-tuning, embedding, and retrieval data poisoning risks are assessed and mitigated.</v>
      </c>
      <c r="G33" s="42"/>
      <c r="H33" s="42"/>
      <c r="I33" s="42"/>
      <c r="J33" s="42"/>
      <c r="K33" s="13"/>
      <c r="L33" s="13"/>
      <c r="M33" s="13"/>
      <c r="N33" s="13"/>
      <c r="T33" t="str">
        <f t="shared" si="0"/>
        <v/>
      </c>
      <c r="U33" t="str">
        <f t="shared" si="1"/>
        <v/>
      </c>
      <c r="V33" t="str">
        <f t="shared" si="2"/>
        <v/>
      </c>
      <c r="W33" t="str">
        <f t="shared" si="3"/>
        <v/>
      </c>
      <c r="X33">
        <f t="shared" si="4"/>
        <v>1</v>
      </c>
      <c r="Y33">
        <f t="shared" si="5"/>
        <v>1</v>
      </c>
      <c r="Z33">
        <f t="shared" si="6"/>
        <v>1</v>
      </c>
      <c r="AA33">
        <f t="shared" si="7"/>
        <v>1</v>
      </c>
    </row>
    <row r="34" spans="1:27" ht="28.5" customHeight="1" x14ac:dyDescent="0.3">
      <c r="A34" t="s">
        <v>282</v>
      </c>
      <c r="B34" t="str">
        <f>IFERROR(VLOOKUP($A34,'Assessment Matrix'!$A:$W,2,FALSE()),"")</f>
        <v>LLM-Specific Threats</v>
      </c>
      <c r="C34" t="str">
        <f>IFERROR(VLOOKUP($A34,'Assessment Matrix'!$A:$W,5,FALSE()),"")</f>
        <v>Major</v>
      </c>
      <c r="D34">
        <f>IFERROR(VLOOKUP($A34,'Assessment Matrix'!$A:$W,6,FALSE()),0)</f>
        <v>4</v>
      </c>
      <c r="E34" t="str">
        <f>IFERROR(VLOOKUP($A34,'Assessment Matrix'!$A:$W,9,FALSE()),"")</f>
        <v>Yes</v>
      </c>
      <c r="F34" s="8" t="str">
        <f>IFERROR(VLOOKUP($A34,'Assessment Matrix'!$A:$W,4,FALSE()),"")</f>
        <v>Rate limiting, quota, token/cost controls, abuse throttling, and model denial-of-service protections exist.</v>
      </c>
      <c r="G34" s="42"/>
      <c r="H34" s="42"/>
      <c r="I34" s="42"/>
      <c r="J34" s="42"/>
      <c r="K34" s="13"/>
      <c r="L34" s="13"/>
      <c r="M34" s="13"/>
      <c r="N34" s="13"/>
      <c r="T34" t="str">
        <f t="shared" si="0"/>
        <v/>
      </c>
      <c r="U34" t="str">
        <f t="shared" si="1"/>
        <v/>
      </c>
      <c r="V34" t="str">
        <f t="shared" si="2"/>
        <v/>
      </c>
      <c r="W34" t="str">
        <f t="shared" si="3"/>
        <v/>
      </c>
      <c r="X34">
        <f t="shared" si="4"/>
        <v>1</v>
      </c>
      <c r="Y34">
        <f t="shared" si="5"/>
        <v>1</v>
      </c>
      <c r="Z34">
        <f t="shared" si="6"/>
        <v>1</v>
      </c>
      <c r="AA34">
        <f t="shared" si="7"/>
        <v>1</v>
      </c>
    </row>
    <row r="35" spans="1:27" ht="28.5" customHeight="1" x14ac:dyDescent="0.3">
      <c r="A35" t="s">
        <v>286</v>
      </c>
      <c r="B35" t="str">
        <f>IFERROR(VLOOKUP($A35,'Assessment Matrix'!$A:$W,2,FALSE()),"")</f>
        <v>LLM-Specific Threats</v>
      </c>
      <c r="C35" t="str">
        <f>IFERROR(VLOOKUP($A35,'Assessment Matrix'!$A:$W,5,FALSE()),"")</f>
        <v>Blocker</v>
      </c>
      <c r="D35">
        <f>IFERROR(VLOOKUP($A35,'Assessment Matrix'!$A:$W,6,FALSE()),0)</f>
        <v>5</v>
      </c>
      <c r="E35" t="str">
        <f>IFERROR(VLOOKUP($A35,'Assessment Matrix'!$A:$W,9,FALSE()),"")</f>
        <v>Yes</v>
      </c>
      <c r="F35" s="8" t="str">
        <f>IFERROR(VLOOKUP($A35,'Assessment Matrix'!$A:$W,4,FALSE()),"")</f>
        <v>Sensitive information disclosure testing covers prompt leakage, training data extraction, RAG leakage, and logs.</v>
      </c>
      <c r="G35" s="42"/>
      <c r="H35" s="42"/>
      <c r="I35" s="42"/>
      <c r="J35" s="42"/>
      <c r="K35" s="13"/>
      <c r="L35" s="13"/>
      <c r="M35" s="13"/>
      <c r="N35" s="13"/>
      <c r="T35" t="str">
        <f t="shared" si="0"/>
        <v/>
      </c>
      <c r="U35" t="str">
        <f t="shared" si="1"/>
        <v/>
      </c>
      <c r="V35" t="str">
        <f t="shared" si="2"/>
        <v/>
      </c>
      <c r="W35" t="str">
        <f t="shared" si="3"/>
        <v/>
      </c>
      <c r="X35">
        <f t="shared" si="4"/>
        <v>1</v>
      </c>
      <c r="Y35">
        <f t="shared" si="5"/>
        <v>1</v>
      </c>
      <c r="Z35">
        <f t="shared" si="6"/>
        <v>1</v>
      </c>
      <c r="AA35">
        <f t="shared" si="7"/>
        <v>1</v>
      </c>
    </row>
    <row r="36" spans="1:27" ht="28.5" customHeight="1" x14ac:dyDescent="0.3">
      <c r="A36" t="s">
        <v>290</v>
      </c>
      <c r="B36" t="str">
        <f>IFERROR(VLOOKUP($A36,'Assessment Matrix'!$A:$W,2,FALSE()),"")</f>
        <v>LLM-Specific Threats</v>
      </c>
      <c r="C36" t="str">
        <f>IFERROR(VLOOKUP($A36,'Assessment Matrix'!$A:$W,5,FALSE()),"")</f>
        <v>Blocker</v>
      </c>
      <c r="D36">
        <f>IFERROR(VLOOKUP($A36,'Assessment Matrix'!$A:$W,6,FALSE()),0)</f>
        <v>5</v>
      </c>
      <c r="E36" t="str">
        <f>IFERROR(VLOOKUP($A36,'Assessment Matrix'!$A:$W,9,FALSE()),"")</f>
        <v>Yes</v>
      </c>
      <c r="F36" s="8" t="str">
        <f>IFERROR(VLOOKUP($A36,'Assessment Matrix'!$A:$W,4,FALSE()),"")</f>
        <v>Tool and agent actions are constrained, logged, policy-checked, and require confirmation for material actions.</v>
      </c>
      <c r="G36" s="42"/>
      <c r="H36" s="42"/>
      <c r="I36" s="42"/>
      <c r="J36" s="42"/>
      <c r="K36" s="13"/>
      <c r="L36" s="13"/>
      <c r="M36" s="13"/>
      <c r="N36" s="13"/>
      <c r="T36" t="str">
        <f t="shared" si="0"/>
        <v/>
      </c>
      <c r="U36" t="str">
        <f t="shared" si="1"/>
        <v/>
      </c>
      <c r="V36" t="str">
        <f t="shared" si="2"/>
        <v/>
      </c>
      <c r="W36" t="str">
        <f t="shared" si="3"/>
        <v/>
      </c>
      <c r="X36">
        <f t="shared" si="4"/>
        <v>1</v>
      </c>
      <c r="Y36">
        <f t="shared" si="5"/>
        <v>1</v>
      </c>
      <c r="Z36">
        <f t="shared" si="6"/>
        <v>1</v>
      </c>
      <c r="AA36">
        <f t="shared" si="7"/>
        <v>1</v>
      </c>
    </row>
    <row r="37" spans="1:27" ht="28.5" customHeight="1" x14ac:dyDescent="0.3">
      <c r="A37" t="s">
        <v>295</v>
      </c>
      <c r="B37" t="str">
        <f>IFERROR(VLOOKUP($A37,'Assessment Matrix'!$A:$W,2,FALSE()),"")</f>
        <v>LLM-Specific Threats</v>
      </c>
      <c r="C37" t="str">
        <f>IFERROR(VLOOKUP($A37,'Assessment Matrix'!$A:$W,5,FALSE()),"")</f>
        <v>Major</v>
      </c>
      <c r="D37">
        <f>IFERROR(VLOOKUP($A37,'Assessment Matrix'!$A:$W,6,FALSE()),0)</f>
        <v>4</v>
      </c>
      <c r="E37" t="str">
        <f>IFERROR(VLOOKUP($A37,'Assessment Matrix'!$A:$W,9,FALSE()),"")</f>
        <v>Yes</v>
      </c>
      <c r="F37" s="8" t="str">
        <f>IFERROR(VLOOKUP($A37,'Assessment Matrix'!$A:$W,4,FALSE()),"")</f>
        <v>Quality and safety evaluations cover hallucination, prohibited content, bias/fairness where relevant, and domain accuracy.</v>
      </c>
      <c r="G37" s="42"/>
      <c r="H37" s="42"/>
      <c r="I37" s="42"/>
      <c r="J37" s="42"/>
      <c r="K37" s="13"/>
      <c r="L37" s="13"/>
      <c r="M37" s="13"/>
      <c r="N37" s="13"/>
      <c r="T37" t="str">
        <f t="shared" si="0"/>
        <v/>
      </c>
      <c r="U37" t="str">
        <f t="shared" si="1"/>
        <v/>
      </c>
      <c r="V37" t="str">
        <f t="shared" si="2"/>
        <v/>
      </c>
      <c r="W37" t="str">
        <f t="shared" si="3"/>
        <v/>
      </c>
      <c r="X37">
        <f t="shared" si="4"/>
        <v>1</v>
      </c>
      <c r="Y37">
        <f t="shared" si="5"/>
        <v>1</v>
      </c>
      <c r="Z37">
        <f t="shared" si="6"/>
        <v>1</v>
      </c>
      <c r="AA37">
        <f t="shared" si="7"/>
        <v>1</v>
      </c>
    </row>
    <row r="38" spans="1:27" ht="57" customHeight="1" x14ac:dyDescent="0.3">
      <c r="A38" t="s">
        <v>298</v>
      </c>
      <c r="B38" t="str">
        <f>IFERROR(VLOOKUP($A38,'Assessment Matrix'!$A:$W,2,FALSE()),"")</f>
        <v>LLM-Specific Threats</v>
      </c>
      <c r="C38" t="str">
        <f>IFERROR(VLOOKUP($A38,'Assessment Matrix'!$A:$W,5,FALSE()),"")</f>
        <v>Major</v>
      </c>
      <c r="D38">
        <f>IFERROR(VLOOKUP($A38,'Assessment Matrix'!$A:$W,6,FALSE()),0)</f>
        <v>4</v>
      </c>
      <c r="E38" t="str">
        <f>IFERROR(VLOOKUP($A38,'Assessment Matrix'!$A:$W,9,FALSE()),"")</f>
        <v>Yes</v>
      </c>
      <c r="F38" s="8" t="str">
        <f>IFERROR(VLOOKUP($A38,'Assessment Matrix'!$A:$W,4,FALSE()),"")</f>
        <v>Adversarial testing covers transformations that may bypass policy controls wherever guardrails or content filters are relied upon: encoding and obfuscation, Unicode and homoglyphs, multilingual reformulation, canonicalization and tokenization effects.</v>
      </c>
      <c r="G38" s="42"/>
      <c r="H38" s="42"/>
      <c r="I38" s="42"/>
      <c r="J38" s="42"/>
      <c r="K38" s="13"/>
      <c r="L38" s="13"/>
      <c r="M38" s="13"/>
      <c r="N38" s="13"/>
      <c r="T38" t="str">
        <f t="shared" si="0"/>
        <v/>
      </c>
      <c r="U38" t="str">
        <f t="shared" si="1"/>
        <v/>
      </c>
      <c r="V38" t="str">
        <f t="shared" si="2"/>
        <v/>
      </c>
      <c r="W38" t="str">
        <f t="shared" si="3"/>
        <v/>
      </c>
      <c r="X38">
        <f t="shared" si="4"/>
        <v>1</v>
      </c>
      <c r="Y38">
        <f t="shared" si="5"/>
        <v>1</v>
      </c>
      <c r="Z38">
        <f t="shared" si="6"/>
        <v>1</v>
      </c>
      <c r="AA38">
        <f t="shared" si="7"/>
        <v>1</v>
      </c>
    </row>
    <row r="39" spans="1:27" ht="42.75" customHeight="1" x14ac:dyDescent="0.3">
      <c r="A39" t="s">
        <v>301</v>
      </c>
      <c r="B39" t="str">
        <f>IFERROR(VLOOKUP($A39,'Assessment Matrix'!$A:$W,2,FALSE()),"")</f>
        <v>LLM-Specific Threats</v>
      </c>
      <c r="C39" t="str">
        <f>IFERROR(VLOOKUP($A39,'Assessment Matrix'!$A:$W,5,FALSE()),"")</f>
        <v>Major</v>
      </c>
      <c r="D39">
        <f>IFERROR(VLOOKUP($A39,'Assessment Matrix'!$A:$W,6,FALSE()),0)</f>
        <v>4</v>
      </c>
      <c r="E39" t="str">
        <f>IFERROR(VLOOKUP($A39,'Assessment Matrix'!$A:$W,9,FALSE()),"")</f>
        <v>Yes</v>
      </c>
      <c r="F39" s="8" t="str">
        <f>IFERROR(VLOOKUP($A39,'Assessment Matrix'!$A:$W,4,FALSE()),"")</f>
        <v>Generated code, package names, dependencies, build instructions, and configuration are treated as untrusted and checked against approved registries, provenance information, license policy, and security tooling before use.</v>
      </c>
      <c r="G39" s="42"/>
      <c r="H39" s="42"/>
      <c r="I39" s="42"/>
      <c r="J39" s="42"/>
      <c r="K39" s="13"/>
      <c r="L39" s="13"/>
      <c r="M39" s="13"/>
      <c r="N39" s="13"/>
      <c r="T39" t="str">
        <f t="shared" si="0"/>
        <v/>
      </c>
      <c r="U39" t="str">
        <f t="shared" si="1"/>
        <v/>
      </c>
      <c r="V39" t="str">
        <f t="shared" si="2"/>
        <v/>
      </c>
      <c r="W39" t="str">
        <f t="shared" si="3"/>
        <v/>
      </c>
      <c r="X39">
        <f t="shared" si="4"/>
        <v>1</v>
      </c>
      <c r="Y39">
        <f t="shared" si="5"/>
        <v>1</v>
      </c>
      <c r="Z39">
        <f t="shared" si="6"/>
        <v>1</v>
      </c>
      <c r="AA39">
        <f t="shared" si="7"/>
        <v>1</v>
      </c>
    </row>
    <row r="40" spans="1:27" ht="42.75" customHeight="1" x14ac:dyDescent="0.3">
      <c r="A40" t="s">
        <v>306</v>
      </c>
      <c r="B40" t="str">
        <f>IFERROR(VLOOKUP($A40,'Assessment Matrix'!$A:$W,2,FALSE()),"")</f>
        <v>LLM-Specific Threats</v>
      </c>
      <c r="C40" t="str">
        <f>IFERROR(VLOOKUP($A40,'Assessment Matrix'!$A:$W,5,FALSE()),"")</f>
        <v>Major</v>
      </c>
      <c r="D40">
        <f>IFERROR(VLOOKUP($A40,'Assessment Matrix'!$A:$W,6,FALSE()),0)</f>
        <v>4</v>
      </c>
      <c r="E40" t="str">
        <f>IFERROR(VLOOKUP($A40,'Assessment Matrix'!$A:$W,9,FALSE()),"")</f>
        <v>Yes</v>
      </c>
      <c r="F40" s="8" t="str">
        <f>IFERROR(VLOOKUP($A40,'Assessment Matrix'!$A:$W,4,FALSE()),"")</f>
        <v>A versioned regression suite (prompt set, guardrail bypass attempts, safety and quality evals) is rerun on every model, prompt, retrieval, or guardrail change; failures block rollout.</v>
      </c>
      <c r="G40" s="42"/>
      <c r="H40" s="42"/>
      <c r="I40" s="42"/>
      <c r="J40" s="42"/>
      <c r="K40" s="13"/>
      <c r="L40" s="13"/>
      <c r="M40" s="13"/>
      <c r="N40" s="13"/>
      <c r="T40" t="str">
        <f t="shared" si="0"/>
        <v/>
      </c>
      <c r="U40" t="str">
        <f t="shared" si="1"/>
        <v/>
      </c>
      <c r="V40" t="str">
        <f t="shared" si="2"/>
        <v/>
      </c>
      <c r="W40" t="str">
        <f t="shared" si="3"/>
        <v/>
      </c>
      <c r="X40">
        <f t="shared" si="4"/>
        <v>1</v>
      </c>
      <c r="Y40">
        <f t="shared" si="5"/>
        <v>1</v>
      </c>
      <c r="Z40">
        <f t="shared" si="6"/>
        <v>1</v>
      </c>
      <c r="AA40">
        <f t="shared" si="7"/>
        <v>1</v>
      </c>
    </row>
    <row r="41" spans="1:27" ht="28.5" customHeight="1" x14ac:dyDescent="0.3">
      <c r="A41" t="s">
        <v>310</v>
      </c>
      <c r="B41" t="str">
        <f>IFERROR(VLOOKUP($A41,'Assessment Matrix'!$A:$W,2,FALSE()),"")</f>
        <v>Supply Chain &amp; Vulnerability</v>
      </c>
      <c r="C41" t="str">
        <f>IFERROR(VLOOKUP($A41,'Assessment Matrix'!$A:$W,5,FALSE()),"")</f>
        <v>Major</v>
      </c>
      <c r="D41">
        <f>IFERROR(VLOOKUP($A41,'Assessment Matrix'!$A:$W,6,FALSE()),0)</f>
        <v>4</v>
      </c>
      <c r="E41" t="str">
        <f>IFERROR(VLOOKUP($A41,'Assessment Matrix'!$A:$W,9,FALSE()),"")</f>
        <v>Yes</v>
      </c>
      <c r="F41" s="8" t="str">
        <f>IFERROR(VLOOKUP($A41,'Assessment Matrix'!$A:$W,4,FALSE()),"")</f>
        <v>AI BOM / ML-BOM / SBOM covers model, datasets, dependencies, containers, prompts, plugins/tools, APIs, and licenses.</v>
      </c>
      <c r="G41" s="42"/>
      <c r="H41" s="42"/>
      <c r="I41" s="42"/>
      <c r="J41" s="42"/>
      <c r="K41" s="13"/>
      <c r="L41" s="13"/>
      <c r="M41" s="13"/>
      <c r="N41" s="13"/>
      <c r="T41" t="str">
        <f t="shared" si="0"/>
        <v/>
      </c>
      <c r="U41" t="str">
        <f t="shared" si="1"/>
        <v/>
      </c>
      <c r="V41" t="str">
        <f t="shared" si="2"/>
        <v/>
      </c>
      <c r="W41" t="str">
        <f t="shared" si="3"/>
        <v/>
      </c>
      <c r="X41">
        <f t="shared" si="4"/>
        <v>1</v>
      </c>
      <c r="Y41">
        <f t="shared" si="5"/>
        <v>1</v>
      </c>
      <c r="Z41">
        <f t="shared" si="6"/>
        <v>1</v>
      </c>
      <c r="AA41">
        <f t="shared" si="7"/>
        <v>1</v>
      </c>
    </row>
    <row r="42" spans="1:27" ht="28.5" customHeight="1" x14ac:dyDescent="0.3">
      <c r="A42" t="s">
        <v>314</v>
      </c>
      <c r="B42" t="str">
        <f>IFERROR(VLOOKUP($A42,'Assessment Matrix'!$A:$W,2,FALSE()),"")</f>
        <v>Supply Chain &amp; Vulnerability</v>
      </c>
      <c r="C42" t="str">
        <f>IFERROR(VLOOKUP($A42,'Assessment Matrix'!$A:$W,5,FALSE()),"")</f>
        <v>Major</v>
      </c>
      <c r="D42">
        <f>IFERROR(VLOOKUP($A42,'Assessment Matrix'!$A:$W,6,FALSE()),0)</f>
        <v>4</v>
      </c>
      <c r="E42" t="str">
        <f>IFERROR(VLOOKUP($A42,'Assessment Matrix'!$A:$W,9,FALSE()),"")</f>
        <v>Yes</v>
      </c>
      <c r="F42" s="8" t="str">
        <f>IFERROR(VLOOKUP($A42,'Assessment Matrix'!$A:$W,4,FALSE()),"")</f>
        <v>Artifacts are verifiable: signed containers, checksums, provenance, reproducible release process, or trusted registry.</v>
      </c>
      <c r="G42" s="42"/>
      <c r="H42" s="42"/>
      <c r="I42" s="42"/>
      <c r="J42" s="42"/>
      <c r="K42" s="13"/>
      <c r="L42" s="13"/>
      <c r="M42" s="13"/>
      <c r="N42" s="13"/>
      <c r="T42" t="str">
        <f t="shared" ref="T42:T77" si="8">IFERROR(IF(AND($E42="Yes",G42="N/A",K42&lt;&gt;""),$A42&amp;":"&amp;LEN(K42)&amp;":"&amp;K42,""),$A42&amp;":0:input-fault")</f>
        <v/>
      </c>
      <c r="U42" t="str">
        <f t="shared" ref="U42:U77" si="9">IFERROR(IF(AND($E42="Yes",H42="N/A",L42&lt;&gt;""),$A42&amp;":"&amp;LEN(L42)&amp;":"&amp;L42,""),$A42&amp;":0:input-fault")</f>
        <v/>
      </c>
      <c r="V42" t="str">
        <f t="shared" ref="V42:V77" si="10">IFERROR(IF(AND($E42="Yes",I42="N/A",M42&lt;&gt;""),$A42&amp;":"&amp;LEN(M42)&amp;":"&amp;M42,""),$A42&amp;":0:input-fault")</f>
        <v/>
      </c>
      <c r="W42" t="str">
        <f t="shared" ref="W42:W77" si="11">IFERROR(IF(AND($E42="Yes",J42="N/A",N42&lt;&gt;""),$A42&amp;":"&amp;LEN(N42)&amp;":"&amp;N42,""),$A42&amp;":0:input-fault")</f>
        <v/>
      </c>
      <c r="X42">
        <f t="shared" ref="X42:X77" si="12">IF(IFERROR(IF($E42="Yes",OR(NOT(OR(G42="Yes",G42="Partial",G42="No",G42="N/A")),IF(G42="N/A",K42="",FALSE()),ISERROR(K42)),FALSE()),TRUE()),1,0)</f>
        <v>1</v>
      </c>
      <c r="Y42">
        <f t="shared" ref="Y42:Y77" si="13">IF(IFERROR(IF($E42="Yes",OR(NOT(OR(H42="Yes",H42="Partial",H42="No",H42="N/A")),IF(H42="N/A",L42="",FALSE()),ISERROR(L42)),FALSE()),TRUE()),1,0)</f>
        <v>1</v>
      </c>
      <c r="Z42">
        <f t="shared" ref="Z42:Z77" si="14">IF(IFERROR(IF($E42="Yes",OR(NOT(OR(I42="Yes",I42="Partial",I42="No",I42="N/A")),IF(I42="N/A",M42="",FALSE()),ISERROR(M42)),FALSE()),TRUE()),1,0)</f>
        <v>1</v>
      </c>
      <c r="AA42">
        <f t="shared" ref="AA42:AA77" si="15">IF(IFERROR(IF($E42="Yes",OR(NOT(OR(J42="Yes",J42="Partial",J42="No",J42="N/A")),IF(J42="N/A",N42="",FALSE()),ISERROR(N42)),FALSE()),TRUE()),1,0)</f>
        <v>1</v>
      </c>
    </row>
    <row r="43" spans="1:27" ht="28.5" customHeight="1" x14ac:dyDescent="0.3">
      <c r="A43" t="s">
        <v>318</v>
      </c>
      <c r="B43" t="str">
        <f>IFERROR(VLOOKUP($A43,'Assessment Matrix'!$A:$W,2,FALSE()),"")</f>
        <v>Supply Chain &amp; Vulnerability</v>
      </c>
      <c r="C43" t="str">
        <f>IFERROR(VLOOKUP($A43,'Assessment Matrix'!$A:$W,5,FALSE()),"")</f>
        <v>Blocker</v>
      </c>
      <c r="D43">
        <f>IFERROR(VLOOKUP($A43,'Assessment Matrix'!$A:$W,6,FALSE()),0)</f>
        <v>5</v>
      </c>
      <c r="E43" t="str">
        <f>IFERROR(VLOOKUP($A43,'Assessment Matrix'!$A:$W,9,FALSE()),"")</f>
        <v>Yes</v>
      </c>
      <c r="F43" s="8" t="str">
        <f>IFERROR(VLOOKUP($A43,'Assessment Matrix'!$A:$W,4,FALSE()),"")</f>
        <v>Critical/high vulnerabilities in model-serving stack, containers, dependencies, and integrations are remediated or risk-accepted.</v>
      </c>
      <c r="G43" s="42"/>
      <c r="H43" s="42"/>
      <c r="I43" s="42"/>
      <c r="J43" s="42"/>
      <c r="K43" s="13"/>
      <c r="L43" s="13"/>
      <c r="M43" s="13"/>
      <c r="N43" s="13"/>
      <c r="T43" t="str">
        <f t="shared" si="8"/>
        <v/>
      </c>
      <c r="U43" t="str">
        <f t="shared" si="9"/>
        <v/>
      </c>
      <c r="V43" t="str">
        <f t="shared" si="10"/>
        <v/>
      </c>
      <c r="W43" t="str">
        <f t="shared" si="11"/>
        <v/>
      </c>
      <c r="X43">
        <f t="shared" si="12"/>
        <v>1</v>
      </c>
      <c r="Y43">
        <f t="shared" si="13"/>
        <v>1</v>
      </c>
      <c r="Z43">
        <f t="shared" si="14"/>
        <v>1</v>
      </c>
      <c r="AA43">
        <f t="shared" si="15"/>
        <v>1</v>
      </c>
    </row>
    <row r="44" spans="1:27" ht="28.5" customHeight="1" x14ac:dyDescent="0.3">
      <c r="A44" t="s">
        <v>321</v>
      </c>
      <c r="B44" t="str">
        <f>IFERROR(VLOOKUP($A44,'Assessment Matrix'!$A:$W,2,FALSE()),"")</f>
        <v>Supply Chain &amp; Vulnerability</v>
      </c>
      <c r="C44" t="str">
        <f>IFERROR(VLOOKUP($A44,'Assessment Matrix'!$A:$W,5,FALSE()),"")</f>
        <v>Major</v>
      </c>
      <c r="D44">
        <f>IFERROR(VLOOKUP($A44,'Assessment Matrix'!$A:$W,6,FALSE()),0)</f>
        <v>4</v>
      </c>
      <c r="E44" t="str">
        <f>IFERROR(VLOOKUP($A44,'Assessment Matrix'!$A:$W,9,FALSE()),"")</f>
        <v>Yes</v>
      </c>
      <c r="F44" s="8" t="str">
        <f>IFERROR(VLOOKUP($A44,'Assessment Matrix'!$A:$W,4,FALSE()),"")</f>
        <v>License review covers model license, code license, dataset license, usage restrictions, redistribution, copyright, and attribution.</v>
      </c>
      <c r="G44" s="42"/>
      <c r="H44" s="42"/>
      <c r="I44" s="42"/>
      <c r="J44" s="42"/>
      <c r="K44" s="13"/>
      <c r="L44" s="13"/>
      <c r="M44" s="13"/>
      <c r="N44" s="13"/>
      <c r="T44" t="str">
        <f t="shared" si="8"/>
        <v/>
      </c>
      <c r="U44" t="str">
        <f t="shared" si="9"/>
        <v/>
      </c>
      <c r="V44" t="str">
        <f t="shared" si="10"/>
        <v/>
      </c>
      <c r="W44" t="str">
        <f t="shared" si="11"/>
        <v/>
      </c>
      <c r="X44">
        <f t="shared" si="12"/>
        <v>1</v>
      </c>
      <c r="Y44">
        <f t="shared" si="13"/>
        <v>1</v>
      </c>
      <c r="Z44">
        <f t="shared" si="14"/>
        <v>1</v>
      </c>
      <c r="AA44">
        <f t="shared" si="15"/>
        <v>1</v>
      </c>
    </row>
    <row r="45" spans="1:27" ht="28.5" customHeight="1" x14ac:dyDescent="0.3">
      <c r="A45" t="s">
        <v>325</v>
      </c>
      <c r="B45" t="str">
        <f>IFERROR(VLOOKUP($A45,'Assessment Matrix'!$A:$W,2,FALSE()),"")</f>
        <v>Supply Chain &amp; Vulnerability</v>
      </c>
      <c r="C45" t="str">
        <f>IFERROR(VLOOKUP($A45,'Assessment Matrix'!$A:$W,5,FALSE()),"")</f>
        <v>Major</v>
      </c>
      <c r="D45">
        <f>IFERROR(VLOOKUP($A45,'Assessment Matrix'!$A:$W,6,FALSE()),0)</f>
        <v>4</v>
      </c>
      <c r="E45" t="str">
        <f>IFERROR(VLOOKUP($A45,'Assessment Matrix'!$A:$W,9,FALSE()),"")</f>
        <v>Yes</v>
      </c>
      <c r="F45" s="8" t="str">
        <f>IFERROR(VLOOKUP($A45,'Assessment Matrix'!$A:$W,4,FALSE()),"")</f>
        <v>Third-party fine-tunes, datasets, embeddings, and community artifacts are provenance-checked and malware/scanning controls are applied.</v>
      </c>
      <c r="G45" s="42"/>
      <c r="H45" s="42"/>
      <c r="I45" s="42"/>
      <c r="J45" s="42"/>
      <c r="K45" s="13"/>
      <c r="L45" s="13"/>
      <c r="M45" s="13"/>
      <c r="N45" s="13"/>
      <c r="T45" t="str">
        <f t="shared" si="8"/>
        <v/>
      </c>
      <c r="U45" t="str">
        <f t="shared" si="9"/>
        <v/>
      </c>
      <c r="V45" t="str">
        <f t="shared" si="10"/>
        <v/>
      </c>
      <c r="W45" t="str">
        <f t="shared" si="11"/>
        <v/>
      </c>
      <c r="X45">
        <f t="shared" si="12"/>
        <v>1</v>
      </c>
      <c r="Y45">
        <f t="shared" si="13"/>
        <v>1</v>
      </c>
      <c r="Z45">
        <f t="shared" si="14"/>
        <v>1</v>
      </c>
      <c r="AA45">
        <f t="shared" si="15"/>
        <v>1</v>
      </c>
    </row>
    <row r="46" spans="1:27" ht="28.5" customHeight="1" x14ac:dyDescent="0.3">
      <c r="A46" t="s">
        <v>329</v>
      </c>
      <c r="B46" t="str">
        <f>IFERROR(VLOOKUP($A46,'Assessment Matrix'!$A:$W,2,FALSE()),"")</f>
        <v>Supply Chain &amp; Vulnerability</v>
      </c>
      <c r="C46" t="str">
        <f>IFERROR(VLOOKUP($A46,'Assessment Matrix'!$A:$W,5,FALSE()),"")</f>
        <v>Major</v>
      </c>
      <c r="D46">
        <f>IFERROR(VLOOKUP($A46,'Assessment Matrix'!$A:$W,6,FALSE()),0)</f>
        <v>4</v>
      </c>
      <c r="E46" t="str">
        <f>IFERROR(VLOOKUP($A46,'Assessment Matrix'!$A:$W,9,FALSE()),"")</f>
        <v>Yes</v>
      </c>
      <c r="F46" s="8" t="str">
        <f>IFERROR(VLOOKUP($A46,'Assessment Matrix'!$A:$W,4,FALSE()),"")</f>
        <v>Container/image scanning, hardened base images, patch cadence, and vulnerability SLAs are implemented.</v>
      </c>
      <c r="G46" s="42"/>
      <c r="H46" s="42"/>
      <c r="I46" s="42"/>
      <c r="J46" s="42"/>
      <c r="K46" s="13"/>
      <c r="L46" s="13"/>
      <c r="M46" s="13"/>
      <c r="N46" s="13"/>
      <c r="T46" t="str">
        <f t="shared" si="8"/>
        <v/>
      </c>
      <c r="U46" t="str">
        <f t="shared" si="9"/>
        <v/>
      </c>
      <c r="V46" t="str">
        <f t="shared" si="10"/>
        <v/>
      </c>
      <c r="W46" t="str">
        <f t="shared" si="11"/>
        <v/>
      </c>
      <c r="X46">
        <f t="shared" si="12"/>
        <v>1</v>
      </c>
      <c r="Y46">
        <f t="shared" si="13"/>
        <v>1</v>
      </c>
      <c r="Z46">
        <f t="shared" si="14"/>
        <v>1</v>
      </c>
      <c r="AA46">
        <f t="shared" si="15"/>
        <v>1</v>
      </c>
    </row>
    <row r="47" spans="1:27" ht="57" customHeight="1" x14ac:dyDescent="0.3">
      <c r="A47" t="s">
        <v>332</v>
      </c>
      <c r="B47" t="str">
        <f>IFERROR(VLOOKUP($A47,'Assessment Matrix'!$A:$W,2,FALSE()),"")</f>
        <v>Supply Chain &amp; Vulnerability</v>
      </c>
      <c r="C47" t="str">
        <f>IFERROR(VLOOKUP($A47,'Assessment Matrix'!$A:$W,5,FALSE()),"")</f>
        <v>Blocker</v>
      </c>
      <c r="D47">
        <f>IFERROR(VLOOKUP($A47,'Assessment Matrix'!$A:$W,6,FALSE()),0)</f>
        <v>5</v>
      </c>
      <c r="E47" t="str">
        <f>IFERROR(VLOOKUP($A47,'Assessment Matrix'!$A:$W,9,FALSE()),"")</f>
        <v>Yes</v>
      </c>
      <c r="F47" s="8" t="str">
        <f>IFERROR(VLOOKUP($A47,'Assessment Matrix'!$A:$W,4,FALSE()),"")</f>
        <v>Untrusted model or ML artifacts are not deserialized with executable formats or unsafe loading modes (including pickle-based mechanisms); approved non-executable formats (e.g. Safetensors), provenance and integrity checks, and isolated loading are used.</v>
      </c>
      <c r="G47" s="42"/>
      <c r="H47" s="42"/>
      <c r="I47" s="42"/>
      <c r="J47" s="42"/>
      <c r="K47" s="13"/>
      <c r="L47" s="13"/>
      <c r="M47" s="13"/>
      <c r="N47" s="13"/>
      <c r="T47" t="str">
        <f t="shared" si="8"/>
        <v/>
      </c>
      <c r="U47" t="str">
        <f t="shared" si="9"/>
        <v/>
      </c>
      <c r="V47" t="str">
        <f t="shared" si="10"/>
        <v/>
      </c>
      <c r="W47" t="str">
        <f t="shared" si="11"/>
        <v/>
      </c>
      <c r="X47">
        <f t="shared" si="12"/>
        <v>1</v>
      </c>
      <c r="Y47">
        <f t="shared" si="13"/>
        <v>1</v>
      </c>
      <c r="Z47">
        <f t="shared" si="14"/>
        <v>1</v>
      </c>
      <c r="AA47">
        <f t="shared" si="15"/>
        <v>1</v>
      </c>
    </row>
    <row r="48" spans="1:27" ht="42.75" customHeight="1" x14ac:dyDescent="0.3">
      <c r="A48" t="s">
        <v>337</v>
      </c>
      <c r="B48" t="str">
        <f>IFERROR(VLOOKUP($A48,'Assessment Matrix'!$A:$W,2,FALSE()),"")</f>
        <v>Supply Chain &amp; Vulnerability</v>
      </c>
      <c r="C48" t="str">
        <f>IFERROR(VLOOKUP($A48,'Assessment Matrix'!$A:$W,5,FALSE()),"")</f>
        <v>Major</v>
      </c>
      <c r="D48">
        <f>IFERROR(VLOOKUP($A48,'Assessment Matrix'!$A:$W,6,FALSE()),0)</f>
        <v>4</v>
      </c>
      <c r="E48" t="str">
        <f>IFERROR(VLOOKUP($A48,'Assessment Matrix'!$A:$W,9,FALSE()),"")</f>
        <v>Yes</v>
      </c>
      <c r="F48" s="8" t="str">
        <f>IFERROR(VLOOKUP($A48,'Assessment Matrix'!$A:$W,4,FALSE()),"")</f>
        <v>Model artifacts (weights, adapters, fine-tunes) are protected according to their classification and intended distribution: integrity verification and provenance for all artifacts; where confidentiality is required, also access control, encryption at rest, and exfiltration/theft monitoring.</v>
      </c>
      <c r="G48" s="42"/>
      <c r="H48" s="42"/>
      <c r="I48" s="42"/>
      <c r="J48" s="42"/>
      <c r="K48" s="13"/>
      <c r="L48" s="13"/>
      <c r="M48" s="13"/>
      <c r="N48" s="13"/>
      <c r="T48" t="str">
        <f t="shared" si="8"/>
        <v/>
      </c>
      <c r="U48" t="str">
        <f t="shared" si="9"/>
        <v/>
      </c>
      <c r="V48" t="str">
        <f t="shared" si="10"/>
        <v/>
      </c>
      <c r="W48" t="str">
        <f t="shared" si="11"/>
        <v/>
      </c>
      <c r="X48">
        <f t="shared" si="12"/>
        <v>1</v>
      </c>
      <c r="Y48">
        <f t="shared" si="13"/>
        <v>1</v>
      </c>
      <c r="Z48">
        <f t="shared" si="14"/>
        <v>1</v>
      </c>
      <c r="AA48">
        <f t="shared" si="15"/>
        <v>1</v>
      </c>
    </row>
    <row r="49" spans="1:27" ht="28.5" customHeight="1" x14ac:dyDescent="0.3">
      <c r="A49" t="s">
        <v>341</v>
      </c>
      <c r="B49" t="str">
        <f>IFERROR(VLOOKUP($A49,'Assessment Matrix'!$A:$W,2,FALSE()),"")</f>
        <v>Monitoring &amp; Response</v>
      </c>
      <c r="C49" t="str">
        <f>IFERROR(VLOOKUP($A49,'Assessment Matrix'!$A:$W,5,FALSE()),"")</f>
        <v>Major</v>
      </c>
      <c r="D49">
        <f>IFERROR(VLOOKUP($A49,'Assessment Matrix'!$A:$W,6,FALSE()),0)</f>
        <v>4</v>
      </c>
      <c r="E49" t="str">
        <f>IFERROR(VLOOKUP($A49,'Assessment Matrix'!$A:$W,9,FALSE()),"")</f>
        <v>Yes</v>
      </c>
      <c r="F49" s="8" t="str">
        <f>IFERROR(VLOOKUP($A49,'Assessment Matrix'!$A:$W,4,FALSE()),"")</f>
        <v>Security telemetry is integrated into SIEM/SOC monitoring, including authentication, admin actions, tool calls, errors, abuse signals, and policy violations.</v>
      </c>
      <c r="G49" s="42"/>
      <c r="H49" s="42"/>
      <c r="I49" s="42"/>
      <c r="J49" s="42"/>
      <c r="K49" s="13"/>
      <c r="L49" s="13"/>
      <c r="M49" s="13"/>
      <c r="N49" s="13"/>
      <c r="T49" t="str">
        <f t="shared" si="8"/>
        <v/>
      </c>
      <c r="U49" t="str">
        <f t="shared" si="9"/>
        <v/>
      </c>
      <c r="V49" t="str">
        <f t="shared" si="10"/>
        <v/>
      </c>
      <c r="W49" t="str">
        <f t="shared" si="11"/>
        <v/>
      </c>
      <c r="X49">
        <f t="shared" si="12"/>
        <v>1</v>
      </c>
      <c r="Y49">
        <f t="shared" si="13"/>
        <v>1</v>
      </c>
      <c r="Z49">
        <f t="shared" si="14"/>
        <v>1</v>
      </c>
      <c r="AA49">
        <f t="shared" si="15"/>
        <v>1</v>
      </c>
    </row>
    <row r="50" spans="1:27" ht="28.5" customHeight="1" x14ac:dyDescent="0.3">
      <c r="A50" t="s">
        <v>346</v>
      </c>
      <c r="B50" t="str">
        <f>IFERROR(VLOOKUP($A50,'Assessment Matrix'!$A:$W,2,FALSE()),"")</f>
        <v>Monitoring &amp; Response</v>
      </c>
      <c r="C50" t="str">
        <f>IFERROR(VLOOKUP($A50,'Assessment Matrix'!$A:$W,5,FALSE()),"")</f>
        <v>Major</v>
      </c>
      <c r="D50">
        <f>IFERROR(VLOOKUP($A50,'Assessment Matrix'!$A:$W,6,FALSE()),0)</f>
        <v>4</v>
      </c>
      <c r="E50" t="str">
        <f>IFERROR(VLOOKUP($A50,'Assessment Matrix'!$A:$W,9,FALSE()),"")</f>
        <v>Yes</v>
      </c>
      <c r="F50" s="8" t="str">
        <f>IFERROR(VLOOKUP($A50,'Assessment Matrix'!$A:$W,4,FALSE()),"")</f>
        <v>Prompt and response logging policy balances forensic need with privacy, confidentiality, minimization, retention, and masking.</v>
      </c>
      <c r="G50" s="42"/>
      <c r="H50" s="42"/>
      <c r="I50" s="42"/>
      <c r="J50" s="42"/>
      <c r="K50" s="13"/>
      <c r="L50" s="13"/>
      <c r="M50" s="13"/>
      <c r="N50" s="13"/>
      <c r="T50" t="str">
        <f t="shared" si="8"/>
        <v/>
      </c>
      <c r="U50" t="str">
        <f t="shared" si="9"/>
        <v/>
      </c>
      <c r="V50" t="str">
        <f t="shared" si="10"/>
        <v/>
      </c>
      <c r="W50" t="str">
        <f t="shared" si="11"/>
        <v/>
      </c>
      <c r="X50">
        <f t="shared" si="12"/>
        <v>1</v>
      </c>
      <c r="Y50">
        <f t="shared" si="13"/>
        <v>1</v>
      </c>
      <c r="Z50">
        <f t="shared" si="14"/>
        <v>1</v>
      </c>
      <c r="AA50">
        <f t="shared" si="15"/>
        <v>1</v>
      </c>
    </row>
    <row r="51" spans="1:27" ht="28.5" customHeight="1" x14ac:dyDescent="0.3">
      <c r="A51" t="s">
        <v>349</v>
      </c>
      <c r="B51" t="str">
        <f>IFERROR(VLOOKUP($A51,'Assessment Matrix'!$A:$W,2,FALSE()),"")</f>
        <v>Monitoring &amp; Response</v>
      </c>
      <c r="C51" t="str">
        <f>IFERROR(VLOOKUP($A51,'Assessment Matrix'!$A:$W,5,FALSE()),"")</f>
        <v>Major</v>
      </c>
      <c r="D51">
        <f>IFERROR(VLOOKUP($A51,'Assessment Matrix'!$A:$W,6,FALSE()),0)</f>
        <v>4</v>
      </c>
      <c r="E51" t="str">
        <f>IFERROR(VLOOKUP($A51,'Assessment Matrix'!$A:$W,9,FALSE()),"")</f>
        <v>Yes</v>
      </c>
      <c r="F51" s="8" t="str">
        <f>IFERROR(VLOOKUP($A51,'Assessment Matrix'!$A:$W,4,FALSE()),"")</f>
        <v>Anomaly, abuse, data leakage, jailbreak, and excessive token/cost monitoring has alerts and operational ownership.</v>
      </c>
      <c r="G51" s="42"/>
      <c r="H51" s="42"/>
      <c r="I51" s="42"/>
      <c r="J51" s="42"/>
      <c r="K51" s="13"/>
      <c r="L51" s="13"/>
      <c r="M51" s="13"/>
      <c r="N51" s="13"/>
      <c r="T51" t="str">
        <f t="shared" si="8"/>
        <v/>
      </c>
      <c r="U51" t="str">
        <f t="shared" si="9"/>
        <v/>
      </c>
      <c r="V51" t="str">
        <f t="shared" si="10"/>
        <v/>
      </c>
      <c r="W51" t="str">
        <f t="shared" si="11"/>
        <v/>
      </c>
      <c r="X51">
        <f t="shared" si="12"/>
        <v>1</v>
      </c>
      <c r="Y51">
        <f t="shared" si="13"/>
        <v>1</v>
      </c>
      <c r="Z51">
        <f t="shared" si="14"/>
        <v>1</v>
      </c>
      <c r="AA51">
        <f t="shared" si="15"/>
        <v>1</v>
      </c>
    </row>
    <row r="52" spans="1:27" ht="28.5" customHeight="1" x14ac:dyDescent="0.3">
      <c r="A52" t="s">
        <v>352</v>
      </c>
      <c r="B52" t="str">
        <f>IFERROR(VLOOKUP($A52,'Assessment Matrix'!$A:$W,2,FALSE()),"")</f>
        <v>Monitoring &amp; Response</v>
      </c>
      <c r="C52" t="str">
        <f>IFERROR(VLOOKUP($A52,'Assessment Matrix'!$A:$W,5,FALSE()),"")</f>
        <v>Major</v>
      </c>
      <c r="D52">
        <f>IFERROR(VLOOKUP($A52,'Assessment Matrix'!$A:$W,6,FALSE()),0)</f>
        <v>4</v>
      </c>
      <c r="E52" t="str">
        <f>IFERROR(VLOOKUP($A52,'Assessment Matrix'!$A:$W,9,FALSE()),"")</f>
        <v>Yes</v>
      </c>
      <c r="F52" s="8" t="str">
        <f>IFERROR(VLOOKUP($A52,'Assessment Matrix'!$A:$W,4,FALSE()),"")</f>
        <v>Kill switch, model/provider rollback, prompt rollback, RAG disablement, and communication procedures exist.</v>
      </c>
      <c r="G52" s="42"/>
      <c r="H52" s="42"/>
      <c r="I52" s="42"/>
      <c r="J52" s="42"/>
      <c r="K52" s="13"/>
      <c r="L52" s="13"/>
      <c r="M52" s="13"/>
      <c r="N52" s="13"/>
      <c r="T52" t="str">
        <f t="shared" si="8"/>
        <v/>
      </c>
      <c r="U52" t="str">
        <f t="shared" si="9"/>
        <v/>
      </c>
      <c r="V52" t="str">
        <f t="shared" si="10"/>
        <v/>
      </c>
      <c r="W52" t="str">
        <f t="shared" si="11"/>
        <v/>
      </c>
      <c r="X52">
        <f t="shared" si="12"/>
        <v>1</v>
      </c>
      <c r="Y52">
        <f t="shared" si="13"/>
        <v>1</v>
      </c>
      <c r="Z52">
        <f t="shared" si="14"/>
        <v>1</v>
      </c>
      <c r="AA52">
        <f t="shared" si="15"/>
        <v>1</v>
      </c>
    </row>
    <row r="53" spans="1:27" ht="28.5" customHeight="1" x14ac:dyDescent="0.3">
      <c r="A53" t="s">
        <v>356</v>
      </c>
      <c r="B53" t="str">
        <f>IFERROR(VLOOKUP($A53,'Assessment Matrix'!$A:$W,2,FALSE()),"")</f>
        <v>Monitoring &amp; Response</v>
      </c>
      <c r="C53" t="str">
        <f>IFERROR(VLOOKUP($A53,'Assessment Matrix'!$A:$W,5,FALSE()),"")</f>
        <v>Major</v>
      </c>
      <c r="D53">
        <f>IFERROR(VLOOKUP($A53,'Assessment Matrix'!$A:$W,6,FALSE()),0)</f>
        <v>4</v>
      </c>
      <c r="E53" t="str">
        <f>IFERROR(VLOOKUP($A53,'Assessment Matrix'!$A:$W,9,FALSE()),"")</f>
        <v>Yes</v>
      </c>
      <c r="F53" s="8" t="str">
        <f>IFERROR(VLOOKUP($A53,'Assessment Matrix'!$A:$W,4,FALSE()),"")</f>
        <v>AI incident response runbook includes prompt injection, data exposure, unsafe output, provider breach, and model behavior incident scenarios.</v>
      </c>
      <c r="G53" s="42"/>
      <c r="H53" s="42"/>
      <c r="I53" s="42"/>
      <c r="J53" s="42"/>
      <c r="K53" s="13"/>
      <c r="L53" s="13"/>
      <c r="M53" s="13"/>
      <c r="N53" s="13"/>
      <c r="T53" t="str">
        <f t="shared" si="8"/>
        <v/>
      </c>
      <c r="U53" t="str">
        <f t="shared" si="9"/>
        <v/>
      </c>
      <c r="V53" t="str">
        <f t="shared" si="10"/>
        <v/>
      </c>
      <c r="W53" t="str">
        <f t="shared" si="11"/>
        <v/>
      </c>
      <c r="X53">
        <f t="shared" si="12"/>
        <v>1</v>
      </c>
      <c r="Y53">
        <f t="shared" si="13"/>
        <v>1</v>
      </c>
      <c r="Z53">
        <f t="shared" si="14"/>
        <v>1</v>
      </c>
      <c r="AA53">
        <f t="shared" si="15"/>
        <v>1</v>
      </c>
    </row>
    <row r="54" spans="1:27" ht="42.75" customHeight="1" x14ac:dyDescent="0.3">
      <c r="A54" t="s">
        <v>359</v>
      </c>
      <c r="B54" t="str">
        <f>IFERROR(VLOOKUP($A54,'Assessment Matrix'!$A:$W,2,FALSE()),"")</f>
        <v>Monitoring &amp; Response</v>
      </c>
      <c r="C54" t="str">
        <f>IFERROR(VLOOKUP($A54,'Assessment Matrix'!$A:$W,5,FALSE()),"")</f>
        <v>Major</v>
      </c>
      <c r="D54">
        <f>IFERROR(VLOOKUP($A54,'Assessment Matrix'!$A:$W,6,FALSE()),0)</f>
        <v>4</v>
      </c>
      <c r="E54" t="str">
        <f>IFERROR(VLOOKUP($A54,'Assessment Matrix'!$A:$W,9,FALSE()),"")</f>
        <v>Yes</v>
      </c>
      <c r="F54" s="8" t="str">
        <f>IFERROR(VLOOKUP($A54,'Assessment Matrix'!$A:$W,4,FALSE()),"")</f>
        <v>Availability and degraded modes are engineered and tested: provider outage and quota exhaustion handling, fallback model or reduced-functionality mode, and user-facing messaging.</v>
      </c>
      <c r="G54" s="42"/>
      <c r="H54" s="42"/>
      <c r="I54" s="42"/>
      <c r="J54" s="42"/>
      <c r="K54" s="13"/>
      <c r="L54" s="13"/>
      <c r="M54" s="13"/>
      <c r="N54" s="13"/>
      <c r="T54" t="str">
        <f t="shared" si="8"/>
        <v/>
      </c>
      <c r="U54" t="str">
        <f t="shared" si="9"/>
        <v/>
      </c>
      <c r="V54" t="str">
        <f t="shared" si="10"/>
        <v/>
      </c>
      <c r="W54" t="str">
        <f t="shared" si="11"/>
        <v/>
      </c>
      <c r="X54">
        <f t="shared" si="12"/>
        <v>1</v>
      </c>
      <c r="Y54">
        <f t="shared" si="13"/>
        <v>1</v>
      </c>
      <c r="Z54">
        <f t="shared" si="14"/>
        <v>1</v>
      </c>
      <c r="AA54">
        <f t="shared" si="15"/>
        <v>1</v>
      </c>
    </row>
    <row r="55" spans="1:27" ht="28.5" customHeight="1" x14ac:dyDescent="0.3">
      <c r="A55" t="s">
        <v>363</v>
      </c>
      <c r="B55" t="str">
        <f>IFERROR(VLOOKUP($A55,'Assessment Matrix'!$A:$W,2,FALSE()),"")</f>
        <v>Privacy, Legal &amp; Compliance</v>
      </c>
      <c r="C55" t="str">
        <f>IFERROR(VLOOKUP($A55,'Assessment Matrix'!$A:$W,5,FALSE()),"")</f>
        <v>Blocker</v>
      </c>
      <c r="D55">
        <f>IFERROR(VLOOKUP($A55,'Assessment Matrix'!$A:$W,6,FALSE()),0)</f>
        <v>5</v>
      </c>
      <c r="E55" t="str">
        <f>IFERROR(VLOOKUP($A55,'Assessment Matrix'!$A:$W,9,FALSE()),"")</f>
        <v>Yes</v>
      </c>
      <c r="F55" s="8" t="str">
        <f>IFERROR(VLOOKUP($A55,'Assessment Matrix'!$A:$W,4,FALSE()),"")</f>
        <v>Privacy assessment/DPIA, legal basis, minimization, retention, data subject rights, and cross-border transfer controls are complete.</v>
      </c>
      <c r="G55" s="42"/>
      <c r="H55" s="42"/>
      <c r="I55" s="42"/>
      <c r="J55" s="42"/>
      <c r="K55" s="13"/>
      <c r="L55" s="13"/>
      <c r="M55" s="13"/>
      <c r="N55" s="13"/>
      <c r="T55" t="str">
        <f t="shared" si="8"/>
        <v/>
      </c>
      <c r="U55" t="str">
        <f t="shared" si="9"/>
        <v/>
      </c>
      <c r="V55" t="str">
        <f t="shared" si="10"/>
        <v/>
      </c>
      <c r="W55" t="str">
        <f t="shared" si="11"/>
        <v/>
      </c>
      <c r="X55">
        <f t="shared" si="12"/>
        <v>1</v>
      </c>
      <c r="Y55">
        <f t="shared" si="13"/>
        <v>1</v>
      </c>
      <c r="Z55">
        <f t="shared" si="14"/>
        <v>1</v>
      </c>
      <c r="AA55">
        <f t="shared" si="15"/>
        <v>1</v>
      </c>
    </row>
    <row r="56" spans="1:27" ht="28.5" customHeight="1" x14ac:dyDescent="0.3">
      <c r="A56" t="s">
        <v>368</v>
      </c>
      <c r="B56" t="str">
        <f>IFERROR(VLOOKUP($A56,'Assessment Matrix'!$A:$W,2,FALSE()),"")</f>
        <v>Privacy, Legal &amp; Compliance</v>
      </c>
      <c r="C56" t="str">
        <f>IFERROR(VLOOKUP($A56,'Assessment Matrix'!$A:$W,5,FALSE()),"")</f>
        <v>Blocker</v>
      </c>
      <c r="D56">
        <f>IFERROR(VLOOKUP($A56,'Assessment Matrix'!$A:$W,6,FALSE()),0)</f>
        <v>5</v>
      </c>
      <c r="E56" t="str">
        <f>IFERROR(VLOOKUP($A56,'Assessment Matrix'!$A:$W,9,FALSE()),"")</f>
        <v>Yes</v>
      </c>
      <c r="F56" s="8" t="str">
        <f>IFERROR(VLOOKUP($A56,'Assessment Matrix'!$A:$W,4,FALSE()),"")</f>
        <v>DPA, SCCs/transfer impact assessment, confidentiality, audit rights, breach notification, and subprocessor terms are in place.</v>
      </c>
      <c r="G56" s="42"/>
      <c r="H56" s="42"/>
      <c r="I56" s="42"/>
      <c r="J56" s="42"/>
      <c r="K56" s="13"/>
      <c r="L56" s="13"/>
      <c r="M56" s="13"/>
      <c r="N56" s="13"/>
      <c r="T56" t="str">
        <f t="shared" si="8"/>
        <v/>
      </c>
      <c r="U56" t="str">
        <f t="shared" si="9"/>
        <v/>
      </c>
      <c r="V56" t="str">
        <f t="shared" si="10"/>
        <v/>
      </c>
      <c r="W56" t="str">
        <f t="shared" si="11"/>
        <v/>
      </c>
      <c r="X56">
        <f t="shared" si="12"/>
        <v>1</v>
      </c>
      <c r="Y56">
        <f t="shared" si="13"/>
        <v>1</v>
      </c>
      <c r="Z56">
        <f t="shared" si="14"/>
        <v>1</v>
      </c>
      <c r="AA56">
        <f t="shared" si="15"/>
        <v>1</v>
      </c>
    </row>
    <row r="57" spans="1:27" ht="28.5" customHeight="1" x14ac:dyDescent="0.3">
      <c r="A57" t="s">
        <v>372</v>
      </c>
      <c r="B57" t="str">
        <f>IFERROR(VLOOKUP($A57,'Assessment Matrix'!$A:$W,2,FALSE()),"")</f>
        <v>Privacy, Legal &amp; Compliance</v>
      </c>
      <c r="C57" t="str">
        <f>IFERROR(VLOOKUP($A57,'Assessment Matrix'!$A:$W,5,FALSE()),"")</f>
        <v>Blocker</v>
      </c>
      <c r="D57">
        <f>IFERROR(VLOOKUP($A57,'Assessment Matrix'!$A:$W,6,FALSE()),0)</f>
        <v>5</v>
      </c>
      <c r="E57" t="str">
        <f>IFERROR(VLOOKUP($A57,'Assessment Matrix'!$A:$W,9,FALSE()),"")</f>
        <v>Yes</v>
      </c>
      <c r="F57" s="8" t="str">
        <f>IFERROR(VLOOKUP($A57,'Assessment Matrix'!$A:$W,4,FALSE()),"")</f>
        <v>Export control, sanctions, extraterritorial law, geopolitical supplier risk, and national security restrictions are reviewed by legal/compliance.</v>
      </c>
      <c r="G57" s="42"/>
      <c r="H57" s="42"/>
      <c r="I57" s="42"/>
      <c r="J57" s="42"/>
      <c r="K57" s="13"/>
      <c r="L57" s="13"/>
      <c r="M57" s="13"/>
      <c r="N57" s="13"/>
      <c r="T57" t="str">
        <f t="shared" si="8"/>
        <v/>
      </c>
      <c r="U57" t="str">
        <f t="shared" si="9"/>
        <v/>
      </c>
      <c r="V57" t="str">
        <f t="shared" si="10"/>
        <v/>
      </c>
      <c r="W57" t="str">
        <f t="shared" si="11"/>
        <v/>
      </c>
      <c r="X57">
        <f t="shared" si="12"/>
        <v>1</v>
      </c>
      <c r="Y57">
        <f t="shared" si="13"/>
        <v>1</v>
      </c>
      <c r="Z57">
        <f t="shared" si="14"/>
        <v>1</v>
      </c>
      <c r="AA57">
        <f t="shared" si="15"/>
        <v>1</v>
      </c>
    </row>
    <row r="58" spans="1:27" ht="28.5" customHeight="1" x14ac:dyDescent="0.3">
      <c r="A58" t="s">
        <v>376</v>
      </c>
      <c r="B58" t="str">
        <f>IFERROR(VLOOKUP($A58,'Assessment Matrix'!$A:$W,2,FALSE()),"")</f>
        <v>Privacy, Legal &amp; Compliance</v>
      </c>
      <c r="C58" t="str">
        <f>IFERROR(VLOOKUP($A58,'Assessment Matrix'!$A:$W,5,FALSE()),"")</f>
        <v>Major</v>
      </c>
      <c r="D58">
        <f>IFERROR(VLOOKUP($A58,'Assessment Matrix'!$A:$W,6,FALSE()),0)</f>
        <v>4</v>
      </c>
      <c r="E58" t="str">
        <f>IFERROR(VLOOKUP($A58,'Assessment Matrix'!$A:$W,9,FALSE()),"")</f>
        <v>Yes</v>
      </c>
      <c r="F58" s="8" t="str">
        <f>IFERROR(VLOOKUP($A58,'Assessment Matrix'!$A:$W,4,FALSE()),"")</f>
        <v>GPAI/high-risk/deployer/provider obligations, transparency notices, logging, human oversight, and incident reporting duties are mapped.</v>
      </c>
      <c r="G58" s="42"/>
      <c r="H58" s="42"/>
      <c r="I58" s="42"/>
      <c r="J58" s="42"/>
      <c r="K58" s="13"/>
      <c r="L58" s="13"/>
      <c r="M58" s="13"/>
      <c r="N58" s="13"/>
      <c r="T58" t="str">
        <f t="shared" si="8"/>
        <v/>
      </c>
      <c r="U58" t="str">
        <f t="shared" si="9"/>
        <v/>
      </c>
      <c r="V58" t="str">
        <f t="shared" si="10"/>
        <v/>
      </c>
      <c r="W58" t="str">
        <f t="shared" si="11"/>
        <v/>
      </c>
      <c r="X58">
        <f t="shared" si="12"/>
        <v>1</v>
      </c>
      <c r="Y58">
        <f t="shared" si="13"/>
        <v>1</v>
      </c>
      <c r="Z58">
        <f t="shared" si="14"/>
        <v>1</v>
      </c>
      <c r="AA58">
        <f t="shared" si="15"/>
        <v>1</v>
      </c>
    </row>
    <row r="59" spans="1:27" ht="28.5" customHeight="1" x14ac:dyDescent="0.3">
      <c r="A59" t="s">
        <v>379</v>
      </c>
      <c r="B59" t="str">
        <f>IFERROR(VLOOKUP($A59,'Assessment Matrix'!$A:$W,2,FALSE()),"")</f>
        <v>Privacy, Legal &amp; Compliance</v>
      </c>
      <c r="C59" t="str">
        <f>IFERROR(VLOOKUP($A59,'Assessment Matrix'!$A:$W,5,FALSE()),"")</f>
        <v>Major</v>
      </c>
      <c r="D59">
        <f>IFERROR(VLOOKUP($A59,'Assessment Matrix'!$A:$W,6,FALSE()),0)</f>
        <v>4</v>
      </c>
      <c r="E59" t="str">
        <f>IFERROR(VLOOKUP($A59,'Assessment Matrix'!$A:$W,9,FALSE()),"")</f>
        <v>Yes</v>
      </c>
      <c r="F59" s="8" t="str">
        <f>IFERROR(VLOOKUP($A59,'Assessment Matrix'!$A:$W,4,FALSE()),"")</f>
        <v>Copyright, training data provenance, output IP, content marking, and third-party rights are reviewed.</v>
      </c>
      <c r="G59" s="42"/>
      <c r="H59" s="42"/>
      <c r="I59" s="42"/>
      <c r="J59" s="42"/>
      <c r="K59" s="13"/>
      <c r="L59" s="13"/>
      <c r="M59" s="13"/>
      <c r="N59" s="13"/>
      <c r="T59" t="str">
        <f t="shared" si="8"/>
        <v/>
      </c>
      <c r="U59" t="str">
        <f t="shared" si="9"/>
        <v/>
      </c>
      <c r="V59" t="str">
        <f t="shared" si="10"/>
        <v/>
      </c>
      <c r="W59" t="str">
        <f t="shared" si="11"/>
        <v/>
      </c>
      <c r="X59">
        <f t="shared" si="12"/>
        <v>1</v>
      </c>
      <c r="Y59">
        <f t="shared" si="13"/>
        <v>1</v>
      </c>
      <c r="Z59">
        <f t="shared" si="14"/>
        <v>1</v>
      </c>
      <c r="AA59">
        <f t="shared" si="15"/>
        <v>1</v>
      </c>
    </row>
    <row r="60" spans="1:27" ht="28.5" customHeight="1" x14ac:dyDescent="0.3">
      <c r="A60" t="s">
        <v>383</v>
      </c>
      <c r="B60" t="str">
        <f>IFERROR(VLOOKUP($A60,'Assessment Matrix'!$A:$W,2,FALSE()),"")</f>
        <v>Governance &amp; Operations</v>
      </c>
      <c r="C60" t="str">
        <f>IFERROR(VLOOKUP($A60,'Assessment Matrix'!$A:$W,5,FALSE()),"")</f>
        <v>Major</v>
      </c>
      <c r="D60">
        <f>IFERROR(VLOOKUP($A60,'Assessment Matrix'!$A:$W,6,FALSE()),0)</f>
        <v>4</v>
      </c>
      <c r="E60" t="str">
        <f>IFERROR(VLOOKUP($A60,'Assessment Matrix'!$A:$W,9,FALSE()),"")</f>
        <v>Yes</v>
      </c>
      <c r="F60" s="8" t="str">
        <f>IFERROR(VLOOKUP($A60,'Assessment Matrix'!$A:$W,4,FALSE()),"")</f>
        <v>Risk owner, service owner, data owner, model owner, and operational support are assigned.</v>
      </c>
      <c r="G60" s="42"/>
      <c r="H60" s="42"/>
      <c r="I60" s="42"/>
      <c r="J60" s="42"/>
      <c r="K60" s="13"/>
      <c r="L60" s="13"/>
      <c r="M60" s="13"/>
      <c r="N60" s="13"/>
      <c r="T60" t="str">
        <f t="shared" si="8"/>
        <v/>
      </c>
      <c r="U60" t="str">
        <f t="shared" si="9"/>
        <v/>
      </c>
      <c r="V60" t="str">
        <f t="shared" si="10"/>
        <v/>
      </c>
      <c r="W60" t="str">
        <f t="shared" si="11"/>
        <v/>
      </c>
      <c r="X60">
        <f t="shared" si="12"/>
        <v>1</v>
      </c>
      <c r="Y60">
        <f t="shared" si="13"/>
        <v>1</v>
      </c>
      <c r="Z60">
        <f t="shared" si="14"/>
        <v>1</v>
      </c>
      <c r="AA60">
        <f t="shared" si="15"/>
        <v>1</v>
      </c>
    </row>
    <row r="61" spans="1:27" ht="28.5" customHeight="1" x14ac:dyDescent="0.3">
      <c r="A61" t="s">
        <v>387</v>
      </c>
      <c r="B61" t="str">
        <f>IFERROR(VLOOKUP($A61,'Assessment Matrix'!$A:$W,2,FALSE()),"")</f>
        <v>Governance &amp; Operations</v>
      </c>
      <c r="C61" t="str">
        <f>IFERROR(VLOOKUP($A61,'Assessment Matrix'!$A:$W,5,FALSE()),"")</f>
        <v>Major</v>
      </c>
      <c r="D61">
        <f>IFERROR(VLOOKUP($A61,'Assessment Matrix'!$A:$W,6,FALSE()),0)</f>
        <v>4</v>
      </c>
      <c r="E61" t="str">
        <f>IFERROR(VLOOKUP($A61,'Assessment Matrix'!$A:$W,9,FALSE()),"")</f>
        <v>Yes</v>
      </c>
      <c r="F61" s="8" t="str">
        <f>IFERROR(VLOOKUP($A61,'Assessment Matrix'!$A:$W,4,FALSE()),"")</f>
        <v>Change control covers model version, prompts, system instructions, retrieval corpus, embeddings, tools, guardrails, and thresholds.</v>
      </c>
      <c r="G61" s="42"/>
      <c r="H61" s="42"/>
      <c r="I61" s="42"/>
      <c r="J61" s="42"/>
      <c r="K61" s="13"/>
      <c r="L61" s="13"/>
      <c r="M61" s="13"/>
      <c r="N61" s="13"/>
      <c r="T61" t="str">
        <f t="shared" si="8"/>
        <v/>
      </c>
      <c r="U61" t="str">
        <f t="shared" si="9"/>
        <v/>
      </c>
      <c r="V61" t="str">
        <f t="shared" si="10"/>
        <v/>
      </c>
      <c r="W61" t="str">
        <f t="shared" si="11"/>
        <v/>
      </c>
      <c r="X61">
        <f t="shared" si="12"/>
        <v>1</v>
      </c>
      <c r="Y61">
        <f t="shared" si="13"/>
        <v>1</v>
      </c>
      <c r="Z61">
        <f t="shared" si="14"/>
        <v>1</v>
      </c>
      <c r="AA61">
        <f t="shared" si="15"/>
        <v>1</v>
      </c>
    </row>
    <row r="62" spans="1:27" ht="42.75" customHeight="1" x14ac:dyDescent="0.3">
      <c r="A62" t="s">
        <v>390</v>
      </c>
      <c r="B62" t="str">
        <f>IFERROR(VLOOKUP($A62,'Assessment Matrix'!$A:$W,2,FALSE()),"")</f>
        <v>Governance &amp; Operations</v>
      </c>
      <c r="C62" t="str">
        <f>IFERROR(VLOOKUP($A62,'Assessment Matrix'!$A:$W,5,FALSE()),"")</f>
        <v>Blocker</v>
      </c>
      <c r="D62">
        <f>IFERROR(VLOOKUP($A62,'Assessment Matrix'!$A:$W,6,FALSE()),0)</f>
        <v>5</v>
      </c>
      <c r="E62" t="str">
        <f>IFERROR(VLOOKUP($A62,'Assessment Matrix'!$A:$W,9,FALSE()),"")</f>
        <v>Yes</v>
      </c>
      <c r="F62" s="8" t="str">
        <f>IFERROR(VLOOKUP($A62,'Assessment Matrix'!$A:$W,4,FALSE()),"")</f>
        <v>A residual-risk sign-off process is defined before the go-live decision: a named accountable risk owner, sign-off criteria, and timing (before pilot/production and after material changes).</v>
      </c>
      <c r="G62" s="42"/>
      <c r="H62" s="42"/>
      <c r="I62" s="42"/>
      <c r="J62" s="42"/>
      <c r="K62" s="13"/>
      <c r="L62" s="13"/>
      <c r="M62" s="13"/>
      <c r="N62" s="13"/>
      <c r="T62" t="str">
        <f t="shared" si="8"/>
        <v/>
      </c>
      <c r="U62" t="str">
        <f t="shared" si="9"/>
        <v/>
      </c>
      <c r="V62" t="str">
        <f t="shared" si="10"/>
        <v/>
      </c>
      <c r="W62" t="str">
        <f t="shared" si="11"/>
        <v/>
      </c>
      <c r="X62">
        <f t="shared" si="12"/>
        <v>1</v>
      </c>
      <c r="Y62">
        <f t="shared" si="13"/>
        <v>1</v>
      </c>
      <c r="Z62">
        <f t="shared" si="14"/>
        <v>1</v>
      </c>
      <c r="AA62">
        <f t="shared" si="15"/>
        <v>1</v>
      </c>
    </row>
    <row r="63" spans="1:27" ht="42.75" customHeight="1" x14ac:dyDescent="0.3">
      <c r="A63" t="s">
        <v>393</v>
      </c>
      <c r="B63" t="str">
        <f>IFERROR(VLOOKUP($A63,'Assessment Matrix'!$A:$W,2,FALSE()),"")</f>
        <v>Governance &amp; Operations</v>
      </c>
      <c r="C63" t="str">
        <f>IFERROR(VLOOKUP($A63,'Assessment Matrix'!$A:$W,5,FALSE()),"")</f>
        <v>Major</v>
      </c>
      <c r="D63">
        <f>IFERROR(VLOOKUP($A63,'Assessment Matrix'!$A:$W,6,FALSE()),0)</f>
        <v>4</v>
      </c>
      <c r="E63" t="str">
        <f>IFERROR(VLOOKUP($A63,'Assessment Matrix'!$A:$W,9,FALSE()),"")</f>
        <v>Yes</v>
      </c>
      <c r="F63" s="8" t="str">
        <f>IFERROR(VLOOKUP($A63,'Assessment Matrix'!$A:$W,4,FALSE()),"")</f>
        <v>Users, administrators, reviewers, and other persons operating or using the system on the organisation's behalf receive role-, context-, and risk-appropriate AI literacy measures (training and/or guidance); target groups and measures are documented.</v>
      </c>
      <c r="G63" s="42"/>
      <c r="H63" s="42"/>
      <c r="I63" s="42"/>
      <c r="J63" s="42"/>
      <c r="K63" s="13"/>
      <c r="L63" s="13"/>
      <c r="M63" s="13"/>
      <c r="N63" s="13"/>
      <c r="T63" t="str">
        <f t="shared" si="8"/>
        <v/>
      </c>
      <c r="U63" t="str">
        <f t="shared" si="9"/>
        <v/>
      </c>
      <c r="V63" t="str">
        <f t="shared" si="10"/>
        <v/>
      </c>
      <c r="W63" t="str">
        <f t="shared" si="11"/>
        <v/>
      </c>
      <c r="X63">
        <f t="shared" si="12"/>
        <v>1</v>
      </c>
      <c r="Y63">
        <f t="shared" si="13"/>
        <v>1</v>
      </c>
      <c r="Z63">
        <f t="shared" si="14"/>
        <v>1</v>
      </c>
      <c r="AA63">
        <f t="shared" si="15"/>
        <v>1</v>
      </c>
    </row>
    <row r="64" spans="1:27" ht="28.5" customHeight="1" x14ac:dyDescent="0.3">
      <c r="A64" t="s">
        <v>396</v>
      </c>
      <c r="B64" t="str">
        <f>IFERROR(VLOOKUP($A64,'Assessment Matrix'!$A:$W,2,FALSE()),"")</f>
        <v>Governance &amp; Operations</v>
      </c>
      <c r="C64" t="str">
        <f>IFERROR(VLOOKUP($A64,'Assessment Matrix'!$A:$W,5,FALSE()),"")</f>
        <v>Major</v>
      </c>
      <c r="D64">
        <f>IFERROR(VLOOKUP($A64,'Assessment Matrix'!$A:$W,6,FALSE()),0)</f>
        <v>4</v>
      </c>
      <c r="E64" t="str">
        <f>IFERROR(VLOOKUP($A64,'Assessment Matrix'!$A:$W,9,FALSE()),"")</f>
        <v>Yes</v>
      </c>
      <c r="F64" s="8" t="str">
        <f>IFERROR(VLOOKUP($A64,'Assessment Matrix'!$A:$W,4,FALSE()),"")</f>
        <v>Periodic reassessment cadence is set for model updates, provider changes, threat changes, incidents, and regulatory changes.</v>
      </c>
      <c r="G64" s="42"/>
      <c r="H64" s="42"/>
      <c r="I64" s="42"/>
      <c r="J64" s="42"/>
      <c r="K64" s="13"/>
      <c r="L64" s="13"/>
      <c r="M64" s="13"/>
      <c r="N64" s="13"/>
      <c r="T64" t="str">
        <f t="shared" si="8"/>
        <v/>
      </c>
      <c r="U64" t="str">
        <f t="shared" si="9"/>
        <v/>
      </c>
      <c r="V64" t="str">
        <f t="shared" si="10"/>
        <v/>
      </c>
      <c r="W64" t="str">
        <f t="shared" si="11"/>
        <v/>
      </c>
      <c r="X64">
        <f t="shared" si="12"/>
        <v>1</v>
      </c>
      <c r="Y64">
        <f t="shared" si="13"/>
        <v>1</v>
      </c>
      <c r="Z64">
        <f t="shared" si="14"/>
        <v>1</v>
      </c>
      <c r="AA64">
        <f t="shared" si="15"/>
        <v>1</v>
      </c>
    </row>
    <row r="65" spans="1:27" ht="28.5" customHeight="1" x14ac:dyDescent="0.3">
      <c r="A65" t="s">
        <v>399</v>
      </c>
      <c r="B65" t="str">
        <f>IFERROR(VLOOKUP($A65,'Assessment Matrix'!$A:$W,2,FALSE()),"")</f>
        <v>Agentic AI</v>
      </c>
      <c r="C65" t="str">
        <f>IFERROR(VLOOKUP($A65,'Assessment Matrix'!$A:$W,5,FALSE()),"")</f>
        <v>Major</v>
      </c>
      <c r="D65">
        <f>IFERROR(VLOOKUP($A65,'Assessment Matrix'!$A:$W,6,FALSE()),0)</f>
        <v>4</v>
      </c>
      <c r="E65" t="str">
        <f>IFERROR(VLOOKUP($A65,'Assessment Matrix'!$A:$W,9,FALSE()),"")</f>
        <v>Yes</v>
      </c>
      <c r="F65" s="8" t="str">
        <f>IFERROR(VLOOKUP($A65,'Assessment Matrix'!$A:$W,4,FALSE()),"")</f>
        <v>Autonomy is classified and documented: task scope, allowed action types, and which actions may run without human approval.</v>
      </c>
      <c r="G65" s="42"/>
      <c r="H65" s="42"/>
      <c r="I65" s="42"/>
      <c r="J65" s="42"/>
      <c r="K65" s="13"/>
      <c r="L65" s="13"/>
      <c r="M65" s="13"/>
      <c r="N65" s="13"/>
      <c r="T65" t="str">
        <f t="shared" si="8"/>
        <v/>
      </c>
      <c r="U65" t="str">
        <f t="shared" si="9"/>
        <v/>
      </c>
      <c r="V65" t="str">
        <f t="shared" si="10"/>
        <v/>
      </c>
      <c r="W65" t="str">
        <f t="shared" si="11"/>
        <v/>
      </c>
      <c r="X65">
        <f t="shared" si="12"/>
        <v>1</v>
      </c>
      <c r="Y65">
        <f t="shared" si="13"/>
        <v>1</v>
      </c>
      <c r="Z65">
        <f t="shared" si="14"/>
        <v>1</v>
      </c>
      <c r="AA65">
        <f t="shared" si="15"/>
        <v>1</v>
      </c>
    </row>
    <row r="66" spans="1:27" ht="42.75" customHeight="1" x14ac:dyDescent="0.3">
      <c r="A66" t="s">
        <v>403</v>
      </c>
      <c r="B66" t="str">
        <f>IFERROR(VLOOKUP($A66,'Assessment Matrix'!$A:$W,2,FALSE()),"")</f>
        <v>Agentic AI</v>
      </c>
      <c r="C66" t="str">
        <f>IFERROR(VLOOKUP($A66,'Assessment Matrix'!$A:$W,5,FALSE()),"")</f>
        <v>Blocker</v>
      </c>
      <c r="D66">
        <f>IFERROR(VLOOKUP($A66,'Assessment Matrix'!$A:$W,6,FALSE()),0)</f>
        <v>5</v>
      </c>
      <c r="E66" t="str">
        <f>IFERROR(VLOOKUP($A66,'Assessment Matrix'!$A:$W,9,FALSE()),"")</f>
        <v>Yes</v>
      </c>
      <c r="F66" s="8" t="str">
        <f>IFERROR(VLOOKUP($A66,'Assessment Matrix'!$A:$W,4,FALSE()),"")</f>
        <v>High-impact or irreversible actions (external communication, financial transactions, deletion, configuration or rights changes) require human approval or dual control before execution.</v>
      </c>
      <c r="G66" s="42"/>
      <c r="H66" s="42"/>
      <c r="I66" s="42"/>
      <c r="J66" s="42"/>
      <c r="K66" s="13"/>
      <c r="L66" s="13"/>
      <c r="M66" s="13"/>
      <c r="N66" s="13"/>
      <c r="T66" t="str">
        <f t="shared" si="8"/>
        <v/>
      </c>
      <c r="U66" t="str">
        <f t="shared" si="9"/>
        <v/>
      </c>
      <c r="V66" t="str">
        <f t="shared" si="10"/>
        <v/>
      </c>
      <c r="W66" t="str">
        <f t="shared" si="11"/>
        <v/>
      </c>
      <c r="X66">
        <f t="shared" si="12"/>
        <v>1</v>
      </c>
      <c r="Y66">
        <f t="shared" si="13"/>
        <v>1</v>
      </c>
      <c r="Z66">
        <f t="shared" si="14"/>
        <v>1</v>
      </c>
      <c r="AA66">
        <f t="shared" si="15"/>
        <v>1</v>
      </c>
    </row>
    <row r="67" spans="1:27" ht="28.5" customHeight="1" x14ac:dyDescent="0.3">
      <c r="A67" t="s">
        <v>407</v>
      </c>
      <c r="B67" t="str">
        <f>IFERROR(VLOOKUP($A67,'Assessment Matrix'!$A:$W,2,FALSE()),"")</f>
        <v>Agentic AI</v>
      </c>
      <c r="C67" t="str">
        <f>IFERROR(VLOOKUP($A67,'Assessment Matrix'!$A:$W,5,FALSE()),"")</f>
        <v>Blocker</v>
      </c>
      <c r="D67">
        <f>IFERROR(VLOOKUP($A67,'Assessment Matrix'!$A:$W,6,FALSE()),0)</f>
        <v>5</v>
      </c>
      <c r="E67" t="str">
        <f>IFERROR(VLOOKUP($A67,'Assessment Matrix'!$A:$W,9,FALSE()),"")</f>
        <v>Yes</v>
      </c>
      <c r="F67" s="8" t="str">
        <f>IFERROR(VLOOKUP($A67,'Assessment Matrix'!$A:$W,4,FALSE()),"")</f>
        <v>The agent acts under its own governed identity with least-privilege, task-scoped, time-limited credentials per tool; it does not inherit broad user or service rights.</v>
      </c>
      <c r="G67" s="42"/>
      <c r="H67" s="42"/>
      <c r="I67" s="42"/>
      <c r="J67" s="42"/>
      <c r="K67" s="13"/>
      <c r="L67" s="13"/>
      <c r="M67" s="13"/>
      <c r="N67" s="13"/>
      <c r="T67" t="str">
        <f t="shared" si="8"/>
        <v/>
      </c>
      <c r="U67" t="str">
        <f t="shared" si="9"/>
        <v/>
      </c>
      <c r="V67" t="str">
        <f t="shared" si="10"/>
        <v/>
      </c>
      <c r="W67" t="str">
        <f t="shared" si="11"/>
        <v/>
      </c>
      <c r="X67">
        <f t="shared" si="12"/>
        <v>1</v>
      </c>
      <c r="Y67">
        <f t="shared" si="13"/>
        <v>1</v>
      </c>
      <c r="Z67">
        <f t="shared" si="14"/>
        <v>1</v>
      </c>
      <c r="AA67">
        <f t="shared" si="15"/>
        <v>1</v>
      </c>
    </row>
    <row r="68" spans="1:27" ht="28.5" customHeight="1" x14ac:dyDescent="0.3">
      <c r="A68" t="s">
        <v>410</v>
      </c>
      <c r="B68" t="str">
        <f>IFERROR(VLOOKUP($A68,'Assessment Matrix'!$A:$W,2,FALSE()),"")</f>
        <v>Agentic AI</v>
      </c>
      <c r="C68" t="str">
        <f>IFERROR(VLOOKUP($A68,'Assessment Matrix'!$A:$W,5,FALSE()),"")</f>
        <v>Blocker</v>
      </c>
      <c r="D68">
        <f>IFERROR(VLOOKUP($A68,'Assessment Matrix'!$A:$W,6,FALSE()),0)</f>
        <v>5</v>
      </c>
      <c r="E68" t="str">
        <f>IFERROR(VLOOKUP($A68,'Assessment Matrix'!$A:$W,9,FALSE()),"")</f>
        <v>Yes</v>
      </c>
      <c r="F68" s="8" t="str">
        <f>IFERROR(VLOOKUP($A68,'Assessment Matrix'!$A:$W,4,FALSE()),"")</f>
        <v>Tools and connectors are inventoried and allowlisted with per-tool permissions; arbitrary code or shell execution is only possible inside a sandbox.</v>
      </c>
      <c r="G68" s="42"/>
      <c r="H68" s="42"/>
      <c r="I68" s="42"/>
      <c r="J68" s="42"/>
      <c r="K68" s="13"/>
      <c r="L68" s="13"/>
      <c r="M68" s="13"/>
      <c r="N68" s="13"/>
      <c r="T68" t="str">
        <f t="shared" si="8"/>
        <v/>
      </c>
      <c r="U68" t="str">
        <f t="shared" si="9"/>
        <v/>
      </c>
      <c r="V68" t="str">
        <f t="shared" si="10"/>
        <v/>
      </c>
      <c r="W68" t="str">
        <f t="shared" si="11"/>
        <v/>
      </c>
      <c r="X68">
        <f t="shared" si="12"/>
        <v>1</v>
      </c>
      <c r="Y68">
        <f t="shared" si="13"/>
        <v>1</v>
      </c>
      <c r="Z68">
        <f t="shared" si="14"/>
        <v>1</v>
      </c>
      <c r="AA68">
        <f t="shared" si="15"/>
        <v>1</v>
      </c>
    </row>
    <row r="69" spans="1:27" ht="28.5" customHeight="1" x14ac:dyDescent="0.3">
      <c r="A69" t="s">
        <v>414</v>
      </c>
      <c r="B69" t="str">
        <f>IFERROR(VLOOKUP($A69,'Assessment Matrix'!$A:$W,2,FALSE()),"")</f>
        <v>Agentic AI</v>
      </c>
      <c r="C69" t="str">
        <f>IFERROR(VLOOKUP($A69,'Assessment Matrix'!$A:$W,5,FALSE()),"")</f>
        <v>Blocker</v>
      </c>
      <c r="D69">
        <f>IFERROR(VLOOKUP($A69,'Assessment Matrix'!$A:$W,6,FALSE()),0)</f>
        <v>5</v>
      </c>
      <c r="E69" t="str">
        <f>IFERROR(VLOOKUP($A69,'Assessment Matrix'!$A:$W,9,FALSE()),"")</f>
        <v>Yes</v>
      </c>
      <c r="F69" s="8" t="str">
        <f>IFERROR(VLOOKUP($A69,'Assessment Matrix'!$A:$W,4,FALSE()),"")</f>
        <v>The execution environment is isolated (container/VM) with controlled network egress; local file, shell, and browser access is restricted to a defined workspace.</v>
      </c>
      <c r="G69" s="42"/>
      <c r="H69" s="42"/>
      <c r="I69" s="42"/>
      <c r="J69" s="42"/>
      <c r="K69" s="13"/>
      <c r="L69" s="13"/>
      <c r="M69" s="13"/>
      <c r="N69" s="13"/>
      <c r="T69" t="str">
        <f t="shared" si="8"/>
        <v/>
      </c>
      <c r="U69" t="str">
        <f t="shared" si="9"/>
        <v/>
      </c>
      <c r="V69" t="str">
        <f t="shared" si="10"/>
        <v/>
      </c>
      <c r="W69" t="str">
        <f t="shared" si="11"/>
        <v/>
      </c>
      <c r="X69">
        <f t="shared" si="12"/>
        <v>1</v>
      </c>
      <c r="Y69">
        <f t="shared" si="13"/>
        <v>1</v>
      </c>
      <c r="Z69">
        <f t="shared" si="14"/>
        <v>1</v>
      </c>
      <c r="AA69">
        <f t="shared" si="15"/>
        <v>1</v>
      </c>
    </row>
    <row r="70" spans="1:27" ht="42.75" customHeight="1" x14ac:dyDescent="0.3">
      <c r="A70" t="s">
        <v>418</v>
      </c>
      <c r="B70" t="str">
        <f>IFERROR(VLOOKUP($A70,'Assessment Matrix'!$A:$W,2,FALSE()),"")</f>
        <v>Agentic AI</v>
      </c>
      <c r="C70" t="str">
        <f>IFERROR(VLOOKUP($A70,'Assessment Matrix'!$A:$W,5,FALSE()),"")</f>
        <v>Blocker</v>
      </c>
      <c r="D70">
        <f>IFERROR(VLOOKUP($A70,'Assessment Matrix'!$A:$W,6,FALSE()),0)</f>
        <v>5</v>
      </c>
      <c r="E70" t="str">
        <f>IFERROR(VLOOKUP($A70,'Assessment Matrix'!$A:$W,9,FALSE()),"")</f>
        <v>Yes</v>
      </c>
      <c r="F70" s="8" t="str">
        <f>IFERROR(VLOOKUP($A70,'Assessment Matrix'!$A:$W,4,FALSE()),"")</f>
        <v>Content the agent processes (mails, web pages, documents, tickets) is treated as untrusted; indirect prompt injection defenses are implemented and tested against the actual tool set.</v>
      </c>
      <c r="G70" s="42"/>
      <c r="H70" s="42"/>
      <c r="I70" s="42"/>
      <c r="J70" s="42"/>
      <c r="K70" s="13"/>
      <c r="L70" s="13"/>
      <c r="M70" s="13"/>
      <c r="N70" s="13"/>
      <c r="T70" t="str">
        <f t="shared" si="8"/>
        <v/>
      </c>
      <c r="U70" t="str">
        <f t="shared" si="9"/>
        <v/>
      </c>
      <c r="V70" t="str">
        <f t="shared" si="10"/>
        <v/>
      </c>
      <c r="W70" t="str">
        <f t="shared" si="11"/>
        <v/>
      </c>
      <c r="X70">
        <f t="shared" si="12"/>
        <v>1</v>
      </c>
      <c r="Y70">
        <f t="shared" si="13"/>
        <v>1</v>
      </c>
      <c r="Z70">
        <f t="shared" si="14"/>
        <v>1</v>
      </c>
      <c r="AA70">
        <f t="shared" si="15"/>
        <v>1</v>
      </c>
    </row>
    <row r="71" spans="1:27" ht="42.75" customHeight="1" x14ac:dyDescent="0.3">
      <c r="A71" t="s">
        <v>421</v>
      </c>
      <c r="B71" t="str">
        <f>IFERROR(VLOOKUP($A71,'Assessment Matrix'!$A:$W,2,FALSE()),"")</f>
        <v>Agentic AI</v>
      </c>
      <c r="C71" t="str">
        <f>IFERROR(VLOOKUP($A71,'Assessment Matrix'!$A:$W,5,FALSE()),"")</f>
        <v>Major</v>
      </c>
      <c r="D71">
        <f>IFERROR(VLOOKUP($A71,'Assessment Matrix'!$A:$W,6,FALSE()),0)</f>
        <v>4</v>
      </c>
      <c r="E71" t="str">
        <f>IFERROR(VLOOKUP($A71,'Assessment Matrix'!$A:$W,9,FALSE()),"")</f>
        <v>Yes</v>
      </c>
      <c r="F71" s="8" t="str">
        <f>IFERROR(VLOOKUP($A71,'Assessment Matrix'!$A:$W,4,FALSE()),"")</f>
        <v>Persistent agent memory is governed: defined scope and retention, user transparency, protection against memory poisoning, and a way to inspect and delete stored entries.</v>
      </c>
      <c r="G71" s="42"/>
      <c r="H71" s="42"/>
      <c r="I71" s="42"/>
      <c r="J71" s="42"/>
      <c r="K71" s="13"/>
      <c r="L71" s="13"/>
      <c r="M71" s="13"/>
      <c r="N71" s="13"/>
      <c r="T71" t="str">
        <f t="shared" si="8"/>
        <v/>
      </c>
      <c r="U71" t="str">
        <f t="shared" si="9"/>
        <v/>
      </c>
      <c r="V71" t="str">
        <f t="shared" si="10"/>
        <v/>
      </c>
      <c r="W71" t="str">
        <f t="shared" si="11"/>
        <v/>
      </c>
      <c r="X71">
        <f t="shared" si="12"/>
        <v>1</v>
      </c>
      <c r="Y71">
        <f t="shared" si="13"/>
        <v>1</v>
      </c>
      <c r="Z71">
        <f t="shared" si="14"/>
        <v>1</v>
      </c>
      <c r="AA71">
        <f t="shared" si="15"/>
        <v>1</v>
      </c>
    </row>
    <row r="72" spans="1:27" ht="28.5" customHeight="1" x14ac:dyDescent="0.3">
      <c r="A72" t="s">
        <v>425</v>
      </c>
      <c r="B72" t="str">
        <f>IFERROR(VLOOKUP($A72,'Assessment Matrix'!$A:$W,2,FALSE()),"")</f>
        <v>Agentic AI</v>
      </c>
      <c r="C72" t="str">
        <f>IFERROR(VLOOKUP($A72,'Assessment Matrix'!$A:$W,5,FALSE()),"")</f>
        <v>Major</v>
      </c>
      <c r="D72">
        <f>IFERROR(VLOOKUP($A72,'Assessment Matrix'!$A:$W,6,FALSE()),0)</f>
        <v>4</v>
      </c>
      <c r="E72" t="str">
        <f>IFERROR(VLOOKUP($A72,'Assessment Matrix'!$A:$W,9,FALSE()),"")</f>
        <v>Yes</v>
      </c>
      <c r="F72" s="8" t="str">
        <f>IFERROR(VLOOKUP($A72,'Assessment Matrix'!$A:$W,4,FALSE()),"")</f>
        <v>Background or scheduled operation is bounded: run frequency, runtime, hard per-user token/cost budget caps, and automatic stop conditions are enforced.</v>
      </c>
      <c r="G72" s="42"/>
      <c r="H72" s="42"/>
      <c r="I72" s="42"/>
      <c r="J72" s="42"/>
      <c r="K72" s="13"/>
      <c r="L72" s="13"/>
      <c r="M72" s="13"/>
      <c r="N72" s="13"/>
      <c r="T72" t="str">
        <f t="shared" si="8"/>
        <v/>
      </c>
      <c r="U72" t="str">
        <f t="shared" si="9"/>
        <v/>
      </c>
      <c r="V72" t="str">
        <f t="shared" si="10"/>
        <v/>
      </c>
      <c r="W72" t="str">
        <f t="shared" si="11"/>
        <v/>
      </c>
      <c r="X72">
        <f t="shared" si="12"/>
        <v>1</v>
      </c>
      <c r="Y72">
        <f t="shared" si="13"/>
        <v>1</v>
      </c>
      <c r="Z72">
        <f t="shared" si="14"/>
        <v>1</v>
      </c>
      <c r="AA72">
        <f t="shared" si="15"/>
        <v>1</v>
      </c>
    </row>
    <row r="73" spans="1:27" ht="28.5" customHeight="1" x14ac:dyDescent="0.3">
      <c r="A73" t="s">
        <v>429</v>
      </c>
      <c r="B73" t="str">
        <f>IFERROR(VLOOKUP($A73,'Assessment Matrix'!$A:$W,2,FALSE()),"")</f>
        <v>Agentic AI</v>
      </c>
      <c r="C73" t="str">
        <f>IFERROR(VLOOKUP($A73,'Assessment Matrix'!$A:$W,5,FALSE()),"")</f>
        <v>Major</v>
      </c>
      <c r="D73">
        <f>IFERROR(VLOOKUP($A73,'Assessment Matrix'!$A:$W,6,FALSE()),0)</f>
        <v>4</v>
      </c>
      <c r="E73" t="str">
        <f>IFERROR(VLOOKUP($A73,'Assessment Matrix'!$A:$W,9,FALSE()),"")</f>
        <v>Yes</v>
      </c>
      <c r="F73" s="8" t="str">
        <f>IFERROR(VLOOKUP($A73,'Assessment Matrix'!$A:$W,4,FALSE()),"")</f>
        <v>Every agent action is attributably logged (agent identity, tool used, input/output, approver) and auditable end to end; logs feed security monitoring.</v>
      </c>
      <c r="G73" s="42"/>
      <c r="H73" s="42"/>
      <c r="I73" s="42"/>
      <c r="J73" s="42"/>
      <c r="K73" s="13"/>
      <c r="L73" s="13"/>
      <c r="M73" s="13"/>
      <c r="N73" s="13"/>
      <c r="T73" t="str">
        <f t="shared" si="8"/>
        <v/>
      </c>
      <c r="U73" t="str">
        <f t="shared" si="9"/>
        <v/>
      </c>
      <c r="V73" t="str">
        <f t="shared" si="10"/>
        <v/>
      </c>
      <c r="W73" t="str">
        <f t="shared" si="11"/>
        <v/>
      </c>
      <c r="X73">
        <f t="shared" si="12"/>
        <v>1</v>
      </c>
      <c r="Y73">
        <f t="shared" si="13"/>
        <v>1</v>
      </c>
      <c r="Z73">
        <f t="shared" si="14"/>
        <v>1</v>
      </c>
      <c r="AA73">
        <f t="shared" si="15"/>
        <v>1</v>
      </c>
    </row>
    <row r="74" spans="1:27" ht="42.75" customHeight="1" x14ac:dyDescent="0.3">
      <c r="A74" t="s">
        <v>432</v>
      </c>
      <c r="B74" t="str">
        <f>IFERROR(VLOOKUP($A74,'Assessment Matrix'!$A:$W,2,FALSE()),"")</f>
        <v>Agentic AI</v>
      </c>
      <c r="C74" t="str">
        <f>IFERROR(VLOOKUP($A74,'Assessment Matrix'!$A:$W,5,FALSE()),"")</f>
        <v>Blocker</v>
      </c>
      <c r="D74">
        <f>IFERROR(VLOOKUP($A74,'Assessment Matrix'!$A:$W,6,FALSE()),0)</f>
        <v>5</v>
      </c>
      <c r="E74" t="str">
        <f>IFERROR(VLOOKUP($A74,'Assessment Matrix'!$A:$W,9,FALSE()),"")</f>
        <v>Yes</v>
      </c>
      <c r="F74" s="8" t="str">
        <f>IFERROR(VLOOKUP($A74,'Assessment Matrix'!$A:$W,4,FALSE()),"")</f>
        <v>A tested kill switch can stop the agent immediately, revoke its credentials, and contain or roll back in-flight actions; trigger criteria (budget cap breach, anomaly thresholds, policy violation) are defined in advance.</v>
      </c>
      <c r="G74" s="42"/>
      <c r="H74" s="42"/>
      <c r="I74" s="42"/>
      <c r="J74" s="42"/>
      <c r="K74" s="13"/>
      <c r="L74" s="13"/>
      <c r="M74" s="13"/>
      <c r="N74" s="13"/>
      <c r="T74" t="str">
        <f t="shared" si="8"/>
        <v/>
      </c>
      <c r="U74" t="str">
        <f t="shared" si="9"/>
        <v/>
      </c>
      <c r="V74" t="str">
        <f t="shared" si="10"/>
        <v/>
      </c>
      <c r="W74" t="str">
        <f t="shared" si="11"/>
        <v/>
      </c>
      <c r="X74">
        <f t="shared" si="12"/>
        <v>1</v>
      </c>
      <c r="Y74">
        <f t="shared" si="13"/>
        <v>1</v>
      </c>
      <c r="Z74">
        <f t="shared" si="14"/>
        <v>1</v>
      </c>
      <c r="AA74">
        <f t="shared" si="15"/>
        <v>1</v>
      </c>
    </row>
    <row r="75" spans="1:27" ht="28.5" customHeight="1" x14ac:dyDescent="0.3">
      <c r="A75" t="s">
        <v>436</v>
      </c>
      <c r="B75" t="str">
        <f>IFERROR(VLOOKUP($A75,'Assessment Matrix'!$A:$W,2,FALSE()),"")</f>
        <v>Agentic AI</v>
      </c>
      <c r="C75" t="str">
        <f>IFERROR(VLOOKUP($A75,'Assessment Matrix'!$A:$W,5,FALSE()),"")</f>
        <v>Major</v>
      </c>
      <c r="D75">
        <f>IFERROR(VLOOKUP($A75,'Assessment Matrix'!$A:$W,6,FALSE()),0)</f>
        <v>4</v>
      </c>
      <c r="E75" t="str">
        <f>IFERROR(VLOOKUP($A75,'Assessment Matrix'!$A:$W,9,FALSE()),"")</f>
        <v>Yes</v>
      </c>
      <c r="F75" s="8" t="str">
        <f>IFERROR(VLOOKUP($A75,'Assessment Matrix'!$A:$W,4,FALSE()),"")</f>
        <v>Third-party agents, MCP servers, and agent-to-agent connections are inventoried, vetted like suppliers, and constrained like any other tool.</v>
      </c>
      <c r="G75" s="42"/>
      <c r="H75" s="42"/>
      <c r="I75" s="42"/>
      <c r="J75" s="42"/>
      <c r="K75" s="13"/>
      <c r="L75" s="13"/>
      <c r="M75" s="13"/>
      <c r="N75" s="13"/>
      <c r="T75" t="str">
        <f t="shared" si="8"/>
        <v/>
      </c>
      <c r="U75" t="str">
        <f t="shared" si="9"/>
        <v/>
      </c>
      <c r="V75" t="str">
        <f t="shared" si="10"/>
        <v/>
      </c>
      <c r="W75" t="str">
        <f t="shared" si="11"/>
        <v/>
      </c>
      <c r="X75">
        <f t="shared" si="12"/>
        <v>1</v>
      </c>
      <c r="Y75">
        <f t="shared" si="13"/>
        <v>1</v>
      </c>
      <c r="Z75">
        <f t="shared" si="14"/>
        <v>1</v>
      </c>
      <c r="AA75">
        <f t="shared" si="15"/>
        <v>1</v>
      </c>
    </row>
    <row r="76" spans="1:27" ht="42.75" customHeight="1" x14ac:dyDescent="0.3">
      <c r="A76" t="s">
        <v>441</v>
      </c>
      <c r="B76" t="str">
        <f>IFERROR(VLOOKUP($A76,'Assessment Matrix'!$A:$W,2,FALSE()),"")</f>
        <v>Agentic AI</v>
      </c>
      <c r="C76" t="str">
        <f>IFERROR(VLOOKUP($A76,'Assessment Matrix'!$A:$W,5,FALSE()),"")</f>
        <v>Major</v>
      </c>
      <c r="D76">
        <f>IFERROR(VLOOKUP($A76,'Assessment Matrix'!$A:$W,6,FALSE()),0)</f>
        <v>4</v>
      </c>
      <c r="E76" t="str">
        <f>IFERROR(VLOOKUP($A76,'Assessment Matrix'!$A:$W,9,FALSE()),"")</f>
        <v>Yes</v>
      </c>
      <c r="F76" s="8" t="str">
        <f>IFERROR(VLOOKUP($A76,'Assessment Matrix'!$A:$W,4,FALSE()),"")</f>
        <v>Agent behavior is monitored for autonomy anomalies (excessive tool invocations, loops, goal deviation, unusual action patterns) with alerts and assigned response ownership.</v>
      </c>
      <c r="G76" s="42"/>
      <c r="H76" s="42"/>
      <c r="I76" s="42"/>
      <c r="J76" s="42"/>
      <c r="K76" s="13"/>
      <c r="L76" s="13"/>
      <c r="M76" s="13"/>
      <c r="N76" s="13"/>
      <c r="T76" t="str">
        <f t="shared" si="8"/>
        <v/>
      </c>
      <c r="U76" t="str">
        <f t="shared" si="9"/>
        <v/>
      </c>
      <c r="V76" t="str">
        <f t="shared" si="10"/>
        <v/>
      </c>
      <c r="W76" t="str">
        <f t="shared" si="11"/>
        <v/>
      </c>
      <c r="X76">
        <f t="shared" si="12"/>
        <v>1</v>
      </c>
      <c r="Y76">
        <f t="shared" si="13"/>
        <v>1</v>
      </c>
      <c r="Z76">
        <f t="shared" si="14"/>
        <v>1</v>
      </c>
      <c r="AA76">
        <f t="shared" si="15"/>
        <v>1</v>
      </c>
    </row>
    <row r="77" spans="1:27" ht="28.5" customHeight="1" x14ac:dyDescent="0.3">
      <c r="A77" t="s">
        <v>444</v>
      </c>
      <c r="B77" t="str">
        <f>IFERROR(VLOOKUP($A77,'Assessment Matrix'!$A:$W,2,FALSE()),"")</f>
        <v>Agentic AI</v>
      </c>
      <c r="C77" t="str">
        <f>IFERROR(VLOOKUP($A77,'Assessment Matrix'!$A:$W,5,FALSE()),"")</f>
        <v>Major</v>
      </c>
      <c r="D77">
        <f>IFERROR(VLOOKUP($A77,'Assessment Matrix'!$A:$W,6,FALSE()),0)</f>
        <v>4</v>
      </c>
      <c r="E77" t="str">
        <f>IFERROR(VLOOKUP($A77,'Assessment Matrix'!$A:$W,9,FALSE()),"")</f>
        <v>Yes</v>
      </c>
      <c r="F77" s="8" t="str">
        <f>IFERROR(VLOOKUP($A77,'Assessment Matrix'!$A:$W,4,FALSE()),"")</f>
        <v>Agent credentials follow a managed non-human-identity lifecycle: automated rotation, expiry, and decommissioning when the agent or its task ends.</v>
      </c>
      <c r="G77" s="42"/>
      <c r="H77" s="42"/>
      <c r="I77" s="42"/>
      <c r="J77" s="42"/>
      <c r="K77" s="13"/>
      <c r="L77" s="13"/>
      <c r="M77" s="13"/>
      <c r="N77" s="13"/>
      <c r="T77" t="str">
        <f t="shared" si="8"/>
        <v/>
      </c>
      <c r="U77" t="str">
        <f t="shared" si="9"/>
        <v/>
      </c>
      <c r="V77" t="str">
        <f t="shared" si="10"/>
        <v/>
      </c>
      <c r="W77" t="str">
        <f t="shared" si="11"/>
        <v/>
      </c>
      <c r="X77">
        <f t="shared" si="12"/>
        <v>1</v>
      </c>
      <c r="Y77">
        <f t="shared" si="13"/>
        <v>1</v>
      </c>
      <c r="Z77">
        <f t="shared" si="14"/>
        <v>1</v>
      </c>
      <c r="AA77">
        <f t="shared" si="15"/>
        <v>1</v>
      </c>
    </row>
  </sheetData>
  <sheetProtection sheet="1" formatCells="0" formatColumns="0" formatRows="0"/>
  <mergeCells count="2">
    <mergeCell ref="A2:D2"/>
    <mergeCell ref="O6:S6"/>
  </mergeCells>
  <dataValidations count="3">
    <dataValidation type="list" allowBlank="1" showInputMessage="1" showErrorMessage="1" errorTitle="Invalid entry" error="Please choose a value from the dropdown list." promptTitle="Answer" prompt="N/A is allowed here and excluded from scoring. Blanks keep the verdict INCOMPLETE. Rows out of scope per Scoping are excluded automatically." sqref="G10:J77" xr:uid="{00000000-0002-0000-0600-000000000000}">
      <formula1>"Yes,Partial,No,N/A"</formula1>
      <formula2>0</formula2>
    </dataValidation>
    <dataValidation type="list" allowBlank="1" showErrorMessage="1" sqref="K8:N8" xr:uid="{00000000-0002-0000-0600-000001000000}">
      <formula1>"Approved,Rejected"</formula1>
      <formula2>0</formula2>
    </dataValidation>
    <dataValidation type="date" allowBlank="1" showErrorMessage="1" sqref="Q8:Q11" xr:uid="{00000000-0002-0000-0600-000002000000}">
      <formula1>DATE(2020,1,1)</formula1>
      <formula2>DATE(2100,12,31)</formula2>
    </dataValidation>
  </dataValidations>
  <pageMargins left="0.75" right="0.75" top="1" bottom="1" header="0.5" footer="0.5"/>
  <pageSetup paperSize="9" fitToHeight="0" orientation="landscape" horizontalDpi="300" verticalDpi="300"/>
  <headerFooter>
    <oddHeader>&amp;L&amp;A&amp;Rv0.6.8-r4 - &amp;D</oddHeader>
    <oddFooter>&amp;RPage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35"/>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6640625" defaultRowHeight="14.4" x14ac:dyDescent="0.3"/>
  <cols>
    <col min="1" max="1" width="8" customWidth="1"/>
    <col min="2" max="2" width="26" customWidth="1"/>
    <col min="3" max="3" width="80" customWidth="1"/>
    <col min="4" max="4" width="40" customWidth="1"/>
    <col min="5" max="5" width="20" customWidth="1"/>
    <col min="6" max="7" width="24" customWidth="1"/>
    <col min="10" max="14" width="10" hidden="1" customWidth="1"/>
    <col min="15" max="24" width="12" hidden="1" customWidth="1"/>
  </cols>
  <sheetData>
    <row r="1" spans="1:24" ht="15" customHeight="1" x14ac:dyDescent="0.35">
      <c r="A1" s="56" t="s">
        <v>623</v>
      </c>
      <c r="B1" s="57"/>
      <c r="C1" s="57"/>
      <c r="D1" s="57"/>
      <c r="E1" s="57"/>
      <c r="F1" s="57"/>
      <c r="G1" s="57"/>
      <c r="J1" t="s">
        <v>624</v>
      </c>
      <c r="K1" t="s">
        <v>625</v>
      </c>
      <c r="L1" t="s">
        <v>626</v>
      </c>
      <c r="M1" t="s">
        <v>627</v>
      </c>
      <c r="N1" t="s">
        <v>628</v>
      </c>
      <c r="O1" t="s">
        <v>629</v>
      </c>
      <c r="P1" t="s">
        <v>630</v>
      </c>
      <c r="Q1" t="s">
        <v>631</v>
      </c>
      <c r="R1" t="s">
        <v>632</v>
      </c>
      <c r="S1" t="s">
        <v>633</v>
      </c>
      <c r="T1" t="s">
        <v>634</v>
      </c>
      <c r="U1" t="s">
        <v>635</v>
      </c>
      <c r="V1" t="s">
        <v>636</v>
      </c>
      <c r="W1" t="s">
        <v>637</v>
      </c>
      <c r="X1" t="s">
        <v>638</v>
      </c>
    </row>
    <row r="2" spans="1:24" ht="150" customHeight="1" x14ac:dyDescent="0.3">
      <c r="A2" s="94" t="s">
        <v>639</v>
      </c>
      <c r="B2" s="94"/>
      <c r="C2" s="94"/>
      <c r="D2" s="94"/>
      <c r="E2" s="94"/>
      <c r="F2" s="94"/>
      <c r="G2" s="94"/>
      <c r="H2" s="11" t="s">
        <v>640</v>
      </c>
      <c r="I2" s="13"/>
      <c r="X2">
        <f>IF(OR(NOT(IFERROR(OR($I$2="",$I$2="Yes",$I$2="No"),FALSE())),NOT(IFERROR(OR($I$3="",$I$3="Yes",$I$3="No"),FALSE())),NOT(IFERROR(OR($E$3="Local stdio",$E$3="Remote Streamable HTTP",$E$3="Legacy SSE/HTTP",$E$3="Mixed"),FALSE())),NOT(IFERROR(OR($G$3="Local process",$G$3="Remote server",$G$3="Mixed"),FALSE())),NOT(IFERROR(OR($C$4="Yes",$C$4="No",$C$4="N/A"),FALSE())),NOT(IFERROR(OR($E$4="Yes",$E$4="No"),FALSE())),NOT(IFERROR(OR($G$4="Yes",$G$4="No"),FALSE())),NOT(IFERROR(YEAR(DATE(--LEFT($C$3,4),--MID($C$3,6,2),--MID($C$3,9,2)))&amp;"-"&amp;TEXT(MONTH(DATE(--LEFT($C$3,4),--MID($C$3,6,2),--MID($C$3,9,2))),"00")&amp;"-"&amp;TEXT(DAY(DATE(--LEFT($C$3,4),--MID($C$3,6,2),--MID($C$3,9,2))),"00")=$C$3,FALSE()))),1,0)</f>
        <v>1</v>
      </c>
    </row>
    <row r="3" spans="1:24" ht="15" customHeight="1" x14ac:dyDescent="0.3">
      <c r="A3" s="2" t="s">
        <v>641</v>
      </c>
      <c r="B3" s="58" t="s">
        <v>642</v>
      </c>
      <c r="C3" s="59" t="s">
        <v>643</v>
      </c>
      <c r="D3" s="58" t="s">
        <v>644</v>
      </c>
      <c r="E3" s="42"/>
      <c r="F3" s="58" t="s">
        <v>645</v>
      </c>
      <c r="G3" s="42"/>
      <c r="H3" s="11" t="s">
        <v>646</v>
      </c>
      <c r="I3" s="42"/>
      <c r="X3" t="str">
        <f>_xlfn.TEXTJOIN("; ",TRUE(),IF(NOT(IFERROR(OR($I$2="",$I$2="Yes",$I$2="No"),FALSE())),"I2 Required selection invalid",""),IF(NOT(IFERROR(OR($I$3="",$I$3="Yes",$I$3="No"),FALSE())),"I3 Assessed selection invalid",""),IF(NOT(IFERROR(OR($E$3="Local stdio",$E$3="Remote Streamable HTTP",$E$3="Legacy SSE/HTTP",$E$3="Mixed"),FALSE())),"E3 Transport missing / invalid",""),IF(NOT(IFERROR(OR($G$3="Local process",$G$3="Remote server",$G$3="Mixed"),FALSE())),"G3 Locality missing / invalid",""),IF(NOT(IFERROR(OR($C$4="Yes",$C$4="No",$C$4="N/A"),FALSE())),"C4 Authorization missing / invalid",""),IF(NOT(IFERROR(OR($E$4="Yes",$E$4="No"),FALSE())),"E4 Multi-tenant missing / invalid",""),IF(NOT(IFERROR(OR($G$4="Yes",$G$4="No"),FALSE())),"G4 Proxy / capability context missing / invalid",""),IF(NOT(IFERROR(YEAR(DATE(--LEFT($C$3,4),--MID($C$3,6,2),--MID($C$3,9,2)))&amp;"-"&amp;TEXT(MONTH(DATE(--LEFT($C$3,4),--MID($C$3,6,2),--MID($C$3,9,2))),"00")&amp;"-"&amp;TEXT(DAY(DATE(--LEFT($C$3,4),--MID($C$3,6,2),--MID($C$3,9,2))),"00")=$C$3,FALSE())),"C3 Protocol version must be a real YYYY-MM-DD date",""))</f>
        <v>E3 Transport missing / invalid; G3 Locality missing / invalid; C4 Authorization missing / invalid; E4 Multi-tenant missing / invalid; G4 Proxy / capability context missing / invalid</v>
      </c>
    </row>
    <row r="4" spans="1:24" ht="15" customHeight="1" x14ac:dyDescent="0.3">
      <c r="B4" s="58" t="s">
        <v>647</v>
      </c>
      <c r="C4" s="42"/>
      <c r="D4" s="58" t="s">
        <v>648</v>
      </c>
      <c r="E4" s="42"/>
      <c r="F4" s="58" t="s">
        <v>649</v>
      </c>
      <c r="G4" s="42"/>
      <c r="X4">
        <f>IF(SUM($S$6:$S$21)=0,2,IF(IFERROR(AND($D$29="Rejected",AND(IFERROR($E$29&lt;&gt;"",FALSE()),IFERROR(AND(ISNUMBER($F$29),$F$29&gt;=DATE(2020,1,1),$F$29&lt;=DATE(2100,12,31)),FALSE()))),FALSE()),-1,IF(AND(IFERROR(AND($D$29="Approved",AND(IFERROR($E$29&lt;&gt;"",FALSE()),IFERROR(AND(ISNUMBER($F$29),$F$29&gt;=DATE(2020,1,1),$F$29&lt;=DATE(2100,12,31)),FALSE())),$D$32&lt;&gt;"",$D$32=$D$31,NOT(_xlfn.ISFORMULA($D$32))),FALSE()),LEFT($D$31,14)&lt;&gt;"SNAPSHOT ERROR"),1,0)))</f>
        <v>2</v>
      </c>
    </row>
    <row r="5" spans="1:24" ht="30" customHeight="1" x14ac:dyDescent="0.3">
      <c r="A5" s="5" t="s">
        <v>68</v>
      </c>
      <c r="B5" s="5" t="s">
        <v>650</v>
      </c>
      <c r="C5" s="5" t="s">
        <v>651</v>
      </c>
      <c r="D5" s="5" t="s">
        <v>652</v>
      </c>
      <c r="E5" s="5" t="s">
        <v>152</v>
      </c>
      <c r="F5" s="5" t="s">
        <v>653</v>
      </c>
      <c r="G5" s="5" t="s">
        <v>153</v>
      </c>
      <c r="H5" s="32" t="s">
        <v>654</v>
      </c>
      <c r="X5">
        <f>SUM($O$6:$O$21)</f>
        <v>0</v>
      </c>
    </row>
    <row r="6" spans="1:24" ht="30" customHeight="1" x14ac:dyDescent="0.3">
      <c r="A6" s="60" t="s">
        <v>655</v>
      </c>
      <c r="B6" s="60" t="s">
        <v>656</v>
      </c>
      <c r="C6" s="61" t="s">
        <v>657</v>
      </c>
      <c r="D6" s="60" t="s">
        <v>658</v>
      </c>
      <c r="E6" s="62"/>
      <c r="F6" s="62"/>
      <c r="G6" s="62"/>
      <c r="H6" t="s">
        <v>523</v>
      </c>
      <c r="J6" t="str">
        <f t="shared" ref="J6:J21" si="0">IF($V6&gt;0,$A6,"")</f>
        <v/>
      </c>
      <c r="K6" t="str">
        <f t="shared" ref="K6:K21" si="1">IF($Q6&gt;0,$A6,"")</f>
        <v/>
      </c>
      <c r="L6" t="str">
        <f t="shared" ref="L6:L21" si="2">IF($R6&gt;0,$A6,"")</f>
        <v>MS.1</v>
      </c>
      <c r="M6" t="str">
        <f t="shared" ref="M6:M21" si="3">IF($S6&gt;0,$A6,"")</f>
        <v/>
      </c>
      <c r="N6" t="str">
        <f t="shared" ref="N6:N21" si="4">IFERROR(IF($S6&gt;0,$A6&amp;":"&amp;LEN($G6)&amp;":"&amp;$G6,""),"")</f>
        <v/>
      </c>
      <c r="O6">
        <f t="shared" ref="O6:O21" si="5">IF(OR(ISERROR($E6),ISERROR($F6),ISERROR($G6)),1,0)</f>
        <v>0</v>
      </c>
      <c r="P6">
        <f t="shared" ref="P6:P21" si="6">IF(IFERROR(IF($H6="Yes",IF(OR($E6="Compliant",$E6="Partially compliant"),IF(ISERROR($F6),TRUE(),$F6=""),FALSE()),FALSE()),FALSE()),1,0)</f>
        <v>0</v>
      </c>
      <c r="Q6">
        <f t="shared" ref="Q6:Q21" si="7">IF(IFERROR(IF($H6="Yes",IF($E6="N/A",$G6="",FALSE()),FALSE()),TRUE()),1,0)</f>
        <v>0</v>
      </c>
      <c r="R6">
        <f t="shared" ref="R6:R21" si="8">IF(IFERROR(IF($H6="Yes",NOT(OR($E6="Compliant",$E6="Partially compliant",$E6="Non-compliant",$E6="N/A")),FALSE()),TRUE()),1,0)</f>
        <v>1</v>
      </c>
      <c r="S6">
        <f t="shared" ref="S6:S21" si="9">IF(IFERROR(IF($H6="Yes",AND($D6="Mandatory",$E6="N/A",$G6&lt;&gt;""),FALSE()),FALSE()),1,0)</f>
        <v>0</v>
      </c>
      <c r="T6">
        <f t="shared" ref="T6:T21" si="10">IFERROR(IF($H6="Yes",IF($E6="Compliant",1,IF($E6="Partially compliant",0.5,0)),0),0)</f>
        <v>0</v>
      </c>
      <c r="U6">
        <f t="shared" ref="U6:U21" si="11">IF(IFERROR(IF($H6="Yes",$E6&lt;&gt;"N/A",FALSE()),TRUE()),1,0)</f>
        <v>1</v>
      </c>
      <c r="V6">
        <f t="shared" ref="V6:V21" si="12">IF(IFERROR(IF($H6="Yes",AND($D6="Mandatory",OR($E6="Partially compliant",$E6="Non-compliant")),FALSE()),FALSE()),1,0)</f>
        <v>0</v>
      </c>
      <c r="W6" t="str">
        <f t="shared" ref="W6:W21" si="13">IF($O6&gt;0,$A6,"")</f>
        <v/>
      </c>
      <c r="X6">
        <f>SUM($S$6:$S$21)</f>
        <v>0</v>
      </c>
    </row>
    <row r="7" spans="1:24" ht="30" customHeight="1" x14ac:dyDescent="0.3">
      <c r="A7" s="60" t="s">
        <v>659</v>
      </c>
      <c r="B7" s="60" t="s">
        <v>656</v>
      </c>
      <c r="C7" s="61" t="s">
        <v>660</v>
      </c>
      <c r="D7" s="60" t="s">
        <v>661</v>
      </c>
      <c r="E7" s="62"/>
      <c r="F7" s="62"/>
      <c r="G7" s="62"/>
      <c r="H7" t="s">
        <v>523</v>
      </c>
      <c r="J7" t="str">
        <f t="shared" si="0"/>
        <v/>
      </c>
      <c r="K7" t="str">
        <f t="shared" si="1"/>
        <v/>
      </c>
      <c r="L7" t="str">
        <f t="shared" si="2"/>
        <v>MS.2</v>
      </c>
      <c r="M7" t="str">
        <f t="shared" si="3"/>
        <v/>
      </c>
      <c r="N7" t="str">
        <f t="shared" si="4"/>
        <v/>
      </c>
      <c r="O7">
        <f t="shared" si="5"/>
        <v>0</v>
      </c>
      <c r="P7">
        <f t="shared" si="6"/>
        <v>0</v>
      </c>
      <c r="Q7">
        <f t="shared" si="7"/>
        <v>0</v>
      </c>
      <c r="R7">
        <f t="shared" si="8"/>
        <v>1</v>
      </c>
      <c r="S7">
        <f t="shared" si="9"/>
        <v>0</v>
      </c>
      <c r="T7">
        <f t="shared" si="10"/>
        <v>0</v>
      </c>
      <c r="U7">
        <f t="shared" si="11"/>
        <v>1</v>
      </c>
      <c r="V7">
        <f t="shared" si="12"/>
        <v>0</v>
      </c>
      <c r="W7" t="str">
        <f t="shared" si="13"/>
        <v/>
      </c>
      <c r="X7" t="str">
        <f>IF($X$6=0,"",IF($X$4=1,"Approved",IF($X$4=-1,"Rejected - replace N/A answers","Pending review: check D29:F29 and D32; paste the current set as values.")))</f>
        <v/>
      </c>
    </row>
    <row r="8" spans="1:24" ht="30" customHeight="1" x14ac:dyDescent="0.3">
      <c r="A8" s="60" t="s">
        <v>662</v>
      </c>
      <c r="B8" s="60" t="s">
        <v>663</v>
      </c>
      <c r="C8" s="61" t="s">
        <v>664</v>
      </c>
      <c r="D8" s="60" t="s">
        <v>658</v>
      </c>
      <c r="E8" s="62"/>
      <c r="F8" s="62"/>
      <c r="G8" s="62"/>
      <c r="H8" t="s">
        <v>523</v>
      </c>
      <c r="J8" t="str">
        <f t="shared" si="0"/>
        <v/>
      </c>
      <c r="K8" t="str">
        <f t="shared" si="1"/>
        <v/>
      </c>
      <c r="L8" t="str">
        <f t="shared" si="2"/>
        <v>MS.3</v>
      </c>
      <c r="M8" t="str">
        <f t="shared" si="3"/>
        <v/>
      </c>
      <c r="N8" t="str">
        <f t="shared" si="4"/>
        <v/>
      </c>
      <c r="O8">
        <f t="shared" si="5"/>
        <v>0</v>
      </c>
      <c r="P8">
        <f t="shared" si="6"/>
        <v>0</v>
      </c>
      <c r="Q8">
        <f t="shared" si="7"/>
        <v>0</v>
      </c>
      <c r="R8">
        <f t="shared" si="8"/>
        <v>1</v>
      </c>
      <c r="S8">
        <f t="shared" si="9"/>
        <v>0</v>
      </c>
      <c r="T8">
        <f t="shared" si="10"/>
        <v>0</v>
      </c>
      <c r="U8">
        <f t="shared" si="11"/>
        <v>1</v>
      </c>
      <c r="V8">
        <f t="shared" si="12"/>
        <v>0</v>
      </c>
      <c r="W8" t="str">
        <f t="shared" si="13"/>
        <v/>
      </c>
    </row>
    <row r="9" spans="1:24" ht="30" customHeight="1" x14ac:dyDescent="0.3">
      <c r="A9" s="60" t="s">
        <v>665</v>
      </c>
      <c r="B9" s="60" t="s">
        <v>663</v>
      </c>
      <c r="C9" s="61" t="s">
        <v>666</v>
      </c>
      <c r="D9" s="60" t="s">
        <v>658</v>
      </c>
      <c r="E9" s="62"/>
      <c r="F9" s="62"/>
      <c r="G9" s="62"/>
      <c r="H9" t="s">
        <v>523</v>
      </c>
      <c r="J9" t="str">
        <f t="shared" si="0"/>
        <v/>
      </c>
      <c r="K9" t="str">
        <f t="shared" si="1"/>
        <v/>
      </c>
      <c r="L9" t="str">
        <f t="shared" si="2"/>
        <v>MS.4</v>
      </c>
      <c r="M9" t="str">
        <f t="shared" si="3"/>
        <v/>
      </c>
      <c r="N9" t="str">
        <f t="shared" si="4"/>
        <v/>
      </c>
      <c r="O9">
        <f t="shared" si="5"/>
        <v>0</v>
      </c>
      <c r="P9">
        <f t="shared" si="6"/>
        <v>0</v>
      </c>
      <c r="Q9">
        <f t="shared" si="7"/>
        <v>0</v>
      </c>
      <c r="R9">
        <f t="shared" si="8"/>
        <v>1</v>
      </c>
      <c r="S9">
        <f t="shared" si="9"/>
        <v>0</v>
      </c>
      <c r="T9">
        <f t="shared" si="10"/>
        <v>0</v>
      </c>
      <c r="U9">
        <f t="shared" si="11"/>
        <v>1</v>
      </c>
      <c r="V9">
        <f t="shared" si="12"/>
        <v>0</v>
      </c>
      <c r="W9" t="str">
        <f t="shared" si="13"/>
        <v/>
      </c>
    </row>
    <row r="10" spans="1:24" ht="30" customHeight="1" x14ac:dyDescent="0.3">
      <c r="A10" s="60" t="s">
        <v>667</v>
      </c>
      <c r="B10" s="60" t="s">
        <v>663</v>
      </c>
      <c r="C10" s="61" t="s">
        <v>668</v>
      </c>
      <c r="D10" s="60" t="s">
        <v>658</v>
      </c>
      <c r="E10" s="62"/>
      <c r="F10" s="62"/>
      <c r="G10" s="62"/>
      <c r="H10" t="s">
        <v>523</v>
      </c>
      <c r="J10" t="str">
        <f t="shared" si="0"/>
        <v/>
      </c>
      <c r="K10" t="str">
        <f t="shared" si="1"/>
        <v/>
      </c>
      <c r="L10" t="str">
        <f t="shared" si="2"/>
        <v>MS.5</v>
      </c>
      <c r="M10" t="str">
        <f t="shared" si="3"/>
        <v/>
      </c>
      <c r="N10" t="str">
        <f t="shared" si="4"/>
        <v/>
      </c>
      <c r="O10">
        <f t="shared" si="5"/>
        <v>0</v>
      </c>
      <c r="P10">
        <f t="shared" si="6"/>
        <v>0</v>
      </c>
      <c r="Q10">
        <f t="shared" si="7"/>
        <v>0</v>
      </c>
      <c r="R10">
        <f t="shared" si="8"/>
        <v>1</v>
      </c>
      <c r="S10">
        <f t="shared" si="9"/>
        <v>0</v>
      </c>
      <c r="T10">
        <f t="shared" si="10"/>
        <v>0</v>
      </c>
      <c r="U10">
        <f t="shared" si="11"/>
        <v>1</v>
      </c>
      <c r="V10">
        <f t="shared" si="12"/>
        <v>0</v>
      </c>
      <c r="W10" t="str">
        <f t="shared" si="13"/>
        <v/>
      </c>
    </row>
    <row r="11" spans="1:24" ht="30" customHeight="1" x14ac:dyDescent="0.3">
      <c r="A11" s="60" t="s">
        <v>669</v>
      </c>
      <c r="B11" s="60" t="s">
        <v>670</v>
      </c>
      <c r="C11" s="61" t="s">
        <v>671</v>
      </c>
      <c r="D11" s="60" t="s">
        <v>658</v>
      </c>
      <c r="E11" s="62"/>
      <c r="F11" s="62"/>
      <c r="G11" s="62"/>
      <c r="H11" t="s">
        <v>523</v>
      </c>
      <c r="J11" t="str">
        <f t="shared" si="0"/>
        <v/>
      </c>
      <c r="K11" t="str">
        <f t="shared" si="1"/>
        <v/>
      </c>
      <c r="L11" t="str">
        <f t="shared" si="2"/>
        <v>MS.6</v>
      </c>
      <c r="M11" t="str">
        <f t="shared" si="3"/>
        <v/>
      </c>
      <c r="N11" t="str">
        <f t="shared" si="4"/>
        <v/>
      </c>
      <c r="O11">
        <f t="shared" si="5"/>
        <v>0</v>
      </c>
      <c r="P11">
        <f t="shared" si="6"/>
        <v>0</v>
      </c>
      <c r="Q11">
        <f t="shared" si="7"/>
        <v>0</v>
      </c>
      <c r="R11">
        <f t="shared" si="8"/>
        <v>1</v>
      </c>
      <c r="S11">
        <f t="shared" si="9"/>
        <v>0</v>
      </c>
      <c r="T11">
        <f t="shared" si="10"/>
        <v>0</v>
      </c>
      <c r="U11">
        <f t="shared" si="11"/>
        <v>1</v>
      </c>
      <c r="V11">
        <f t="shared" si="12"/>
        <v>0</v>
      </c>
      <c r="W11" t="str">
        <f t="shared" si="13"/>
        <v/>
      </c>
    </row>
    <row r="12" spans="1:24" ht="30" customHeight="1" x14ac:dyDescent="0.3">
      <c r="A12" s="60" t="s">
        <v>672</v>
      </c>
      <c r="B12" s="60" t="s">
        <v>670</v>
      </c>
      <c r="C12" s="61" t="s">
        <v>673</v>
      </c>
      <c r="D12" s="60" t="s">
        <v>661</v>
      </c>
      <c r="E12" s="62"/>
      <c r="F12" s="62"/>
      <c r="G12" s="62"/>
      <c r="H12" t="s">
        <v>523</v>
      </c>
      <c r="J12" t="str">
        <f t="shared" si="0"/>
        <v/>
      </c>
      <c r="K12" t="str">
        <f t="shared" si="1"/>
        <v/>
      </c>
      <c r="L12" t="str">
        <f t="shared" si="2"/>
        <v>MS.7</v>
      </c>
      <c r="M12" t="str">
        <f t="shared" si="3"/>
        <v/>
      </c>
      <c r="N12" t="str">
        <f t="shared" si="4"/>
        <v/>
      </c>
      <c r="O12">
        <f t="shared" si="5"/>
        <v>0</v>
      </c>
      <c r="P12">
        <f t="shared" si="6"/>
        <v>0</v>
      </c>
      <c r="Q12">
        <f t="shared" si="7"/>
        <v>0</v>
      </c>
      <c r="R12">
        <f t="shared" si="8"/>
        <v>1</v>
      </c>
      <c r="S12">
        <f t="shared" si="9"/>
        <v>0</v>
      </c>
      <c r="T12">
        <f t="shared" si="10"/>
        <v>0</v>
      </c>
      <c r="U12">
        <f t="shared" si="11"/>
        <v>1</v>
      </c>
      <c r="V12">
        <f t="shared" si="12"/>
        <v>0</v>
      </c>
      <c r="W12" t="str">
        <f t="shared" si="13"/>
        <v/>
      </c>
    </row>
    <row r="13" spans="1:24" ht="30" customHeight="1" x14ac:dyDescent="0.3">
      <c r="A13" s="60" t="s">
        <v>674</v>
      </c>
      <c r="B13" s="60" t="s">
        <v>675</v>
      </c>
      <c r="C13" s="61" t="s">
        <v>676</v>
      </c>
      <c r="D13" s="60" t="s">
        <v>658</v>
      </c>
      <c r="E13" s="62"/>
      <c r="F13" s="62"/>
      <c r="G13" s="62"/>
      <c r="H13" t="s">
        <v>523</v>
      </c>
      <c r="J13" t="str">
        <f t="shared" si="0"/>
        <v/>
      </c>
      <c r="K13" t="str">
        <f t="shared" si="1"/>
        <v/>
      </c>
      <c r="L13" t="str">
        <f t="shared" si="2"/>
        <v>MS.8</v>
      </c>
      <c r="M13" t="str">
        <f t="shared" si="3"/>
        <v/>
      </c>
      <c r="N13" t="str">
        <f t="shared" si="4"/>
        <v/>
      </c>
      <c r="O13">
        <f t="shared" si="5"/>
        <v>0</v>
      </c>
      <c r="P13">
        <f t="shared" si="6"/>
        <v>0</v>
      </c>
      <c r="Q13">
        <f t="shared" si="7"/>
        <v>0</v>
      </c>
      <c r="R13">
        <f t="shared" si="8"/>
        <v>1</v>
      </c>
      <c r="S13">
        <f t="shared" si="9"/>
        <v>0</v>
      </c>
      <c r="T13">
        <f t="shared" si="10"/>
        <v>0</v>
      </c>
      <c r="U13">
        <f t="shared" si="11"/>
        <v>1</v>
      </c>
      <c r="V13">
        <f t="shared" si="12"/>
        <v>0</v>
      </c>
      <c r="W13" t="str">
        <f t="shared" si="13"/>
        <v/>
      </c>
    </row>
    <row r="14" spans="1:24" ht="30" customHeight="1" x14ac:dyDescent="0.3">
      <c r="A14" s="60" t="s">
        <v>677</v>
      </c>
      <c r="B14" s="60" t="s">
        <v>675</v>
      </c>
      <c r="C14" s="61" t="s">
        <v>678</v>
      </c>
      <c r="D14" s="60" t="s">
        <v>661</v>
      </c>
      <c r="E14" s="62"/>
      <c r="F14" s="62"/>
      <c r="G14" s="62"/>
      <c r="H14" t="s">
        <v>523</v>
      </c>
      <c r="J14" t="str">
        <f t="shared" si="0"/>
        <v/>
      </c>
      <c r="K14" t="str">
        <f t="shared" si="1"/>
        <v/>
      </c>
      <c r="L14" t="str">
        <f t="shared" si="2"/>
        <v>MS.9</v>
      </c>
      <c r="M14" t="str">
        <f t="shared" si="3"/>
        <v/>
      </c>
      <c r="N14" t="str">
        <f t="shared" si="4"/>
        <v/>
      </c>
      <c r="O14">
        <f t="shared" si="5"/>
        <v>0</v>
      </c>
      <c r="P14">
        <f t="shared" si="6"/>
        <v>0</v>
      </c>
      <c r="Q14">
        <f t="shared" si="7"/>
        <v>0</v>
      </c>
      <c r="R14">
        <f t="shared" si="8"/>
        <v>1</v>
      </c>
      <c r="S14">
        <f t="shared" si="9"/>
        <v>0</v>
      </c>
      <c r="T14">
        <f t="shared" si="10"/>
        <v>0</v>
      </c>
      <c r="U14">
        <f t="shared" si="11"/>
        <v>1</v>
      </c>
      <c r="V14">
        <f t="shared" si="12"/>
        <v>0</v>
      </c>
      <c r="W14" t="str">
        <f t="shared" si="13"/>
        <v/>
      </c>
    </row>
    <row r="15" spans="1:24" ht="30" customHeight="1" x14ac:dyDescent="0.3">
      <c r="A15" s="60" t="s">
        <v>679</v>
      </c>
      <c r="B15" s="60" t="s">
        <v>680</v>
      </c>
      <c r="C15" s="61" t="s">
        <v>681</v>
      </c>
      <c r="D15" s="60" t="s">
        <v>661</v>
      </c>
      <c r="E15" s="62"/>
      <c r="F15" s="62"/>
      <c r="G15" s="62"/>
      <c r="H15" t="s">
        <v>523</v>
      </c>
      <c r="J15" t="str">
        <f t="shared" si="0"/>
        <v/>
      </c>
      <c r="K15" t="str">
        <f t="shared" si="1"/>
        <v/>
      </c>
      <c r="L15" t="str">
        <f t="shared" si="2"/>
        <v>MS.10</v>
      </c>
      <c r="M15" t="str">
        <f t="shared" si="3"/>
        <v/>
      </c>
      <c r="N15" t="str">
        <f t="shared" si="4"/>
        <v/>
      </c>
      <c r="O15">
        <f t="shared" si="5"/>
        <v>0</v>
      </c>
      <c r="P15">
        <f t="shared" si="6"/>
        <v>0</v>
      </c>
      <c r="Q15">
        <f t="shared" si="7"/>
        <v>0</v>
      </c>
      <c r="R15">
        <f t="shared" si="8"/>
        <v>1</v>
      </c>
      <c r="S15">
        <f t="shared" si="9"/>
        <v>0</v>
      </c>
      <c r="T15">
        <f t="shared" si="10"/>
        <v>0</v>
      </c>
      <c r="U15">
        <f t="shared" si="11"/>
        <v>1</v>
      </c>
      <c r="V15">
        <f t="shared" si="12"/>
        <v>0</v>
      </c>
      <c r="W15" t="str">
        <f t="shared" si="13"/>
        <v/>
      </c>
    </row>
    <row r="16" spans="1:24" ht="30" customHeight="1" x14ac:dyDescent="0.3">
      <c r="A16" s="60" t="s">
        <v>682</v>
      </c>
      <c r="B16" s="60" t="s">
        <v>683</v>
      </c>
      <c r="C16" s="61" t="s">
        <v>684</v>
      </c>
      <c r="D16" s="60" t="s">
        <v>661</v>
      </c>
      <c r="E16" s="62"/>
      <c r="F16" s="62"/>
      <c r="G16" s="62"/>
      <c r="H16" t="s">
        <v>523</v>
      </c>
      <c r="J16" t="str">
        <f t="shared" si="0"/>
        <v/>
      </c>
      <c r="K16" t="str">
        <f t="shared" si="1"/>
        <v/>
      </c>
      <c r="L16" t="str">
        <f t="shared" si="2"/>
        <v>MS.11</v>
      </c>
      <c r="M16" t="str">
        <f t="shared" si="3"/>
        <v/>
      </c>
      <c r="N16" t="str">
        <f t="shared" si="4"/>
        <v/>
      </c>
      <c r="O16">
        <f t="shared" si="5"/>
        <v>0</v>
      </c>
      <c r="P16">
        <f t="shared" si="6"/>
        <v>0</v>
      </c>
      <c r="Q16">
        <f t="shared" si="7"/>
        <v>0</v>
      </c>
      <c r="R16">
        <f t="shared" si="8"/>
        <v>1</v>
      </c>
      <c r="S16">
        <f t="shared" si="9"/>
        <v>0</v>
      </c>
      <c r="T16">
        <f t="shared" si="10"/>
        <v>0</v>
      </c>
      <c r="U16">
        <f t="shared" si="11"/>
        <v>1</v>
      </c>
      <c r="V16">
        <f t="shared" si="12"/>
        <v>0</v>
      </c>
      <c r="W16" t="str">
        <f t="shared" si="13"/>
        <v/>
      </c>
    </row>
    <row r="17" spans="1:23" ht="30" customHeight="1" x14ac:dyDescent="0.3">
      <c r="A17" s="60" t="s">
        <v>685</v>
      </c>
      <c r="B17" s="60" t="s">
        <v>683</v>
      </c>
      <c r="C17" s="61" t="s">
        <v>686</v>
      </c>
      <c r="D17" s="60" t="s">
        <v>528</v>
      </c>
      <c r="E17" s="62"/>
      <c r="F17" s="62"/>
      <c r="G17" s="62"/>
      <c r="H17" t="s">
        <v>523</v>
      </c>
      <c r="J17" t="str">
        <f t="shared" si="0"/>
        <v/>
      </c>
      <c r="K17" t="str">
        <f t="shared" si="1"/>
        <v/>
      </c>
      <c r="L17" t="str">
        <f t="shared" si="2"/>
        <v>MS.12</v>
      </c>
      <c r="M17" t="str">
        <f t="shared" si="3"/>
        <v/>
      </c>
      <c r="N17" t="str">
        <f t="shared" si="4"/>
        <v/>
      </c>
      <c r="O17">
        <f t="shared" si="5"/>
        <v>0</v>
      </c>
      <c r="P17">
        <f t="shared" si="6"/>
        <v>0</v>
      </c>
      <c r="Q17">
        <f t="shared" si="7"/>
        <v>0</v>
      </c>
      <c r="R17">
        <f t="shared" si="8"/>
        <v>1</v>
      </c>
      <c r="S17">
        <f t="shared" si="9"/>
        <v>0</v>
      </c>
      <c r="T17">
        <f t="shared" si="10"/>
        <v>0</v>
      </c>
      <c r="U17">
        <f t="shared" si="11"/>
        <v>1</v>
      </c>
      <c r="V17">
        <f t="shared" si="12"/>
        <v>0</v>
      </c>
      <c r="W17" t="str">
        <f t="shared" si="13"/>
        <v/>
      </c>
    </row>
    <row r="18" spans="1:23" ht="30" customHeight="1" x14ac:dyDescent="0.3">
      <c r="A18" s="60" t="s">
        <v>687</v>
      </c>
      <c r="B18" s="60" t="s">
        <v>688</v>
      </c>
      <c r="C18" s="61" t="s">
        <v>689</v>
      </c>
      <c r="D18" s="60" t="s">
        <v>661</v>
      </c>
      <c r="E18" s="62"/>
      <c r="F18" s="62"/>
      <c r="G18" s="62"/>
      <c r="H18" t="s">
        <v>523</v>
      </c>
      <c r="J18" t="str">
        <f t="shared" si="0"/>
        <v/>
      </c>
      <c r="K18" t="str">
        <f t="shared" si="1"/>
        <v/>
      </c>
      <c r="L18" t="str">
        <f t="shared" si="2"/>
        <v>MS.13</v>
      </c>
      <c r="M18" t="str">
        <f t="shared" si="3"/>
        <v/>
      </c>
      <c r="N18" t="str">
        <f t="shared" si="4"/>
        <v/>
      </c>
      <c r="O18">
        <f t="shared" si="5"/>
        <v>0</v>
      </c>
      <c r="P18">
        <f t="shared" si="6"/>
        <v>0</v>
      </c>
      <c r="Q18">
        <f t="shared" si="7"/>
        <v>0</v>
      </c>
      <c r="R18">
        <f t="shared" si="8"/>
        <v>1</v>
      </c>
      <c r="S18">
        <f t="shared" si="9"/>
        <v>0</v>
      </c>
      <c r="T18">
        <f t="shared" si="10"/>
        <v>0</v>
      </c>
      <c r="U18">
        <f t="shared" si="11"/>
        <v>1</v>
      </c>
      <c r="V18">
        <f t="shared" si="12"/>
        <v>0</v>
      </c>
      <c r="W18" t="str">
        <f t="shared" si="13"/>
        <v/>
      </c>
    </row>
    <row r="19" spans="1:23" ht="30" customHeight="1" x14ac:dyDescent="0.3">
      <c r="A19" s="60" t="s">
        <v>690</v>
      </c>
      <c r="B19" s="60" t="s">
        <v>691</v>
      </c>
      <c r="C19" s="61" t="s">
        <v>692</v>
      </c>
      <c r="D19" s="60" t="s">
        <v>658</v>
      </c>
      <c r="E19" s="62"/>
      <c r="F19" s="62"/>
      <c r="G19" s="62"/>
      <c r="H19" t="str">
        <f>IFERROR(IF($E$4="No","No","Yes"),"Yes")</f>
        <v>Yes</v>
      </c>
      <c r="J19" t="str">
        <f t="shared" si="0"/>
        <v/>
      </c>
      <c r="K19" t="str">
        <f t="shared" si="1"/>
        <v/>
      </c>
      <c r="L19" t="str">
        <f t="shared" si="2"/>
        <v>MS.14</v>
      </c>
      <c r="M19" t="str">
        <f t="shared" si="3"/>
        <v/>
      </c>
      <c r="N19" t="str">
        <f t="shared" si="4"/>
        <v/>
      </c>
      <c r="O19">
        <f t="shared" si="5"/>
        <v>0</v>
      </c>
      <c r="P19">
        <f t="shared" si="6"/>
        <v>0</v>
      </c>
      <c r="Q19">
        <f t="shared" si="7"/>
        <v>0</v>
      </c>
      <c r="R19">
        <f t="shared" si="8"/>
        <v>1</v>
      </c>
      <c r="S19">
        <f t="shared" si="9"/>
        <v>0</v>
      </c>
      <c r="T19">
        <f t="shared" si="10"/>
        <v>0</v>
      </c>
      <c r="U19">
        <f t="shared" si="11"/>
        <v>1</v>
      </c>
      <c r="V19">
        <f t="shared" si="12"/>
        <v>0</v>
      </c>
      <c r="W19" t="str">
        <f t="shared" si="13"/>
        <v/>
      </c>
    </row>
    <row r="20" spans="1:23" ht="30" customHeight="1" x14ac:dyDescent="0.3">
      <c r="A20" s="60" t="s">
        <v>693</v>
      </c>
      <c r="B20" s="60" t="s">
        <v>694</v>
      </c>
      <c r="C20" s="61" t="s">
        <v>695</v>
      </c>
      <c r="D20" s="60" t="s">
        <v>661</v>
      </c>
      <c r="E20" s="62"/>
      <c r="F20" s="62"/>
      <c r="G20" s="62"/>
      <c r="H20" t="s">
        <v>523</v>
      </c>
      <c r="J20" t="str">
        <f t="shared" si="0"/>
        <v/>
      </c>
      <c r="K20" t="str">
        <f t="shared" si="1"/>
        <v/>
      </c>
      <c r="L20" t="str">
        <f t="shared" si="2"/>
        <v>MS.15</v>
      </c>
      <c r="M20" t="str">
        <f t="shared" si="3"/>
        <v/>
      </c>
      <c r="N20" t="str">
        <f t="shared" si="4"/>
        <v/>
      </c>
      <c r="O20">
        <f t="shared" si="5"/>
        <v>0</v>
      </c>
      <c r="P20">
        <f t="shared" si="6"/>
        <v>0</v>
      </c>
      <c r="Q20">
        <f t="shared" si="7"/>
        <v>0</v>
      </c>
      <c r="R20">
        <f t="shared" si="8"/>
        <v>1</v>
      </c>
      <c r="S20">
        <f t="shared" si="9"/>
        <v>0</v>
      </c>
      <c r="T20">
        <f t="shared" si="10"/>
        <v>0</v>
      </c>
      <c r="U20">
        <f t="shared" si="11"/>
        <v>1</v>
      </c>
      <c r="V20">
        <f t="shared" si="12"/>
        <v>0</v>
      </c>
      <c r="W20" t="str">
        <f t="shared" si="13"/>
        <v/>
      </c>
    </row>
    <row r="21" spans="1:23" ht="30" customHeight="1" x14ac:dyDescent="0.3">
      <c r="A21" s="63" t="s">
        <v>696</v>
      </c>
      <c r="B21" s="63" t="s">
        <v>675</v>
      </c>
      <c r="C21" s="61" t="s">
        <v>697</v>
      </c>
      <c r="D21" s="63" t="s">
        <v>661</v>
      </c>
      <c r="E21" s="42"/>
      <c r="F21" s="42"/>
      <c r="G21" s="42"/>
      <c r="H21" s="64" t="str">
        <f>IFERROR(IF(OR($E$3="Local stdio",$E$3="Legacy SSE/HTTP"),"No","Yes"),"Yes")</f>
        <v>Yes</v>
      </c>
      <c r="J21" t="str">
        <f t="shared" si="0"/>
        <v/>
      </c>
      <c r="K21" t="str">
        <f t="shared" si="1"/>
        <v/>
      </c>
      <c r="L21" t="str">
        <f t="shared" si="2"/>
        <v>MS.16</v>
      </c>
      <c r="M21" t="str">
        <f t="shared" si="3"/>
        <v/>
      </c>
      <c r="N21" t="str">
        <f t="shared" si="4"/>
        <v/>
      </c>
      <c r="O21">
        <f t="shared" si="5"/>
        <v>0</v>
      </c>
      <c r="P21">
        <f t="shared" si="6"/>
        <v>0</v>
      </c>
      <c r="Q21">
        <f t="shared" si="7"/>
        <v>0</v>
      </c>
      <c r="R21">
        <f t="shared" si="8"/>
        <v>1</v>
      </c>
      <c r="S21">
        <f t="shared" si="9"/>
        <v>0</v>
      </c>
      <c r="T21">
        <f t="shared" si="10"/>
        <v>0</v>
      </c>
      <c r="U21">
        <f t="shared" si="11"/>
        <v>1</v>
      </c>
      <c r="V21">
        <f t="shared" si="12"/>
        <v>0</v>
      </c>
      <c r="W21" t="str">
        <f t="shared" si="13"/>
        <v/>
      </c>
    </row>
    <row r="22" spans="1:23" ht="15" customHeight="1" x14ac:dyDescent="0.3">
      <c r="A22" s="95" t="s">
        <v>698</v>
      </c>
      <c r="B22" s="95"/>
      <c r="C22" s="95"/>
      <c r="D22" s="65">
        <f>IFERROR(SUM($T$6:$T$21)/SUM($U$6:$U$21),0)</f>
        <v>0</v>
      </c>
    </row>
    <row r="23" spans="1:23" ht="14.25" customHeight="1" x14ac:dyDescent="0.3">
      <c r="A23" s="96" t="s">
        <v>699</v>
      </c>
      <c r="B23" s="96"/>
      <c r="C23" s="96"/>
      <c r="D23" s="2">
        <f>SUM($V$6:$V$21)</f>
        <v>0</v>
      </c>
      <c r="E23" t="str">
        <f>IF(D23=0,"",_xlfn.TEXTJOIN(", ",TRUE(),$J$6:$J$21))</f>
        <v/>
      </c>
    </row>
    <row r="24" spans="1:23" ht="14.25" customHeight="1" x14ac:dyDescent="0.3">
      <c r="A24" s="96" t="s">
        <v>700</v>
      </c>
      <c r="B24" s="96"/>
      <c r="C24" s="96"/>
      <c r="D24" s="2">
        <f>SUM($P$6:$P$21)</f>
        <v>0</v>
      </c>
    </row>
    <row r="25" spans="1:23" ht="39.75" customHeight="1" x14ac:dyDescent="0.3">
      <c r="A25" s="96" t="s">
        <v>601</v>
      </c>
      <c r="B25" s="96"/>
      <c r="C25" s="96"/>
      <c r="D25" s="4" t="str">
        <f>IFERROR(IF($X$2&gt;0,"INCOMPLETE - assessment context missing or invalid",IF($I$3&lt;&gt;"Yes","NOT ASSESSED",IF($D$23&gt;0,"NO-GO - mandatory checkpoint open",IF(NOT(IFERROR(AND(ISNUMBER(mcp_min_compliance),mcp_min_compliance&gt;=0,mcp_min_compliance&lt;=1),FALSE())),"INCOMPLETE - MCP policy invalid (Lookups!B31)",IF($X$5&gt;0,"INCOMPLETE - input error; see fault locations below",IF($D$26&gt;0,"INCOMPLETE - unjustified N/A",IF($D$27&gt;0,"INCOMPLETE - checkpoints unanswered or invalid",IF(AND($X$6&gt;0,$X$4=-1),"INCOMPLETE - re-answer rejected exclusions",IF($D$28&gt;0,"INCOMPLETE - mandatory exclusions pending review",IF($D$22&lt;mcp_min_compliance,"NO-GO - insufficient compliance",IF($D$24&gt;0,"CONDITIONAL GO - evidence missing",IF($D$22=1,"GO"&amp;IF($X$6&gt;0," - with approved exclusions",""),"CONDITIONAL GO - close remaining gaps"&amp;IF($X$6&gt;0," - with approved exclusions",""))))))))))))),"INCOMPLETE - input/calculation error; check context and review")</f>
        <v>INCOMPLETE - assessment context missing or invalid</v>
      </c>
      <c r="E25" s="7"/>
      <c r="F25" s="7"/>
      <c r="G25" s="7"/>
      <c r="H25" s="7"/>
      <c r="I25" s="7"/>
    </row>
    <row r="26" spans="1:23" ht="14.25" customHeight="1" x14ac:dyDescent="0.3">
      <c r="A26" t="s">
        <v>701</v>
      </c>
      <c r="D26">
        <f>SUM($Q$6:$Q$21)</f>
        <v>0</v>
      </c>
      <c r="E26" t="str">
        <f>IF(D26=0,"",_xlfn.TEXTJOIN(", ",TRUE(),$K$6:$K$21))</f>
        <v/>
      </c>
    </row>
    <row r="27" spans="1:23" ht="14.25" customHeight="1" x14ac:dyDescent="0.3">
      <c r="A27" s="87" t="s">
        <v>702</v>
      </c>
      <c r="B27" s="87"/>
      <c r="C27" s="87"/>
      <c r="D27">
        <f>SUM($R$6:$R$21)</f>
        <v>16</v>
      </c>
      <c r="E27" t="str">
        <f>IF(D27=0,"",_xlfn.TEXTJOIN(", ",TRUE(),$L$6:$L$21))</f>
        <v>MS.1, MS.2, MS.3, MS.4, MS.5, MS.6, MS.7, MS.8, MS.9, MS.10, MS.11, MS.12, MS.13, MS.14, MS.15, MS.16</v>
      </c>
    </row>
    <row r="28" spans="1:23" ht="14.25" customHeight="1" x14ac:dyDescent="0.3">
      <c r="A28" s="87" t="s">
        <v>703</v>
      </c>
      <c r="B28" s="87"/>
      <c r="C28" s="87"/>
      <c r="D28">
        <f>IF(OR($X$4=1,$X$4=-1),0,$X$6)</f>
        <v>0</v>
      </c>
      <c r="E28" t="str">
        <f>IF(D28=0,"",_xlfn.TEXTJOIN(", ",TRUE(),$M$6:$M$21))</f>
        <v/>
      </c>
    </row>
    <row r="29" spans="1:23" ht="14.25" customHeight="1" x14ac:dyDescent="0.3">
      <c r="A29" s="87" t="s">
        <v>704</v>
      </c>
      <c r="B29" s="87"/>
      <c r="C29" s="87"/>
      <c r="D29" s="53"/>
      <c r="E29" s="53"/>
      <c r="F29" s="54"/>
    </row>
    <row r="30" spans="1:23" ht="14.25" customHeight="1" x14ac:dyDescent="0.3">
      <c r="A30" s="87" t="s">
        <v>705</v>
      </c>
      <c r="B30" s="87"/>
      <c r="C30" s="87"/>
      <c r="D30" s="53"/>
    </row>
    <row r="31" spans="1:23" ht="14.25" customHeight="1" x14ac:dyDescent="0.3">
      <c r="A31" s="87" t="s">
        <v>706</v>
      </c>
      <c r="B31" s="87"/>
      <c r="C31" s="87"/>
      <c r="D31" s="8" t="str">
        <f>IFERROR(_xlfn.TEXTJOIN("; ",TRUE(),$N$6:$N$21),"SNAPSHOT ERROR - shorten/check exclusion reasons")</f>
        <v/>
      </c>
    </row>
    <row r="32" spans="1:23" ht="48" customHeight="1" x14ac:dyDescent="0.3">
      <c r="A32" s="87" t="s">
        <v>707</v>
      </c>
      <c r="B32" s="87"/>
      <c r="C32" s="87"/>
      <c r="D32" s="55"/>
      <c r="E32" s="7"/>
      <c r="F32" s="7"/>
      <c r="G32" s="7"/>
      <c r="H32" s="7"/>
      <c r="I32" s="7"/>
    </row>
    <row r="33" spans="1:9" ht="43.5" customHeight="1" x14ac:dyDescent="0.3">
      <c r="A33" s="93" t="s">
        <v>708</v>
      </c>
      <c r="B33" s="93"/>
      <c r="C33" s="93"/>
      <c r="D33" s="7">
        <f>$X$5</f>
        <v>0</v>
      </c>
      <c r="E33" s="86" t="str">
        <f>IF($X$5=0,"",_xlfn.TEXTJOIN(", ",TRUE(),$W$6:$W$21))</f>
        <v/>
      </c>
      <c r="F33" s="86"/>
      <c r="G33" s="86"/>
      <c r="H33" s="86"/>
      <c r="I33" s="86"/>
    </row>
    <row r="34" spans="1:9" ht="43.5" customHeight="1" x14ac:dyDescent="0.3">
      <c r="A34" s="93" t="s">
        <v>709</v>
      </c>
      <c r="B34" s="93"/>
      <c r="C34" s="93"/>
      <c r="D34" s="86" t="str">
        <f>_xlfn.TEXTJOIN("; ",TRUE(),$X$3,$X$7)</f>
        <v>E3 Transport missing / invalid; G3 Locality missing / invalid; C4 Authorization missing / invalid; E4 Multi-tenant missing / invalid; G4 Proxy / capability context missing / invalid</v>
      </c>
      <c r="E34" s="86"/>
      <c r="F34" s="86"/>
      <c r="G34" s="86"/>
      <c r="H34" s="86"/>
      <c r="I34" s="86"/>
    </row>
    <row r="35" spans="1:9" ht="43.5" customHeight="1" x14ac:dyDescent="0.3">
      <c r="A35" s="93" t="s">
        <v>710</v>
      </c>
      <c r="B35" s="93"/>
      <c r="C35" s="93"/>
      <c r="D35" s="86" t="s">
        <v>711</v>
      </c>
      <c r="E35" s="86"/>
      <c r="F35" s="86"/>
      <c r="G35" s="86"/>
      <c r="H35" s="86"/>
      <c r="I35" s="86"/>
    </row>
  </sheetData>
  <sheetProtection sheet="1" formatCells="0" formatColumns="0" formatRows="0"/>
  <mergeCells count="17">
    <mergeCell ref="A2:G2"/>
    <mergeCell ref="A22:C22"/>
    <mergeCell ref="A23:C23"/>
    <mergeCell ref="A24:C24"/>
    <mergeCell ref="A25:C25"/>
    <mergeCell ref="A27:C27"/>
    <mergeCell ref="A28:C28"/>
    <mergeCell ref="A29:C29"/>
    <mergeCell ref="A30:C30"/>
    <mergeCell ref="A31:C31"/>
    <mergeCell ref="A35:C35"/>
    <mergeCell ref="D35:I35"/>
    <mergeCell ref="A32:C32"/>
    <mergeCell ref="A33:C33"/>
    <mergeCell ref="E33:I33"/>
    <mergeCell ref="A34:C34"/>
    <mergeCell ref="D34:I34"/>
  </mergeCells>
  <conditionalFormatting sqref="D25">
    <cfRule type="expression" dxfId="5" priority="2">
      <formula>LEFT($D$25,2)="GO"</formula>
    </cfRule>
    <cfRule type="expression" dxfId="4" priority="3">
      <formula>LEFT($D$25,11)="CONDITIONAL"</formula>
    </cfRule>
    <cfRule type="expression" dxfId="3" priority="4">
      <formula>LEFT($D$25,5)="NO-GO"</formula>
    </cfRule>
  </conditionalFormatting>
  <dataValidations count="11">
    <dataValidation type="list" allowBlank="1" showInputMessage="1" showErrorMessage="1" errorTitle="Invalid entry" error="Please choose a value from the dropdown list." promptTitle="Status" prompt="Compliant and Partially compliant require an evidence reference. N/A without a reason in Notes counts as open." sqref="E6:E21" xr:uid="{00000000-0002-0000-0700-000000000000}">
      <formula1>"Compliant,Partially compliant,Non-compliant,N/A"</formula1>
      <formula2>0</formula2>
    </dataValidation>
    <dataValidation type="list" allowBlank="1" showInputMessage="1" showErrorMessage="1" errorTitle="Invalid entry" error="Please choose a value from the dropdown list." promptTitle="Severity" prompt="Mandatory checkpoints are hard gates and feed the Dashboard decision when this sheet is assessed." sqref="D6:D21" xr:uid="{00000000-0002-0000-0700-000001000000}">
      <formula1>"Mandatory,Important,Minor"</formula1>
      <formula2>0</formula2>
    </dataValidation>
    <dataValidation type="list" allowBlank="1" showInputMessage="1" showErrorMessage="1" errorTitle="Invalid entry" error="Please choose a value from the dropdown list." promptTitle="Transport" prompt="Choose from the dropdown list." sqref="E3" xr:uid="{00000000-0002-0000-0700-000002000000}">
      <formula1>"Local stdio,Remote Streamable HTTP,Legacy SSE/HTTP,Mixed"</formula1>
      <formula2>0</formula2>
    </dataValidation>
    <dataValidation type="list" allowBlank="1" showInputMessage="1" showErrorMessage="1" errorTitle="Invalid entry" error="Please choose a value from the dropdown list." promptTitle="Locality" prompt="Drives applicability: local-only checks deactivate for Remote server, remote/OAuth checks deactivate for Local process." sqref="G3" xr:uid="{00000000-0002-0000-0700-000003000000}">
      <formula1>"Local process,Remote server,Mixed"</formula1>
      <formula2>0</formula2>
    </dataValidation>
    <dataValidation type="list" allowBlank="1" showInputMessage="1" showErrorMessage="1" errorTitle="Invalid entry" error="Please choose a value from the dropdown list." promptTitle="Authorization" prompt="Choose from the dropdown list." sqref="C4" xr:uid="{00000000-0002-0000-0700-000004000000}">
      <formula1>"Yes,No,N/A"</formula1>
      <formula2>0</formula2>
    </dataValidation>
    <dataValidation type="list" allowBlank="1" showInputMessage="1" showErrorMessage="1" errorTitle="Invalid entry" error="Please choose a value from the dropdown list." promptTitle="Multi-tenant" prompt="MS.14 applies only when this is Yes." sqref="E4" xr:uid="{00000000-0002-0000-0700-000005000000}">
      <formula1>"Yes,No"</formula1>
      <formula2>0</formula2>
    </dataValidation>
    <dataValidation type="list" allowBlank="1" showInputMessage="1" showErrorMessage="1" errorTitle="Invalid entry" error="Please choose a value from the dropdown list." promptTitle="Proxy to 3rd-party APIs" prompt="Choose from the dropdown list." sqref="G4" xr:uid="{00000000-0002-0000-0700-000006000000}">
      <formula1>"Yes,No"</formula1>
      <formula2>0</formula2>
    </dataValidation>
    <dataValidation type="list" allowBlank="1" showInputMessage="1" showErrorMessage="1" errorTitle="Invalid entry" error="Please choose a value from the dropdown list." promptTitle="Assessed (completion)" prompt="Completion switch: set Yes only when the context fields are filled and every applicable checkpoint has a status. The verdict then feeds the Dashboard decision." sqref="I3" xr:uid="{00000000-0002-0000-0700-000007000000}">
      <formula1>"Yes,No"</formula1>
      <formula2>0</formula2>
    </dataValidation>
    <dataValidation type="list" showErrorMessage="1" errorTitle="Invalid value" error="Choose Yes or No." promptTitle="Required (scope)" prompt="Scope declaration: Yes if this side of the MCP integration is used by the assessed system. A required side must be assessed and feeds the Dashboard decision (when S19 = Yes). A blank or invalid selection blocks completion." sqref="I2" xr:uid="{00000000-0002-0000-0700-000008000000}">
      <formula1>"Yes,No"</formula1>
      <formula2>0</formula2>
    </dataValidation>
    <dataValidation type="list" allowBlank="1" showErrorMessage="1" sqref="D29" xr:uid="{00000000-0002-0000-0700-000009000000}">
      <formula1>"Approved,Rejected"</formula1>
      <formula2>0</formula2>
    </dataValidation>
    <dataValidation type="date" allowBlank="1" showErrorMessage="1" sqref="F29" xr:uid="{00000000-0002-0000-0700-00000A000000}">
      <formula1>DATE(2020,1,1)</formula1>
      <formula2>DATE(2100,12,31)</formula2>
    </dataValidation>
  </dataValidations>
  <pageMargins left="0.75" right="0.75" top="1" bottom="1" header="0.51180555555555596" footer="0.51180555555555596"/>
  <pageSetup paperSize="9" fitToHeight="0" orientation="landscape" horizontalDpi="300" verticalDpi="300"/>
  <headerFooter>
    <oddHeader>&amp;L&amp;A&amp;Rv0.6.8-r4 - &amp;D</oddHeader>
    <oddFooter>&amp;RPage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40"/>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6640625" defaultRowHeight="14.4" x14ac:dyDescent="0.3"/>
  <cols>
    <col min="1" max="1" width="8" customWidth="1"/>
    <col min="2" max="2" width="26" customWidth="1"/>
    <col min="3" max="3" width="80" customWidth="1"/>
    <col min="4" max="4" width="40" customWidth="1"/>
    <col min="5" max="5" width="20" customWidth="1"/>
    <col min="6" max="7" width="24" customWidth="1"/>
    <col min="10" max="14" width="10" hidden="1" customWidth="1"/>
    <col min="15" max="24" width="12" hidden="1" customWidth="1"/>
  </cols>
  <sheetData>
    <row r="1" spans="1:24" ht="15" customHeight="1" x14ac:dyDescent="0.35">
      <c r="A1" s="56" t="s">
        <v>712</v>
      </c>
      <c r="B1" s="57"/>
      <c r="C1" s="57"/>
      <c r="D1" s="57"/>
      <c r="E1" s="57"/>
      <c r="F1" s="57"/>
      <c r="G1" s="57"/>
      <c r="J1" t="s">
        <v>624</v>
      </c>
      <c r="K1" t="s">
        <v>625</v>
      </c>
      <c r="L1" t="s">
        <v>626</v>
      </c>
      <c r="M1" t="s">
        <v>627</v>
      </c>
      <c r="N1" t="s">
        <v>628</v>
      </c>
      <c r="O1" t="s">
        <v>629</v>
      </c>
      <c r="P1" t="s">
        <v>630</v>
      </c>
      <c r="Q1" t="s">
        <v>631</v>
      </c>
      <c r="R1" t="s">
        <v>632</v>
      </c>
      <c r="S1" t="s">
        <v>633</v>
      </c>
      <c r="T1" t="s">
        <v>634</v>
      </c>
      <c r="U1" t="s">
        <v>635</v>
      </c>
      <c r="V1" t="s">
        <v>636</v>
      </c>
      <c r="W1" t="s">
        <v>637</v>
      </c>
      <c r="X1" t="s">
        <v>638</v>
      </c>
    </row>
    <row r="2" spans="1:24" ht="150" customHeight="1" x14ac:dyDescent="0.3">
      <c r="A2" s="94" t="s">
        <v>713</v>
      </c>
      <c r="B2" s="94"/>
      <c r="C2" s="94"/>
      <c r="D2" s="94"/>
      <c r="E2" s="94"/>
      <c r="F2" s="94"/>
      <c r="G2" s="94"/>
      <c r="H2" s="11" t="s">
        <v>640</v>
      </c>
      <c r="I2" s="13"/>
      <c r="X2">
        <f>IF(OR(NOT(IFERROR(OR($I$2="",$I$2="Yes",$I$2="No"),FALSE())),NOT(IFERROR(OR($I$3="",$I$3="Yes",$I$3="No"),FALSE())),NOT(IFERROR(OR($E$3="Local stdio",$E$3="Remote Streamable HTTP",$E$3="Legacy SSE/HTTP",$E$3="Mixed"),FALSE())),NOT(IFERROR(OR($G$3="Local process",$G$3="Remote server",$G$3="Mixed"),FALSE())),NOT(IFERROR(OR($C$4="Yes",$C$4="No",$C$4="N/A"),FALSE())),NOT(IFERROR(OR($E$4="Yes",$E$4="No"),FALSE())),NOT(IFERROR(OR($G$4="Yes",$G$4="No"),FALSE())),NOT(IFERROR(YEAR(DATE(--LEFT($C$3,4),--MID($C$3,6,2),--MID($C$3,9,2)))&amp;"-"&amp;TEXT(MONTH(DATE(--LEFT($C$3,4),--MID($C$3,6,2),--MID($C$3,9,2))),"00")&amp;"-"&amp;TEXT(DAY(DATE(--LEFT($C$3,4),--MID($C$3,6,2),--MID($C$3,9,2))),"00")=$C$3,FALSE()))),1,0)</f>
        <v>1</v>
      </c>
    </row>
    <row r="3" spans="1:24" ht="15" customHeight="1" x14ac:dyDescent="0.3">
      <c r="A3" s="2" t="s">
        <v>641</v>
      </c>
      <c r="B3" s="58" t="s">
        <v>642</v>
      </c>
      <c r="C3" s="59" t="s">
        <v>643</v>
      </c>
      <c r="D3" s="58" t="s">
        <v>644</v>
      </c>
      <c r="E3" s="42"/>
      <c r="F3" s="58" t="s">
        <v>645</v>
      </c>
      <c r="G3" s="42"/>
      <c r="H3" s="11" t="s">
        <v>646</v>
      </c>
      <c r="I3" s="42"/>
      <c r="X3" t="str">
        <f>_xlfn.TEXTJOIN("; ",TRUE(),IF(NOT(IFERROR(OR($I$2="",$I$2="Yes",$I$2="No"),FALSE())),"I2 Required selection invalid",""),IF(NOT(IFERROR(OR($I$3="",$I$3="Yes",$I$3="No"),FALSE())),"I3 Assessed selection invalid",""),IF(NOT(IFERROR(OR($E$3="Local stdio",$E$3="Remote Streamable HTTP",$E$3="Legacy SSE/HTTP",$E$3="Mixed"),FALSE())),"E3 Transport missing / invalid",""),IF(NOT(IFERROR(OR($G$3="Local process",$G$3="Remote server",$G$3="Mixed"),FALSE())),"G3 Locality missing / invalid",""),IF(NOT(IFERROR(OR($C$4="Yes",$C$4="No",$C$4="N/A"),FALSE())),"C4 Authorization missing / invalid",""),IF(NOT(IFERROR(OR($E$4="Yes",$E$4="No"),FALSE())),"E4 Multi-tenant missing / invalid",""),IF(NOT(IFERROR(OR($G$4="Yes",$G$4="No"),FALSE())),"G4 Proxy / capability context missing / invalid",""),IF(NOT(IFERROR(YEAR(DATE(--LEFT($C$3,4),--MID($C$3,6,2),--MID($C$3,9,2)))&amp;"-"&amp;TEXT(MONTH(DATE(--LEFT($C$3,4),--MID($C$3,6,2),--MID($C$3,9,2))),"00")&amp;"-"&amp;TEXT(DAY(DATE(--LEFT($C$3,4),--MID($C$3,6,2),--MID($C$3,9,2))),"00")=$C$3,FALSE())),"C3 Protocol version must be a real YYYY-MM-DD date",""))</f>
        <v>E3 Transport missing / invalid; G3 Locality missing / invalid; C4 Authorization missing / invalid; E4 Multi-tenant missing / invalid; G4 Proxy / capability context missing / invalid</v>
      </c>
    </row>
    <row r="4" spans="1:24" ht="15" customHeight="1" x14ac:dyDescent="0.3">
      <c r="B4" s="58" t="s">
        <v>647</v>
      </c>
      <c r="C4" s="42"/>
      <c r="D4" s="58" t="s">
        <v>648</v>
      </c>
      <c r="E4" s="42"/>
      <c r="F4" s="58" t="s">
        <v>649</v>
      </c>
      <c r="G4" s="42"/>
      <c r="X4">
        <f>IF(SUM($S$6:$S$25)=0,2,IF(IFERROR(AND($D$34="Rejected",AND(IFERROR($E$34&lt;&gt;"",FALSE()),IFERROR(AND(ISNUMBER($F$34),$F$34&gt;=DATE(2020,1,1),$F$34&lt;=DATE(2100,12,31)),FALSE()))),FALSE()),-1,IF(AND(IFERROR(AND($D$34="Approved",AND(IFERROR($E$34&lt;&gt;"",FALSE()),IFERROR(AND(ISNUMBER($F$34),$F$34&gt;=DATE(2020,1,1),$F$34&lt;=DATE(2100,12,31)),FALSE())),$D$37&lt;&gt;"",$D$37=$D$36,NOT(_xlfn.ISFORMULA($D$37))),FALSE()),LEFT($D$36,14)&lt;&gt;"SNAPSHOT ERROR"),1,0)))</f>
        <v>2</v>
      </c>
    </row>
    <row r="5" spans="1:24" ht="30" customHeight="1" x14ac:dyDescent="0.3">
      <c r="A5" s="5" t="s">
        <v>68</v>
      </c>
      <c r="B5" s="5" t="s">
        <v>650</v>
      </c>
      <c r="C5" s="5" t="s">
        <v>651</v>
      </c>
      <c r="D5" s="5" t="s">
        <v>652</v>
      </c>
      <c r="E5" s="5" t="s">
        <v>152</v>
      </c>
      <c r="F5" s="5" t="s">
        <v>653</v>
      </c>
      <c r="G5" s="5" t="s">
        <v>153</v>
      </c>
      <c r="H5" s="32" t="s">
        <v>654</v>
      </c>
      <c r="X5">
        <f>SUM($O$6:$O$25)</f>
        <v>0</v>
      </c>
    </row>
    <row r="6" spans="1:24" ht="30" customHeight="1" x14ac:dyDescent="0.3">
      <c r="A6" s="60" t="s">
        <v>714</v>
      </c>
      <c r="B6" s="60" t="s">
        <v>715</v>
      </c>
      <c r="C6" s="61" t="s">
        <v>716</v>
      </c>
      <c r="D6" s="60" t="s">
        <v>658</v>
      </c>
      <c r="E6" s="62"/>
      <c r="F6" s="62"/>
      <c r="G6" s="62"/>
      <c r="H6" t="s">
        <v>523</v>
      </c>
      <c r="J6" t="str">
        <f t="shared" ref="J6:J25" si="0">IF($V6&gt;0,$A6,"")</f>
        <v/>
      </c>
      <c r="K6" t="str">
        <f t="shared" ref="K6:K25" si="1">IF($Q6&gt;0,$A6,"")</f>
        <v/>
      </c>
      <c r="L6" t="str">
        <f t="shared" ref="L6:L25" si="2">IF($R6&gt;0,$A6,"")</f>
        <v>MSC.1</v>
      </c>
      <c r="M6" t="str">
        <f t="shared" ref="M6:M25" si="3">IF($S6&gt;0,$A6,"")</f>
        <v/>
      </c>
      <c r="N6" t="str">
        <f t="shared" ref="N6:N25" si="4">IFERROR(IF($S6&gt;0,$A6&amp;":"&amp;LEN($G6)&amp;":"&amp;$G6,""),"")</f>
        <v/>
      </c>
      <c r="O6">
        <f t="shared" ref="O6:O25" si="5">IF(OR(ISERROR($E6),ISERROR($F6),ISERROR($G6)),1,0)</f>
        <v>0</v>
      </c>
      <c r="P6">
        <f t="shared" ref="P6:P25" si="6">IF(IFERROR(IF($H6="Yes",IF(OR($E6="Compliant",$E6="Partially compliant"),IF(ISERROR($F6),TRUE(),$F6=""),FALSE()),FALSE()),FALSE()),1,0)</f>
        <v>0</v>
      </c>
      <c r="Q6">
        <f t="shared" ref="Q6:Q25" si="7">IF(IFERROR(IF($H6="Yes",IF($E6="N/A",$G6="",FALSE()),FALSE()),TRUE()),1,0)</f>
        <v>0</v>
      </c>
      <c r="R6">
        <f t="shared" ref="R6:R25" si="8">IF(IFERROR(IF($H6="Yes",NOT(OR($E6="Compliant",$E6="Partially compliant",$E6="Non-compliant",$E6="N/A")),FALSE()),TRUE()),1,0)</f>
        <v>1</v>
      </c>
      <c r="S6">
        <f t="shared" ref="S6:S25" si="9">IF(IFERROR(IF($H6="Yes",AND($D6="Mandatory",$E6="N/A",$G6&lt;&gt;""),FALSE()),FALSE()),1,0)</f>
        <v>0</v>
      </c>
      <c r="T6">
        <f t="shared" ref="T6:T25" si="10">IFERROR(IF($H6="Yes",IF($E6="Compliant",1,IF($E6="Partially compliant",0.5,0)),0),0)</f>
        <v>0</v>
      </c>
      <c r="U6">
        <f t="shared" ref="U6:U25" si="11">IF(IFERROR(IF($H6="Yes",$E6&lt;&gt;"N/A",FALSE()),TRUE()),1,0)</f>
        <v>1</v>
      </c>
      <c r="V6">
        <f t="shared" ref="V6:V25" si="12">IF(IFERROR(IF($H6="Yes",AND($D6="Mandatory",OR($E6="Partially compliant",$E6="Non-compliant")),FALSE()),FALSE()),1,0)</f>
        <v>0</v>
      </c>
      <c r="W6" t="str">
        <f t="shared" ref="W6:W25" si="13">IF($O6&gt;0,$A6,"")</f>
        <v/>
      </c>
      <c r="X6">
        <f>SUM($S$6:$S$25)</f>
        <v>0</v>
      </c>
    </row>
    <row r="7" spans="1:24" ht="30" customHeight="1" x14ac:dyDescent="0.3">
      <c r="A7" s="60" t="s">
        <v>717</v>
      </c>
      <c r="B7" s="60" t="s">
        <v>715</v>
      </c>
      <c r="C7" s="61" t="s">
        <v>718</v>
      </c>
      <c r="D7" s="60" t="s">
        <v>658</v>
      </c>
      <c r="E7" s="62"/>
      <c r="F7" s="62"/>
      <c r="G7" s="62"/>
      <c r="H7" t="s">
        <v>523</v>
      </c>
      <c r="J7" t="str">
        <f t="shared" si="0"/>
        <v/>
      </c>
      <c r="K7" t="str">
        <f t="shared" si="1"/>
        <v/>
      </c>
      <c r="L7" t="str">
        <f t="shared" si="2"/>
        <v>MSC.2</v>
      </c>
      <c r="M7" t="str">
        <f t="shared" si="3"/>
        <v/>
      </c>
      <c r="N7" t="str">
        <f t="shared" si="4"/>
        <v/>
      </c>
      <c r="O7">
        <f t="shared" si="5"/>
        <v>0</v>
      </c>
      <c r="P7">
        <f t="shared" si="6"/>
        <v>0</v>
      </c>
      <c r="Q7">
        <f t="shared" si="7"/>
        <v>0</v>
      </c>
      <c r="R7">
        <f t="shared" si="8"/>
        <v>1</v>
      </c>
      <c r="S7">
        <f t="shared" si="9"/>
        <v>0</v>
      </c>
      <c r="T7">
        <f t="shared" si="10"/>
        <v>0</v>
      </c>
      <c r="U7">
        <f t="shared" si="11"/>
        <v>1</v>
      </c>
      <c r="V7">
        <f t="shared" si="12"/>
        <v>0</v>
      </c>
      <c r="W7" t="str">
        <f t="shared" si="13"/>
        <v/>
      </c>
      <c r="X7" t="str">
        <f>IF($X$6=0,"",IF($X$4=1,"Approved",IF($X$4=-1,"Rejected - replace N/A answers","Pending review: check D34:F34 and D37; paste the current set as values.")))</f>
        <v/>
      </c>
    </row>
    <row r="8" spans="1:24" ht="30" customHeight="1" x14ac:dyDescent="0.3">
      <c r="A8" s="60" t="s">
        <v>719</v>
      </c>
      <c r="B8" s="60" t="s">
        <v>720</v>
      </c>
      <c r="C8" s="61" t="s">
        <v>721</v>
      </c>
      <c r="D8" s="60" t="s">
        <v>661</v>
      </c>
      <c r="E8" s="62"/>
      <c r="F8" s="62"/>
      <c r="G8" s="62"/>
      <c r="H8" t="s">
        <v>523</v>
      </c>
      <c r="J8" t="str">
        <f t="shared" si="0"/>
        <v/>
      </c>
      <c r="K8" t="str">
        <f t="shared" si="1"/>
        <v/>
      </c>
      <c r="L8" t="str">
        <f t="shared" si="2"/>
        <v>MSC.3</v>
      </c>
      <c r="M8" t="str">
        <f t="shared" si="3"/>
        <v/>
      </c>
      <c r="N8" t="str">
        <f t="shared" si="4"/>
        <v/>
      </c>
      <c r="O8">
        <f t="shared" si="5"/>
        <v>0</v>
      </c>
      <c r="P8">
        <f t="shared" si="6"/>
        <v>0</v>
      </c>
      <c r="Q8">
        <f t="shared" si="7"/>
        <v>0</v>
      </c>
      <c r="R8">
        <f t="shared" si="8"/>
        <v>1</v>
      </c>
      <c r="S8">
        <f t="shared" si="9"/>
        <v>0</v>
      </c>
      <c r="T8">
        <f t="shared" si="10"/>
        <v>0</v>
      </c>
      <c r="U8">
        <f t="shared" si="11"/>
        <v>1</v>
      </c>
      <c r="V8">
        <f t="shared" si="12"/>
        <v>0</v>
      </c>
      <c r="W8" t="str">
        <f t="shared" si="13"/>
        <v/>
      </c>
    </row>
    <row r="9" spans="1:24" ht="30" customHeight="1" x14ac:dyDescent="0.3">
      <c r="A9" s="60" t="s">
        <v>722</v>
      </c>
      <c r="B9" s="60" t="s">
        <v>720</v>
      </c>
      <c r="C9" s="61" t="s">
        <v>723</v>
      </c>
      <c r="D9" s="60" t="s">
        <v>658</v>
      </c>
      <c r="E9" s="62"/>
      <c r="F9" s="62"/>
      <c r="G9" s="62"/>
      <c r="H9" t="s">
        <v>523</v>
      </c>
      <c r="J9" t="str">
        <f t="shared" si="0"/>
        <v/>
      </c>
      <c r="K9" t="str">
        <f t="shared" si="1"/>
        <v/>
      </c>
      <c r="L9" t="str">
        <f t="shared" si="2"/>
        <v>MSC.4</v>
      </c>
      <c r="M9" t="str">
        <f t="shared" si="3"/>
        <v/>
      </c>
      <c r="N9" t="str">
        <f t="shared" si="4"/>
        <v/>
      </c>
      <c r="O9">
        <f t="shared" si="5"/>
        <v>0</v>
      </c>
      <c r="P9">
        <f t="shared" si="6"/>
        <v>0</v>
      </c>
      <c r="Q9">
        <f t="shared" si="7"/>
        <v>0</v>
      </c>
      <c r="R9">
        <f t="shared" si="8"/>
        <v>1</v>
      </c>
      <c r="S9">
        <f t="shared" si="9"/>
        <v>0</v>
      </c>
      <c r="T9">
        <f t="shared" si="10"/>
        <v>0</v>
      </c>
      <c r="U9">
        <f t="shared" si="11"/>
        <v>1</v>
      </c>
      <c r="V9">
        <f t="shared" si="12"/>
        <v>0</v>
      </c>
      <c r="W9" t="str">
        <f t="shared" si="13"/>
        <v/>
      </c>
    </row>
    <row r="10" spans="1:24" ht="30" customHeight="1" x14ac:dyDescent="0.3">
      <c r="A10" s="60" t="s">
        <v>724</v>
      </c>
      <c r="B10" s="60" t="s">
        <v>725</v>
      </c>
      <c r="C10" s="61" t="s">
        <v>726</v>
      </c>
      <c r="D10" s="60" t="s">
        <v>658</v>
      </c>
      <c r="E10" s="62"/>
      <c r="F10" s="62"/>
      <c r="G10" s="62"/>
      <c r="H10" t="s">
        <v>523</v>
      </c>
      <c r="J10" t="str">
        <f t="shared" si="0"/>
        <v/>
      </c>
      <c r="K10" t="str">
        <f t="shared" si="1"/>
        <v/>
      </c>
      <c r="L10" t="str">
        <f t="shared" si="2"/>
        <v>MSC.5</v>
      </c>
      <c r="M10" t="str">
        <f t="shared" si="3"/>
        <v/>
      </c>
      <c r="N10" t="str">
        <f t="shared" si="4"/>
        <v/>
      </c>
      <c r="O10">
        <f t="shared" si="5"/>
        <v>0</v>
      </c>
      <c r="P10">
        <f t="shared" si="6"/>
        <v>0</v>
      </c>
      <c r="Q10">
        <f t="shared" si="7"/>
        <v>0</v>
      </c>
      <c r="R10">
        <f t="shared" si="8"/>
        <v>1</v>
      </c>
      <c r="S10">
        <f t="shared" si="9"/>
        <v>0</v>
      </c>
      <c r="T10">
        <f t="shared" si="10"/>
        <v>0</v>
      </c>
      <c r="U10">
        <f t="shared" si="11"/>
        <v>1</v>
      </c>
      <c r="V10">
        <f t="shared" si="12"/>
        <v>0</v>
      </c>
      <c r="W10" t="str">
        <f t="shared" si="13"/>
        <v/>
      </c>
    </row>
    <row r="11" spans="1:24" ht="30" customHeight="1" x14ac:dyDescent="0.3">
      <c r="A11" s="60" t="s">
        <v>727</v>
      </c>
      <c r="B11" s="60" t="s">
        <v>725</v>
      </c>
      <c r="C11" s="61" t="s">
        <v>728</v>
      </c>
      <c r="D11" s="60" t="s">
        <v>661</v>
      </c>
      <c r="E11" s="62"/>
      <c r="F11" s="62"/>
      <c r="G11" s="62"/>
      <c r="H11" t="s">
        <v>523</v>
      </c>
      <c r="J11" t="str">
        <f t="shared" si="0"/>
        <v/>
      </c>
      <c r="K11" t="str">
        <f t="shared" si="1"/>
        <v/>
      </c>
      <c r="L11" t="str">
        <f t="shared" si="2"/>
        <v>MSC.6</v>
      </c>
      <c r="M11" t="str">
        <f t="shared" si="3"/>
        <v/>
      </c>
      <c r="N11" t="str">
        <f t="shared" si="4"/>
        <v/>
      </c>
      <c r="O11">
        <f t="shared" si="5"/>
        <v>0</v>
      </c>
      <c r="P11">
        <f t="shared" si="6"/>
        <v>0</v>
      </c>
      <c r="Q11">
        <f t="shared" si="7"/>
        <v>0</v>
      </c>
      <c r="R11">
        <f t="shared" si="8"/>
        <v>1</v>
      </c>
      <c r="S11">
        <f t="shared" si="9"/>
        <v>0</v>
      </c>
      <c r="T11">
        <f t="shared" si="10"/>
        <v>0</v>
      </c>
      <c r="U11">
        <f t="shared" si="11"/>
        <v>1</v>
      </c>
      <c r="V11">
        <f t="shared" si="12"/>
        <v>0</v>
      </c>
      <c r="W11" t="str">
        <f t="shared" si="13"/>
        <v/>
      </c>
    </row>
    <row r="12" spans="1:24" ht="30" customHeight="1" x14ac:dyDescent="0.3">
      <c r="A12" s="60" t="s">
        <v>729</v>
      </c>
      <c r="B12" s="60" t="s">
        <v>730</v>
      </c>
      <c r="C12" s="61" t="s">
        <v>731</v>
      </c>
      <c r="D12" s="60" t="s">
        <v>658</v>
      </c>
      <c r="E12" s="62"/>
      <c r="F12" s="62"/>
      <c r="G12" s="62"/>
      <c r="H12" t="s">
        <v>523</v>
      </c>
      <c r="J12" t="str">
        <f t="shared" si="0"/>
        <v/>
      </c>
      <c r="K12" t="str">
        <f t="shared" si="1"/>
        <v/>
      </c>
      <c r="L12" t="str">
        <f t="shared" si="2"/>
        <v>MSC.7</v>
      </c>
      <c r="M12" t="str">
        <f t="shared" si="3"/>
        <v/>
      </c>
      <c r="N12" t="str">
        <f t="shared" si="4"/>
        <v/>
      </c>
      <c r="O12">
        <f t="shared" si="5"/>
        <v>0</v>
      </c>
      <c r="P12">
        <f t="shared" si="6"/>
        <v>0</v>
      </c>
      <c r="Q12">
        <f t="shared" si="7"/>
        <v>0</v>
      </c>
      <c r="R12">
        <f t="shared" si="8"/>
        <v>1</v>
      </c>
      <c r="S12">
        <f t="shared" si="9"/>
        <v>0</v>
      </c>
      <c r="T12">
        <f t="shared" si="10"/>
        <v>0</v>
      </c>
      <c r="U12">
        <f t="shared" si="11"/>
        <v>1</v>
      </c>
      <c r="V12">
        <f t="shared" si="12"/>
        <v>0</v>
      </c>
      <c r="W12" t="str">
        <f t="shared" si="13"/>
        <v/>
      </c>
    </row>
    <row r="13" spans="1:24" ht="30" customHeight="1" x14ac:dyDescent="0.3">
      <c r="A13" s="60" t="s">
        <v>732</v>
      </c>
      <c r="B13" s="60" t="s">
        <v>730</v>
      </c>
      <c r="C13" s="61" t="s">
        <v>733</v>
      </c>
      <c r="D13" s="60" t="s">
        <v>658</v>
      </c>
      <c r="E13" s="62"/>
      <c r="F13" s="62"/>
      <c r="G13" s="62"/>
      <c r="H13" t="s">
        <v>523</v>
      </c>
      <c r="J13" t="str">
        <f t="shared" si="0"/>
        <v/>
      </c>
      <c r="K13" t="str">
        <f t="shared" si="1"/>
        <v/>
      </c>
      <c r="L13" t="str">
        <f t="shared" si="2"/>
        <v>MSC.8</v>
      </c>
      <c r="M13" t="str">
        <f t="shared" si="3"/>
        <v/>
      </c>
      <c r="N13" t="str">
        <f t="shared" si="4"/>
        <v/>
      </c>
      <c r="O13">
        <f t="shared" si="5"/>
        <v>0</v>
      </c>
      <c r="P13">
        <f t="shared" si="6"/>
        <v>0</v>
      </c>
      <c r="Q13">
        <f t="shared" si="7"/>
        <v>0</v>
      </c>
      <c r="R13">
        <f t="shared" si="8"/>
        <v>1</v>
      </c>
      <c r="S13">
        <f t="shared" si="9"/>
        <v>0</v>
      </c>
      <c r="T13">
        <f t="shared" si="10"/>
        <v>0</v>
      </c>
      <c r="U13">
        <f t="shared" si="11"/>
        <v>1</v>
      </c>
      <c r="V13">
        <f t="shared" si="12"/>
        <v>0</v>
      </c>
      <c r="W13" t="str">
        <f t="shared" si="13"/>
        <v/>
      </c>
    </row>
    <row r="14" spans="1:24" ht="30" customHeight="1" x14ac:dyDescent="0.3">
      <c r="A14" s="60" t="s">
        <v>734</v>
      </c>
      <c r="B14" s="60" t="s">
        <v>735</v>
      </c>
      <c r="C14" s="61" t="s">
        <v>736</v>
      </c>
      <c r="D14" s="60" t="s">
        <v>658</v>
      </c>
      <c r="E14" s="62"/>
      <c r="F14" s="62"/>
      <c r="G14" s="62"/>
      <c r="H14" t="s">
        <v>523</v>
      </c>
      <c r="J14" t="str">
        <f t="shared" si="0"/>
        <v/>
      </c>
      <c r="K14" t="str">
        <f t="shared" si="1"/>
        <v/>
      </c>
      <c r="L14" t="str">
        <f t="shared" si="2"/>
        <v>MSC.9</v>
      </c>
      <c r="M14" t="str">
        <f t="shared" si="3"/>
        <v/>
      </c>
      <c r="N14" t="str">
        <f t="shared" si="4"/>
        <v/>
      </c>
      <c r="O14">
        <f t="shared" si="5"/>
        <v>0</v>
      </c>
      <c r="P14">
        <f t="shared" si="6"/>
        <v>0</v>
      </c>
      <c r="Q14">
        <f t="shared" si="7"/>
        <v>0</v>
      </c>
      <c r="R14">
        <f t="shared" si="8"/>
        <v>1</v>
      </c>
      <c r="S14">
        <f t="shared" si="9"/>
        <v>0</v>
      </c>
      <c r="T14">
        <f t="shared" si="10"/>
        <v>0</v>
      </c>
      <c r="U14">
        <f t="shared" si="11"/>
        <v>1</v>
      </c>
      <c r="V14">
        <f t="shared" si="12"/>
        <v>0</v>
      </c>
      <c r="W14" t="str">
        <f t="shared" si="13"/>
        <v/>
      </c>
    </row>
    <row r="15" spans="1:24" ht="30" customHeight="1" x14ac:dyDescent="0.3">
      <c r="A15" s="60" t="s">
        <v>737</v>
      </c>
      <c r="B15" s="60" t="s">
        <v>738</v>
      </c>
      <c r="C15" s="61" t="s">
        <v>739</v>
      </c>
      <c r="D15" s="60" t="s">
        <v>661</v>
      </c>
      <c r="E15" s="62"/>
      <c r="F15" s="62"/>
      <c r="G15" s="62"/>
      <c r="H15" t="s">
        <v>523</v>
      </c>
      <c r="J15" t="str">
        <f t="shared" si="0"/>
        <v/>
      </c>
      <c r="K15" t="str">
        <f t="shared" si="1"/>
        <v/>
      </c>
      <c r="L15" t="str">
        <f t="shared" si="2"/>
        <v>MSC.10</v>
      </c>
      <c r="M15" t="str">
        <f t="shared" si="3"/>
        <v/>
      </c>
      <c r="N15" t="str">
        <f t="shared" si="4"/>
        <v/>
      </c>
      <c r="O15">
        <f t="shared" si="5"/>
        <v>0</v>
      </c>
      <c r="P15">
        <f t="shared" si="6"/>
        <v>0</v>
      </c>
      <c r="Q15">
        <f t="shared" si="7"/>
        <v>0</v>
      </c>
      <c r="R15">
        <f t="shared" si="8"/>
        <v>1</v>
      </c>
      <c r="S15">
        <f t="shared" si="9"/>
        <v>0</v>
      </c>
      <c r="T15">
        <f t="shared" si="10"/>
        <v>0</v>
      </c>
      <c r="U15">
        <f t="shared" si="11"/>
        <v>1</v>
      </c>
      <c r="V15">
        <f t="shared" si="12"/>
        <v>0</v>
      </c>
      <c r="W15" t="str">
        <f t="shared" si="13"/>
        <v/>
      </c>
    </row>
    <row r="16" spans="1:24" ht="30" customHeight="1" x14ac:dyDescent="0.3">
      <c r="A16" s="60" t="s">
        <v>740</v>
      </c>
      <c r="B16" s="60" t="s">
        <v>738</v>
      </c>
      <c r="C16" s="61" t="s">
        <v>741</v>
      </c>
      <c r="D16" s="60" t="s">
        <v>658</v>
      </c>
      <c r="E16" s="62"/>
      <c r="F16" s="62"/>
      <c r="G16" s="62"/>
      <c r="H16" t="str">
        <f>IFERROR(IF($G$3="Remote server","No","Yes"),"Yes")</f>
        <v>Yes</v>
      </c>
      <c r="J16" t="str">
        <f t="shared" si="0"/>
        <v/>
      </c>
      <c r="K16" t="str">
        <f t="shared" si="1"/>
        <v/>
      </c>
      <c r="L16" t="str">
        <f t="shared" si="2"/>
        <v>MSC.11</v>
      </c>
      <c r="M16" t="str">
        <f t="shared" si="3"/>
        <v/>
      </c>
      <c r="N16" t="str">
        <f t="shared" si="4"/>
        <v/>
      </c>
      <c r="O16">
        <f t="shared" si="5"/>
        <v>0</v>
      </c>
      <c r="P16">
        <f t="shared" si="6"/>
        <v>0</v>
      </c>
      <c r="Q16">
        <f t="shared" si="7"/>
        <v>0</v>
      </c>
      <c r="R16">
        <f t="shared" si="8"/>
        <v>1</v>
      </c>
      <c r="S16">
        <f t="shared" si="9"/>
        <v>0</v>
      </c>
      <c r="T16">
        <f t="shared" si="10"/>
        <v>0</v>
      </c>
      <c r="U16">
        <f t="shared" si="11"/>
        <v>1</v>
      </c>
      <c r="V16">
        <f t="shared" si="12"/>
        <v>0</v>
      </c>
      <c r="W16" t="str">
        <f t="shared" si="13"/>
        <v/>
      </c>
    </row>
    <row r="17" spans="1:23" ht="30" customHeight="1" x14ac:dyDescent="0.3">
      <c r="A17" s="60" t="s">
        <v>742</v>
      </c>
      <c r="B17" s="60" t="s">
        <v>743</v>
      </c>
      <c r="C17" s="61" t="s">
        <v>744</v>
      </c>
      <c r="D17" s="60" t="s">
        <v>661</v>
      </c>
      <c r="E17" s="62"/>
      <c r="F17" s="62"/>
      <c r="G17" s="62"/>
      <c r="H17" t="s">
        <v>523</v>
      </c>
      <c r="J17" t="str">
        <f t="shared" si="0"/>
        <v/>
      </c>
      <c r="K17" t="str">
        <f t="shared" si="1"/>
        <v/>
      </c>
      <c r="L17" t="str">
        <f t="shared" si="2"/>
        <v>MSC.12</v>
      </c>
      <c r="M17" t="str">
        <f t="shared" si="3"/>
        <v/>
      </c>
      <c r="N17" t="str">
        <f t="shared" si="4"/>
        <v/>
      </c>
      <c r="O17">
        <f t="shared" si="5"/>
        <v>0</v>
      </c>
      <c r="P17">
        <f t="shared" si="6"/>
        <v>0</v>
      </c>
      <c r="Q17">
        <f t="shared" si="7"/>
        <v>0</v>
      </c>
      <c r="R17">
        <f t="shared" si="8"/>
        <v>1</v>
      </c>
      <c r="S17">
        <f t="shared" si="9"/>
        <v>0</v>
      </c>
      <c r="T17">
        <f t="shared" si="10"/>
        <v>0</v>
      </c>
      <c r="U17">
        <f t="shared" si="11"/>
        <v>1</v>
      </c>
      <c r="V17">
        <f t="shared" si="12"/>
        <v>0</v>
      </c>
      <c r="W17" t="str">
        <f t="shared" si="13"/>
        <v/>
      </c>
    </row>
    <row r="18" spans="1:23" ht="30" customHeight="1" x14ac:dyDescent="0.3">
      <c r="A18" s="60" t="s">
        <v>745</v>
      </c>
      <c r="B18" s="60" t="s">
        <v>688</v>
      </c>
      <c r="C18" s="61" t="s">
        <v>746</v>
      </c>
      <c r="D18" s="60" t="s">
        <v>661</v>
      </c>
      <c r="E18" s="62"/>
      <c r="F18" s="62"/>
      <c r="G18" s="62"/>
      <c r="H18" t="s">
        <v>523</v>
      </c>
      <c r="J18" t="str">
        <f t="shared" si="0"/>
        <v/>
      </c>
      <c r="K18" t="str">
        <f t="shared" si="1"/>
        <v/>
      </c>
      <c r="L18" t="str">
        <f t="shared" si="2"/>
        <v>MSC.13</v>
      </c>
      <c r="M18" t="str">
        <f t="shared" si="3"/>
        <v/>
      </c>
      <c r="N18" t="str">
        <f t="shared" si="4"/>
        <v/>
      </c>
      <c r="O18">
        <f t="shared" si="5"/>
        <v>0</v>
      </c>
      <c r="P18">
        <f t="shared" si="6"/>
        <v>0</v>
      </c>
      <c r="Q18">
        <f t="shared" si="7"/>
        <v>0</v>
      </c>
      <c r="R18">
        <f t="shared" si="8"/>
        <v>1</v>
      </c>
      <c r="S18">
        <f t="shared" si="9"/>
        <v>0</v>
      </c>
      <c r="T18">
        <f t="shared" si="10"/>
        <v>0</v>
      </c>
      <c r="U18">
        <f t="shared" si="11"/>
        <v>1</v>
      </c>
      <c r="V18">
        <f t="shared" si="12"/>
        <v>0</v>
      </c>
      <c r="W18" t="str">
        <f t="shared" si="13"/>
        <v/>
      </c>
    </row>
    <row r="19" spans="1:23" ht="30" customHeight="1" x14ac:dyDescent="0.3">
      <c r="A19" s="60" t="s">
        <v>747</v>
      </c>
      <c r="B19" s="60" t="s">
        <v>694</v>
      </c>
      <c r="C19" s="61" t="s">
        <v>748</v>
      </c>
      <c r="D19" s="60" t="s">
        <v>661</v>
      </c>
      <c r="E19" s="62"/>
      <c r="F19" s="62"/>
      <c r="G19" s="62"/>
      <c r="H19" t="s">
        <v>523</v>
      </c>
      <c r="J19" t="str">
        <f t="shared" si="0"/>
        <v/>
      </c>
      <c r="K19" t="str">
        <f t="shared" si="1"/>
        <v/>
      </c>
      <c r="L19" t="str">
        <f t="shared" si="2"/>
        <v>MSC.14</v>
      </c>
      <c r="M19" t="str">
        <f t="shared" si="3"/>
        <v/>
      </c>
      <c r="N19" t="str">
        <f t="shared" si="4"/>
        <v/>
      </c>
      <c r="O19">
        <f t="shared" si="5"/>
        <v>0</v>
      </c>
      <c r="P19">
        <f t="shared" si="6"/>
        <v>0</v>
      </c>
      <c r="Q19">
        <f t="shared" si="7"/>
        <v>0</v>
      </c>
      <c r="R19">
        <f t="shared" si="8"/>
        <v>1</v>
      </c>
      <c r="S19">
        <f t="shared" si="9"/>
        <v>0</v>
      </c>
      <c r="T19">
        <f t="shared" si="10"/>
        <v>0</v>
      </c>
      <c r="U19">
        <f t="shared" si="11"/>
        <v>1</v>
      </c>
      <c r="V19">
        <f t="shared" si="12"/>
        <v>0</v>
      </c>
      <c r="W19" t="str">
        <f t="shared" si="13"/>
        <v/>
      </c>
    </row>
    <row r="20" spans="1:23" ht="30" customHeight="1" x14ac:dyDescent="0.3">
      <c r="A20" s="60" t="s">
        <v>749</v>
      </c>
      <c r="B20" s="60" t="s">
        <v>694</v>
      </c>
      <c r="C20" s="61" t="s">
        <v>750</v>
      </c>
      <c r="D20" s="60" t="s">
        <v>658</v>
      </c>
      <c r="E20" s="62"/>
      <c r="F20" s="62"/>
      <c r="G20" s="62"/>
      <c r="H20" t="s">
        <v>523</v>
      </c>
      <c r="J20" t="str">
        <f t="shared" si="0"/>
        <v/>
      </c>
      <c r="K20" t="str">
        <f t="shared" si="1"/>
        <v/>
      </c>
      <c r="L20" t="str">
        <f t="shared" si="2"/>
        <v>MSC.15</v>
      </c>
      <c r="M20" t="str">
        <f t="shared" si="3"/>
        <v/>
      </c>
      <c r="N20" t="str">
        <f t="shared" si="4"/>
        <v/>
      </c>
      <c r="O20">
        <f t="shared" si="5"/>
        <v>0</v>
      </c>
      <c r="P20">
        <f t="shared" si="6"/>
        <v>0</v>
      </c>
      <c r="Q20">
        <f t="shared" si="7"/>
        <v>0</v>
      </c>
      <c r="R20">
        <f t="shared" si="8"/>
        <v>1</v>
      </c>
      <c r="S20">
        <f t="shared" si="9"/>
        <v>0</v>
      </c>
      <c r="T20">
        <f t="shared" si="10"/>
        <v>0</v>
      </c>
      <c r="U20">
        <f t="shared" si="11"/>
        <v>1</v>
      </c>
      <c r="V20">
        <f t="shared" si="12"/>
        <v>0</v>
      </c>
      <c r="W20" t="str">
        <f t="shared" si="13"/>
        <v/>
      </c>
    </row>
    <row r="21" spans="1:23" ht="30" customHeight="1" x14ac:dyDescent="0.3">
      <c r="A21" s="60" t="s">
        <v>751</v>
      </c>
      <c r="B21" s="60" t="s">
        <v>730</v>
      </c>
      <c r="C21" s="61" t="s">
        <v>752</v>
      </c>
      <c r="D21" s="60" t="s">
        <v>661</v>
      </c>
      <c r="E21" s="62"/>
      <c r="F21" s="62"/>
      <c r="G21" s="62"/>
      <c r="H21" t="s">
        <v>523</v>
      </c>
      <c r="J21" t="str">
        <f t="shared" si="0"/>
        <v/>
      </c>
      <c r="K21" t="str">
        <f t="shared" si="1"/>
        <v/>
      </c>
      <c r="L21" t="str">
        <f t="shared" si="2"/>
        <v>MSC.16</v>
      </c>
      <c r="M21" t="str">
        <f t="shared" si="3"/>
        <v/>
      </c>
      <c r="N21" t="str">
        <f t="shared" si="4"/>
        <v/>
      </c>
      <c r="O21">
        <f t="shared" si="5"/>
        <v>0</v>
      </c>
      <c r="P21">
        <f t="shared" si="6"/>
        <v>0</v>
      </c>
      <c r="Q21">
        <f t="shared" si="7"/>
        <v>0</v>
      </c>
      <c r="R21">
        <f t="shared" si="8"/>
        <v>1</v>
      </c>
      <c r="S21">
        <f t="shared" si="9"/>
        <v>0</v>
      </c>
      <c r="T21">
        <f t="shared" si="10"/>
        <v>0</v>
      </c>
      <c r="U21">
        <f t="shared" si="11"/>
        <v>1</v>
      </c>
      <c r="V21">
        <f t="shared" si="12"/>
        <v>0</v>
      </c>
      <c r="W21" t="str">
        <f t="shared" si="13"/>
        <v/>
      </c>
    </row>
    <row r="22" spans="1:23" ht="30" customHeight="1" x14ac:dyDescent="0.3">
      <c r="A22" s="66" t="s">
        <v>753</v>
      </c>
      <c r="B22" s="67" t="s">
        <v>738</v>
      </c>
      <c r="C22" s="61" t="s">
        <v>754</v>
      </c>
      <c r="D22" s="60" t="s">
        <v>658</v>
      </c>
      <c r="E22" s="62"/>
      <c r="F22" s="62"/>
      <c r="G22" s="62"/>
      <c r="H22" t="str">
        <f>IFERROR(IF($G$3="Local process","No","Yes"),"Yes")</f>
        <v>Yes</v>
      </c>
      <c r="J22" t="str">
        <f t="shared" si="0"/>
        <v/>
      </c>
      <c r="K22" t="str">
        <f t="shared" si="1"/>
        <v/>
      </c>
      <c r="L22" t="str">
        <f t="shared" si="2"/>
        <v>MSC.17</v>
      </c>
      <c r="M22" t="str">
        <f t="shared" si="3"/>
        <v/>
      </c>
      <c r="N22" t="str">
        <f t="shared" si="4"/>
        <v/>
      </c>
      <c r="O22">
        <f t="shared" si="5"/>
        <v>0</v>
      </c>
      <c r="P22">
        <f t="shared" si="6"/>
        <v>0</v>
      </c>
      <c r="Q22">
        <f t="shared" si="7"/>
        <v>0</v>
      </c>
      <c r="R22">
        <f t="shared" si="8"/>
        <v>1</v>
      </c>
      <c r="S22">
        <f t="shared" si="9"/>
        <v>0</v>
      </c>
      <c r="T22">
        <f t="shared" si="10"/>
        <v>0</v>
      </c>
      <c r="U22">
        <f t="shared" si="11"/>
        <v>1</v>
      </c>
      <c r="V22">
        <f t="shared" si="12"/>
        <v>0</v>
      </c>
      <c r="W22" t="str">
        <f t="shared" si="13"/>
        <v/>
      </c>
    </row>
    <row r="23" spans="1:23" ht="30" customHeight="1" x14ac:dyDescent="0.3">
      <c r="A23" s="66" t="s">
        <v>755</v>
      </c>
      <c r="B23" s="60" t="s">
        <v>738</v>
      </c>
      <c r="C23" s="61" t="s">
        <v>756</v>
      </c>
      <c r="D23" s="60" t="s">
        <v>661</v>
      </c>
      <c r="E23" s="62"/>
      <c r="F23" s="62"/>
      <c r="G23" s="62"/>
      <c r="H23" t="s">
        <v>523</v>
      </c>
      <c r="J23" t="str">
        <f t="shared" si="0"/>
        <v/>
      </c>
      <c r="K23" t="str">
        <f t="shared" si="1"/>
        <v/>
      </c>
      <c r="L23" t="str">
        <f t="shared" si="2"/>
        <v>MSC.18</v>
      </c>
      <c r="M23" t="str">
        <f t="shared" si="3"/>
        <v/>
      </c>
      <c r="N23" t="str">
        <f t="shared" si="4"/>
        <v/>
      </c>
      <c r="O23">
        <f t="shared" si="5"/>
        <v>0</v>
      </c>
      <c r="P23">
        <f t="shared" si="6"/>
        <v>0</v>
      </c>
      <c r="Q23">
        <f t="shared" si="7"/>
        <v>0</v>
      </c>
      <c r="R23">
        <f t="shared" si="8"/>
        <v>1</v>
      </c>
      <c r="S23">
        <f t="shared" si="9"/>
        <v>0</v>
      </c>
      <c r="T23">
        <f t="shared" si="10"/>
        <v>0</v>
      </c>
      <c r="U23">
        <f t="shared" si="11"/>
        <v>1</v>
      </c>
      <c r="V23">
        <f t="shared" si="12"/>
        <v>0</v>
      </c>
      <c r="W23" t="str">
        <f t="shared" si="13"/>
        <v/>
      </c>
    </row>
    <row r="24" spans="1:23" ht="30" customHeight="1" x14ac:dyDescent="0.3">
      <c r="A24" s="68" t="s">
        <v>757</v>
      </c>
      <c r="B24" s="63" t="s">
        <v>720</v>
      </c>
      <c r="C24" s="61" t="s">
        <v>758</v>
      </c>
      <c r="D24" s="63" t="s">
        <v>661</v>
      </c>
      <c r="E24" s="42"/>
      <c r="F24" s="42"/>
      <c r="G24" s="42"/>
      <c r="H24" t="s">
        <v>523</v>
      </c>
      <c r="J24" t="str">
        <f t="shared" si="0"/>
        <v/>
      </c>
      <c r="K24" t="str">
        <f t="shared" si="1"/>
        <v/>
      </c>
      <c r="L24" t="str">
        <f t="shared" si="2"/>
        <v>MSC.19</v>
      </c>
      <c r="M24" t="str">
        <f t="shared" si="3"/>
        <v/>
      </c>
      <c r="N24" t="str">
        <f t="shared" si="4"/>
        <v/>
      </c>
      <c r="O24">
        <f t="shared" si="5"/>
        <v>0</v>
      </c>
      <c r="P24">
        <f t="shared" si="6"/>
        <v>0</v>
      </c>
      <c r="Q24">
        <f t="shared" si="7"/>
        <v>0</v>
      </c>
      <c r="R24">
        <f t="shared" si="8"/>
        <v>1</v>
      </c>
      <c r="S24">
        <f t="shared" si="9"/>
        <v>0</v>
      </c>
      <c r="T24">
        <f t="shared" si="10"/>
        <v>0</v>
      </c>
      <c r="U24">
        <f t="shared" si="11"/>
        <v>1</v>
      </c>
      <c r="V24">
        <f t="shared" si="12"/>
        <v>0</v>
      </c>
      <c r="W24" t="str">
        <f t="shared" si="13"/>
        <v/>
      </c>
    </row>
    <row r="25" spans="1:23" ht="30" customHeight="1" x14ac:dyDescent="0.3">
      <c r="A25" s="68" t="s">
        <v>759</v>
      </c>
      <c r="B25" s="63" t="s">
        <v>720</v>
      </c>
      <c r="C25" s="61" t="s">
        <v>760</v>
      </c>
      <c r="D25" s="63" t="s">
        <v>658</v>
      </c>
      <c r="E25" s="42"/>
      <c r="F25" s="42"/>
      <c r="G25" s="42"/>
      <c r="H25" t="str">
        <f>IFERROR(IF($G$3="Local process","No","Yes"),"Yes")</f>
        <v>Yes</v>
      </c>
      <c r="J25" t="str">
        <f t="shared" si="0"/>
        <v/>
      </c>
      <c r="K25" t="str">
        <f t="shared" si="1"/>
        <v/>
      </c>
      <c r="L25" t="str">
        <f t="shared" si="2"/>
        <v>MSC.20</v>
      </c>
      <c r="M25" t="str">
        <f t="shared" si="3"/>
        <v/>
      </c>
      <c r="N25" t="str">
        <f t="shared" si="4"/>
        <v/>
      </c>
      <c r="O25">
        <f t="shared" si="5"/>
        <v>0</v>
      </c>
      <c r="P25">
        <f t="shared" si="6"/>
        <v>0</v>
      </c>
      <c r="Q25">
        <f t="shared" si="7"/>
        <v>0</v>
      </c>
      <c r="R25">
        <f t="shared" si="8"/>
        <v>1</v>
      </c>
      <c r="S25">
        <f t="shared" si="9"/>
        <v>0</v>
      </c>
      <c r="T25">
        <f t="shared" si="10"/>
        <v>0</v>
      </c>
      <c r="U25">
        <f t="shared" si="11"/>
        <v>1</v>
      </c>
      <c r="V25">
        <f t="shared" si="12"/>
        <v>0</v>
      </c>
      <c r="W25" t="str">
        <f t="shared" si="13"/>
        <v/>
      </c>
    </row>
    <row r="26" spans="1:23" ht="14.25" customHeight="1" x14ac:dyDescent="0.3">
      <c r="A26" s="2"/>
      <c r="D26" s="2"/>
    </row>
    <row r="27" spans="1:23" ht="14.25" customHeight="1" x14ac:dyDescent="0.3">
      <c r="A27" s="97" t="s">
        <v>698</v>
      </c>
      <c r="B27" s="97"/>
      <c r="C27" s="97"/>
      <c r="D27" s="69">
        <f>IFERROR(SUM($T$6:$T$25)/SUM($U$6:$U$25),0)</f>
        <v>0</v>
      </c>
    </row>
    <row r="28" spans="1:23" ht="14.25" customHeight="1" x14ac:dyDescent="0.3">
      <c r="A28" s="97" t="s">
        <v>699</v>
      </c>
      <c r="B28" s="97"/>
      <c r="C28" s="97"/>
      <c r="D28" s="2">
        <f>SUM($V$6:$V$25)</f>
        <v>0</v>
      </c>
      <c r="E28" t="str">
        <f>IF(D28=0,"",_xlfn.TEXTJOIN(", ",TRUE(),$J$6:$J$25))</f>
        <v/>
      </c>
    </row>
    <row r="29" spans="1:23" ht="14.25" customHeight="1" x14ac:dyDescent="0.3">
      <c r="A29" s="97" t="s">
        <v>700</v>
      </c>
      <c r="B29" s="97"/>
      <c r="C29" s="97"/>
      <c r="D29">
        <f>SUM($P$6:$P$25)</f>
        <v>0</v>
      </c>
    </row>
    <row r="30" spans="1:23" ht="39.75" customHeight="1" x14ac:dyDescent="0.3">
      <c r="A30" s="97" t="s">
        <v>601</v>
      </c>
      <c r="B30" s="97"/>
      <c r="C30" s="97"/>
      <c r="D30" s="7" t="str">
        <f>IFERROR(IF($X$2&gt;0,"INCOMPLETE - assessment context missing or invalid",IF($I$3&lt;&gt;"Yes","NOT ASSESSED",IF($D$28&gt;0,"NO-GO - mandatory checkpoint open",IF(NOT(IFERROR(AND(ISNUMBER(mcp_min_compliance),mcp_min_compliance&gt;=0,mcp_min_compliance&lt;=1),FALSE())),"INCOMPLETE - MCP policy invalid (Lookups!B31)",IF($X$5&gt;0,"INCOMPLETE - input error; see fault locations below",IF($D$31&gt;0,"INCOMPLETE - unjustified N/A",IF($D$32&gt;0,"INCOMPLETE - checkpoints unanswered or invalid",IF(AND($X$6&gt;0,$X$4=-1),"INCOMPLETE - re-answer rejected exclusions",IF($D$33&gt;0,"INCOMPLETE - mandatory exclusions pending review",IF($D$27&lt;mcp_min_compliance,"NO-GO - insufficient compliance",IF($D$29&gt;0,"CONDITIONAL GO - evidence missing",IF($D$27=1,"GO"&amp;IF($X$6&gt;0," - with approved exclusions",""),"CONDITIONAL GO - close remaining gaps"&amp;IF($X$6&gt;0," - with approved exclusions",""))))))))))))),"INCOMPLETE - input/calculation error; check context and review")</f>
        <v>INCOMPLETE - assessment context missing or invalid</v>
      </c>
      <c r="E30" s="7"/>
      <c r="F30" s="7"/>
      <c r="G30" s="7"/>
      <c r="H30" s="7"/>
      <c r="I30" s="7"/>
    </row>
    <row r="31" spans="1:23" ht="14.25" customHeight="1" x14ac:dyDescent="0.3">
      <c r="A31" t="s">
        <v>701</v>
      </c>
      <c r="D31">
        <f>SUM($Q$6:$Q$25)</f>
        <v>0</v>
      </c>
      <c r="E31" t="str">
        <f>IF(D31=0,"",_xlfn.TEXTJOIN(", ",TRUE(),$K$6:$K$25))</f>
        <v/>
      </c>
    </row>
    <row r="32" spans="1:23" ht="14.25" customHeight="1" x14ac:dyDescent="0.3">
      <c r="A32" s="87" t="s">
        <v>702</v>
      </c>
      <c r="B32" s="87"/>
      <c r="C32" s="87"/>
      <c r="D32">
        <f>SUM($R$6:$R$25)</f>
        <v>20</v>
      </c>
      <c r="E32" t="str">
        <f>IF(D32=0,"",_xlfn.TEXTJOIN(", ",TRUE(),$L$6:$L$25))</f>
        <v>MSC.1, MSC.2, MSC.3, MSC.4, MSC.5, MSC.6, MSC.7, MSC.8, MSC.9, MSC.10, MSC.11, MSC.12, MSC.13, MSC.14, MSC.15, MSC.16, MSC.17, MSC.18, MSC.19, MSC.20</v>
      </c>
    </row>
    <row r="33" spans="1:9" ht="14.25" customHeight="1" x14ac:dyDescent="0.3">
      <c r="A33" s="87" t="s">
        <v>703</v>
      </c>
      <c r="B33" s="87"/>
      <c r="C33" s="87"/>
      <c r="D33">
        <f>IF(OR($X$4=1,$X$4=-1),0,$X$6)</f>
        <v>0</v>
      </c>
      <c r="E33" t="str">
        <f>IF(D33=0,"",_xlfn.TEXTJOIN(", ",TRUE(),$M$6:$M$25))</f>
        <v/>
      </c>
    </row>
    <row r="34" spans="1:9" ht="14.25" customHeight="1" x14ac:dyDescent="0.3">
      <c r="A34" s="87" t="s">
        <v>704</v>
      </c>
      <c r="B34" s="87"/>
      <c r="C34" s="87"/>
      <c r="D34" s="53"/>
      <c r="E34" s="53"/>
      <c r="F34" s="54"/>
    </row>
    <row r="35" spans="1:9" ht="14.25" customHeight="1" x14ac:dyDescent="0.3">
      <c r="A35" s="87" t="s">
        <v>705</v>
      </c>
      <c r="B35" s="87"/>
      <c r="C35" s="87"/>
      <c r="D35" s="53"/>
    </row>
    <row r="36" spans="1:9" ht="14.25" customHeight="1" x14ac:dyDescent="0.3">
      <c r="A36" s="87" t="s">
        <v>706</v>
      </c>
      <c r="B36" s="87"/>
      <c r="C36" s="87"/>
      <c r="D36" s="8" t="str">
        <f>IFERROR(_xlfn.TEXTJOIN("; ",TRUE(),$N$6:$N$25),"SNAPSHOT ERROR - shorten/check exclusion reasons")</f>
        <v/>
      </c>
    </row>
    <row r="37" spans="1:9" ht="48" customHeight="1" x14ac:dyDescent="0.3">
      <c r="A37" s="87" t="s">
        <v>707</v>
      </c>
      <c r="B37" s="87"/>
      <c r="C37" s="87"/>
      <c r="D37" s="55"/>
      <c r="E37" s="7"/>
      <c r="F37" s="7"/>
      <c r="G37" s="7"/>
      <c r="H37" s="7"/>
      <c r="I37" s="7"/>
    </row>
    <row r="38" spans="1:9" ht="43.5" customHeight="1" x14ac:dyDescent="0.3">
      <c r="A38" s="93" t="s">
        <v>708</v>
      </c>
      <c r="B38" s="93"/>
      <c r="C38" s="93"/>
      <c r="D38" s="7">
        <f>$X$5</f>
        <v>0</v>
      </c>
      <c r="E38" s="86" t="str">
        <f>IF($X$5=0,"",_xlfn.TEXTJOIN(", ",TRUE(),$W$6:$W$25))</f>
        <v/>
      </c>
      <c r="F38" s="86"/>
      <c r="G38" s="86"/>
      <c r="H38" s="86"/>
      <c r="I38" s="86"/>
    </row>
    <row r="39" spans="1:9" ht="43.5" customHeight="1" x14ac:dyDescent="0.3">
      <c r="A39" s="93" t="s">
        <v>709</v>
      </c>
      <c r="B39" s="93"/>
      <c r="C39" s="93"/>
      <c r="D39" s="86" t="str">
        <f>_xlfn.TEXTJOIN("; ",TRUE(),$X$3,$X$7)</f>
        <v>E3 Transport missing / invalid; G3 Locality missing / invalid; C4 Authorization missing / invalid; E4 Multi-tenant missing / invalid; G4 Proxy / capability context missing / invalid</v>
      </c>
      <c r="E39" s="86"/>
      <c r="F39" s="86"/>
      <c r="G39" s="86"/>
      <c r="H39" s="86"/>
      <c r="I39" s="86"/>
    </row>
    <row r="40" spans="1:9" ht="43.5" customHeight="1" x14ac:dyDescent="0.3">
      <c r="A40" s="93" t="s">
        <v>710</v>
      </c>
      <c r="B40" s="93"/>
      <c r="C40" s="93"/>
      <c r="D40" s="86" t="s">
        <v>761</v>
      </c>
      <c r="E40" s="86"/>
      <c r="F40" s="86"/>
      <c r="G40" s="86"/>
      <c r="H40" s="86"/>
      <c r="I40" s="86"/>
    </row>
  </sheetData>
  <sheetProtection sheet="1" formatCells="0" formatColumns="0" formatRows="0"/>
  <mergeCells count="17">
    <mergeCell ref="A2:G2"/>
    <mergeCell ref="A27:C27"/>
    <mergeCell ref="A28:C28"/>
    <mergeCell ref="A29:C29"/>
    <mergeCell ref="A30:C30"/>
    <mergeCell ref="A32:C32"/>
    <mergeCell ref="A33:C33"/>
    <mergeCell ref="A34:C34"/>
    <mergeCell ref="A35:C35"/>
    <mergeCell ref="A36:C36"/>
    <mergeCell ref="A40:C40"/>
    <mergeCell ref="D40:I40"/>
    <mergeCell ref="A37:C37"/>
    <mergeCell ref="A38:C38"/>
    <mergeCell ref="E38:I38"/>
    <mergeCell ref="A39:C39"/>
    <mergeCell ref="D39:I39"/>
  </mergeCells>
  <conditionalFormatting sqref="D30">
    <cfRule type="expression" dxfId="2" priority="2">
      <formula>LEFT($D$30,2)="GO"</formula>
    </cfRule>
    <cfRule type="expression" dxfId="1" priority="3">
      <formula>LEFT($D$30,11)="CONDITIONAL"</formula>
    </cfRule>
    <cfRule type="expression" dxfId="0" priority="4">
      <formula>LEFT($D$30,5)="NO-GO"</formula>
    </cfRule>
  </conditionalFormatting>
  <dataValidations count="11">
    <dataValidation type="list" allowBlank="1" showInputMessage="1" showErrorMessage="1" errorTitle="Invalid entry" error="Please choose a value from the dropdown list." promptTitle="Status" prompt="Compliant and Partially compliant require an evidence reference. N/A without a reason in Notes counts as open." sqref="E6:E25" xr:uid="{00000000-0002-0000-0800-000000000000}">
      <formula1>"Compliant,Partially compliant,Non-compliant,N/A"</formula1>
      <formula2>0</formula2>
    </dataValidation>
    <dataValidation type="list" allowBlank="1" showInputMessage="1" showErrorMessage="1" errorTitle="Invalid entry" error="Please choose a value from the dropdown list." promptTitle="Severity" prompt="Mandatory checkpoints are hard gates and feed the Dashboard decision when this sheet is assessed." sqref="D6:D25" xr:uid="{00000000-0002-0000-0800-000001000000}">
      <formula1>"Mandatory,Important,Minor"</formula1>
      <formula2>0</formula2>
    </dataValidation>
    <dataValidation type="list" allowBlank="1" showInputMessage="1" showErrorMessage="1" errorTitle="Invalid entry" error="Please choose a value from the dropdown list." promptTitle="Transport" prompt="Choose from the dropdown list." sqref="E3" xr:uid="{00000000-0002-0000-0800-000002000000}">
      <formula1>"Local stdio,Remote Streamable HTTP,Legacy SSE/HTTP,Mixed"</formula1>
      <formula2>0</formula2>
    </dataValidation>
    <dataValidation type="list" allowBlank="1" showInputMessage="1" showErrorMessage="1" errorTitle="Invalid entry" error="Please choose a value from the dropdown list." promptTitle="Locality" prompt="Drives applicability: local-only checks deactivate for Remote server, remote/OAuth checks deactivate for Local process." sqref="G3" xr:uid="{00000000-0002-0000-0800-000003000000}">
      <formula1>"Local process,Remote server,Mixed"</formula1>
      <formula2>0</formula2>
    </dataValidation>
    <dataValidation type="list" allowBlank="1" showInputMessage="1" showErrorMessage="1" errorTitle="Invalid entry" error="Please choose a value from the dropdown list." promptTitle="Authorization" prompt="Choose from the dropdown list." sqref="C4" xr:uid="{00000000-0002-0000-0800-000004000000}">
      <formula1>"Yes,No,N/A"</formula1>
      <formula2>0</formula2>
    </dataValidation>
    <dataValidation type="list" allowBlank="1" showInputMessage="1" showErrorMessage="1" errorTitle="Invalid entry" error="Please choose a value from the dropdown list." promptTitle="Multi-tenant" prompt="MS.14 applies only when this is Yes." sqref="E4" xr:uid="{00000000-0002-0000-0800-000005000000}">
      <formula1>"Yes,No"</formula1>
      <formula2>0</formula2>
    </dataValidation>
    <dataValidation type="list" allowBlank="1" showInputMessage="1" showErrorMessage="1" errorTitle="Invalid entry" error="Please choose a value from the dropdown list." promptTitle="Proxy to 3rd-party APIs" prompt="Choose from the dropdown list." sqref="G4" xr:uid="{00000000-0002-0000-0800-000006000000}">
      <formula1>"Yes,No"</formula1>
      <formula2>0</formula2>
    </dataValidation>
    <dataValidation type="list" allowBlank="1" showInputMessage="1" showErrorMessage="1" errorTitle="Invalid entry" error="Please choose a value from the dropdown list." promptTitle="Assessed (completion)" prompt="Completion switch: set Yes only when the context fields are filled and every applicable checkpoint has a status. The verdict then feeds the Dashboard decision." sqref="I3" xr:uid="{00000000-0002-0000-0800-000007000000}">
      <formula1>"Yes,No"</formula1>
      <formula2>0</formula2>
    </dataValidation>
    <dataValidation type="list" showErrorMessage="1" errorTitle="Invalid value" error="Choose Yes or No." promptTitle="Required (scope)" prompt="Scope declaration: Yes if this side of the MCP integration is used by the assessed system. A required side must be assessed and feeds the Dashboard decision (when S19 = Yes). A blank or invalid selection blocks completion." sqref="I2" xr:uid="{00000000-0002-0000-0800-000008000000}">
      <formula1>"Yes,No"</formula1>
      <formula2>0</formula2>
    </dataValidation>
    <dataValidation type="list" allowBlank="1" showErrorMessage="1" sqref="D34" xr:uid="{00000000-0002-0000-0800-000009000000}">
      <formula1>"Approved,Rejected"</formula1>
      <formula2>0</formula2>
    </dataValidation>
    <dataValidation type="date" allowBlank="1" showErrorMessage="1" sqref="F34" xr:uid="{00000000-0002-0000-0800-00000A000000}">
      <formula1>DATE(2020,1,1)</formula1>
      <formula2>DATE(2100,12,31)</formula2>
    </dataValidation>
  </dataValidations>
  <pageMargins left="0.75" right="0.75" top="1" bottom="1" header="0.51180555555555596" footer="0.51180555555555596"/>
  <pageSetup paperSize="9" fitToHeight="0" orientation="landscape" horizontalDpi="300" verticalDpi="300"/>
  <headerFooter>
    <oddHeader>&amp;L&amp;A&amp;Rv0.6.8-r4 - &amp;D</oddHeader>
    <oddFooter>&amp;RPage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27"/>
  <sheetViews>
    <sheetView zoomScaleNormal="100" workbookViewId="0">
      <pane ySplit="4" topLeftCell="A5" activePane="bottomLeft" state="frozen"/>
      <selection pane="bottomLeft"/>
    </sheetView>
  </sheetViews>
  <sheetFormatPr baseColWidth="10" defaultColWidth="8.6640625" defaultRowHeight="14.4" x14ac:dyDescent="0.3"/>
  <cols>
    <col min="1" max="1" width="32" customWidth="1"/>
    <col min="2" max="2" width="26" customWidth="1"/>
    <col min="3" max="3" width="14" customWidth="1"/>
    <col min="4" max="5" width="16" customWidth="1"/>
    <col min="6" max="6" width="30" customWidth="1"/>
  </cols>
  <sheetData>
    <row r="1" spans="1:6" ht="15" customHeight="1" x14ac:dyDescent="0.35">
      <c r="A1" s="56" t="s">
        <v>762</v>
      </c>
      <c r="B1" s="57"/>
      <c r="C1" s="57"/>
      <c r="D1" s="57"/>
      <c r="E1" s="57"/>
      <c r="F1" s="57"/>
    </row>
    <row r="2" spans="1:6" ht="75" customHeight="1" x14ac:dyDescent="0.3">
      <c r="A2" s="3" t="s">
        <v>763</v>
      </c>
    </row>
    <row r="4" spans="1:6" ht="15" customHeight="1" x14ac:dyDescent="0.3">
      <c r="A4" s="5" t="s">
        <v>135</v>
      </c>
      <c r="B4" s="5" t="s">
        <v>764</v>
      </c>
      <c r="C4" s="5" t="s">
        <v>765</v>
      </c>
      <c r="D4" s="5" t="s">
        <v>766</v>
      </c>
      <c r="E4" s="20" t="s">
        <v>767</v>
      </c>
    </row>
    <row r="5" spans="1:6" ht="15" customHeight="1" x14ac:dyDescent="0.3">
      <c r="A5" s="60" t="s">
        <v>184</v>
      </c>
      <c r="B5" s="60" t="s">
        <v>568</v>
      </c>
      <c r="C5" s="67">
        <f>Dashboard!D29</f>
        <v>0</v>
      </c>
      <c r="D5" s="70" t="str">
        <f t="shared" ref="D5:D13" si="0">IF($E5="Assessed",IF(C5=0,0,IF(C5&lt;0.2,1,IF(C5&lt;0.4,2,IF(C5&lt;0.6,3,IF(C5&lt;0.8,4,5))))),IF($E5="Not applicable","n/a","-"))</f>
        <v>-</v>
      </c>
      <c r="E5" s="70" t="str">
        <f>IF(Dashboard!B29=0,"Not applicable",IF(Dashboard!C29=0,"Unassessed",IF(Dashboard!C29&lt;Dashboard!B29,"In progress","Assessed")))</f>
        <v>Unassessed</v>
      </c>
    </row>
    <row r="6" spans="1:6" ht="15" customHeight="1" x14ac:dyDescent="0.3">
      <c r="A6" s="60" t="s">
        <v>207</v>
      </c>
      <c r="B6" s="60" t="s">
        <v>568</v>
      </c>
      <c r="C6" s="67">
        <f>Dashboard!D30</f>
        <v>0</v>
      </c>
      <c r="D6" s="70" t="str">
        <f t="shared" si="0"/>
        <v>-</v>
      </c>
      <c r="E6" s="70" t="str">
        <f>IF(Dashboard!B30=0,"Not applicable",IF(Dashboard!C30=0,"Unassessed",IF(Dashboard!C30&lt;Dashboard!B30,"In progress","Assessed")))</f>
        <v>Unassessed</v>
      </c>
    </row>
    <row r="7" spans="1:6" ht="15" customHeight="1" x14ac:dyDescent="0.3">
      <c r="A7" s="60" t="s">
        <v>235</v>
      </c>
      <c r="B7" s="60" t="s">
        <v>570</v>
      </c>
      <c r="C7" s="67">
        <f>Dashboard!D31</f>
        <v>0</v>
      </c>
      <c r="D7" s="70" t="str">
        <f t="shared" si="0"/>
        <v>-</v>
      </c>
      <c r="E7" s="70" t="str">
        <f>IF(Dashboard!B31=0,"Not applicable",IF(Dashboard!C31=0,"Unassessed",IF(Dashboard!C31&lt;Dashboard!B31,"In progress","Assessed")))</f>
        <v>Unassessed</v>
      </c>
    </row>
    <row r="8" spans="1:6" ht="15" customHeight="1" x14ac:dyDescent="0.3">
      <c r="A8" s="60" t="s">
        <v>270</v>
      </c>
      <c r="B8" s="60" t="s">
        <v>570</v>
      </c>
      <c r="C8" s="67">
        <f>Dashboard!D32</f>
        <v>0</v>
      </c>
      <c r="D8" s="70" t="str">
        <f t="shared" si="0"/>
        <v>-</v>
      </c>
      <c r="E8" s="70" t="str">
        <f>IF(Dashboard!B32=0,"Not applicable",IF(Dashboard!C32=0,"Unassessed",IF(Dashboard!C32&lt;Dashboard!B32,"In progress","Assessed")))</f>
        <v>Unassessed</v>
      </c>
    </row>
    <row r="9" spans="1:6" ht="15" customHeight="1" x14ac:dyDescent="0.3">
      <c r="A9" s="60" t="s">
        <v>311</v>
      </c>
      <c r="B9" s="60" t="s">
        <v>570</v>
      </c>
      <c r="C9" s="67">
        <f>Dashboard!D33</f>
        <v>0</v>
      </c>
      <c r="D9" s="70" t="str">
        <f t="shared" si="0"/>
        <v>-</v>
      </c>
      <c r="E9" s="70" t="str">
        <f>IF(Dashboard!B33=0,"Not applicable",IF(Dashboard!C33=0,"Unassessed",IF(Dashboard!C33&lt;Dashboard!B33,"In progress","Assessed")))</f>
        <v>Unassessed</v>
      </c>
    </row>
    <row r="10" spans="1:6" ht="15" customHeight="1" x14ac:dyDescent="0.3">
      <c r="A10" s="60" t="s">
        <v>342</v>
      </c>
      <c r="B10" s="60" t="s">
        <v>570</v>
      </c>
      <c r="C10" s="67">
        <f>Dashboard!D34</f>
        <v>0</v>
      </c>
      <c r="D10" s="70" t="str">
        <f t="shared" si="0"/>
        <v>-</v>
      </c>
      <c r="E10" s="70" t="str">
        <f>IF(Dashboard!B34=0,"Not applicable",IF(Dashboard!C34=0,"Unassessed",IF(Dashboard!C34&lt;Dashboard!B34,"In progress","Assessed")))</f>
        <v>Unassessed</v>
      </c>
    </row>
    <row r="11" spans="1:6" ht="15" customHeight="1" x14ac:dyDescent="0.3">
      <c r="A11" s="60" t="s">
        <v>364</v>
      </c>
      <c r="B11" s="60" t="s">
        <v>568</v>
      </c>
      <c r="C11" s="67">
        <f>Dashboard!D35</f>
        <v>0</v>
      </c>
      <c r="D11" s="70" t="str">
        <f t="shared" si="0"/>
        <v>-</v>
      </c>
      <c r="E11" s="70" t="str">
        <f>IF(Dashboard!B35=0,"Not applicable",IF(Dashboard!C35=0,"Unassessed",IF(Dashboard!C35&lt;Dashboard!B35,"In progress","Assessed")))</f>
        <v>Unassessed</v>
      </c>
    </row>
    <row r="12" spans="1:6" ht="15" customHeight="1" x14ac:dyDescent="0.3">
      <c r="A12" s="60" t="s">
        <v>384</v>
      </c>
      <c r="B12" s="60" t="s">
        <v>568</v>
      </c>
      <c r="C12" s="67">
        <f>Dashboard!D36</f>
        <v>0</v>
      </c>
      <c r="D12" s="70" t="str">
        <f t="shared" si="0"/>
        <v>-</v>
      </c>
      <c r="E12" s="70" t="str">
        <f>IF(Dashboard!B36=0,"Not applicable",IF(Dashboard!C36=0,"Unassessed",IF(Dashboard!C36&lt;Dashboard!B36,"In progress","Assessed")))</f>
        <v>Unassessed</v>
      </c>
    </row>
    <row r="13" spans="1:6" ht="15" customHeight="1" x14ac:dyDescent="0.3">
      <c r="A13" s="60" t="s">
        <v>400</v>
      </c>
      <c r="B13" s="60" t="s">
        <v>570</v>
      </c>
      <c r="C13" s="67">
        <f>Dashboard!D37</f>
        <v>0</v>
      </c>
      <c r="D13" s="70" t="str">
        <f t="shared" si="0"/>
        <v>-</v>
      </c>
      <c r="E13" s="70" t="str">
        <f>IF(Dashboard!B37=0,"Not applicable",IF(Dashboard!C37=0,"Unassessed",IF(Dashboard!C37&lt;Dashboard!B37,"In progress","Assessed")))</f>
        <v>Unassessed</v>
      </c>
    </row>
    <row r="16" spans="1:6" ht="15" customHeight="1" x14ac:dyDescent="0.3">
      <c r="A16" s="5" t="s">
        <v>764</v>
      </c>
      <c r="B16" s="5" t="s">
        <v>768</v>
      </c>
      <c r="C16" s="71" t="s">
        <v>769</v>
      </c>
      <c r="D16" s="71" t="s">
        <v>770</v>
      </c>
      <c r="E16" s="71" t="s">
        <v>771</v>
      </c>
      <c r="F16" s="71" t="s">
        <v>153</v>
      </c>
    </row>
    <row r="17" spans="1:6" ht="15" customHeight="1" x14ac:dyDescent="0.3">
      <c r="A17" s="66" t="s">
        <v>568</v>
      </c>
      <c r="B17" s="60" t="str">
        <f>IF(COUNTIF(E5,"Unassessed")+COUNTIF(E6,"Unassessed")+COUNTIF(E11,"Unassessed")+COUNTIF(E12,"Unassessed")&gt;0,"Unassessed",IF(COUNTIF(E5,"In progress")+COUNTIF(E6,"In progress")+COUNTIF(E11,"In progress")+COUNTIF(E12,"In progress")&gt;0,"In progress",IF(COUNTIF(E5,"Assessed")+COUNTIF(E6,"Assessed")+COUNTIF(E11,"Assessed")+COUNTIF(E12,"Assessed")=0,"n/a",MIN(D5,D6,D11,D12))))</f>
        <v>Unassessed</v>
      </c>
      <c r="C17" s="62"/>
      <c r="D17" s="62"/>
      <c r="E17" s="62"/>
      <c r="F17" s="62"/>
    </row>
    <row r="18" spans="1:6" ht="15" customHeight="1" x14ac:dyDescent="0.3">
      <c r="A18" s="66" t="s">
        <v>570</v>
      </c>
      <c r="B18" s="60" t="str">
        <f>IF(COUNTIF(E7,"Unassessed")+COUNTIF(E8,"Unassessed")+COUNTIF(E9,"Unassessed")+COUNTIF(E10,"Unassessed")+COUNTIF(E13,"Unassessed")&gt;0,"Unassessed",IF(COUNTIF(E7,"In progress")+COUNTIF(E8,"In progress")+COUNTIF(E9,"In progress")+COUNTIF(E10,"In progress")+COUNTIF(E13,"In progress")&gt;0,"In progress",IF(COUNTIF(E7,"Assessed")+COUNTIF(E8,"Assessed")+COUNTIF(E9,"Assessed")+COUNTIF(E10,"Assessed")+COUNTIF(E13,"Assessed")=0,"n/a",MIN(D7,D8,D9,D10,D13))))</f>
        <v>Unassessed</v>
      </c>
      <c r="C18" s="62"/>
      <c r="D18" s="62"/>
      <c r="E18" s="62"/>
      <c r="F18" s="62"/>
    </row>
    <row r="19" spans="1:6" ht="15" customHeight="1" x14ac:dyDescent="0.3">
      <c r="A19" s="66" t="s">
        <v>772</v>
      </c>
      <c r="B19" s="60" t="s">
        <v>773</v>
      </c>
      <c r="C19" s="62"/>
      <c r="D19" s="62"/>
      <c r="E19" s="62"/>
      <c r="F19" s="62"/>
    </row>
    <row r="21" spans="1:6" ht="15" customHeight="1" x14ac:dyDescent="0.3">
      <c r="A21" s="2" t="s">
        <v>774</v>
      </c>
    </row>
    <row r="22" spans="1:6" ht="15" customHeight="1" x14ac:dyDescent="0.3">
      <c r="A22" s="60">
        <v>0</v>
      </c>
      <c r="B22" s="66" t="s">
        <v>775</v>
      </c>
      <c r="C22" s="60" t="s">
        <v>776</v>
      </c>
    </row>
    <row r="23" spans="1:6" ht="15" customHeight="1" x14ac:dyDescent="0.3">
      <c r="A23" s="60">
        <v>1</v>
      </c>
      <c r="B23" s="66" t="s">
        <v>777</v>
      </c>
      <c r="C23" s="60" t="s">
        <v>778</v>
      </c>
    </row>
    <row r="24" spans="1:6" ht="15" customHeight="1" x14ac:dyDescent="0.3">
      <c r="A24" s="60">
        <v>2</v>
      </c>
      <c r="B24" s="66" t="s">
        <v>779</v>
      </c>
      <c r="C24" s="60" t="s">
        <v>780</v>
      </c>
    </row>
    <row r="25" spans="1:6" ht="15" customHeight="1" x14ac:dyDescent="0.3">
      <c r="A25" s="60">
        <v>3</v>
      </c>
      <c r="B25" s="66" t="s">
        <v>781</v>
      </c>
      <c r="C25" s="60" t="s">
        <v>782</v>
      </c>
    </row>
    <row r="26" spans="1:6" ht="15" customHeight="1" x14ac:dyDescent="0.3">
      <c r="A26" s="60">
        <v>4</v>
      </c>
      <c r="B26" s="66" t="s">
        <v>783</v>
      </c>
      <c r="C26" s="60" t="s">
        <v>784</v>
      </c>
    </row>
    <row r="27" spans="1:6" ht="14.25" customHeight="1" x14ac:dyDescent="0.3">
      <c r="A27">
        <v>5</v>
      </c>
      <c r="B27" s="2" t="s">
        <v>785</v>
      </c>
      <c r="C27" t="s">
        <v>786</v>
      </c>
    </row>
  </sheetData>
  <sheetProtection sheet="1" formatCells="0" formatColumns="0" formatRows="0"/>
  <dataValidations count="1">
    <dataValidation type="list" allowBlank="1" sqref="C17:E19" xr:uid="{00000000-0002-0000-0900-000000000000}">
      <formula1>"1,2,3,4,5"</formula1>
      <formula2>0</formula2>
    </dataValidation>
  </dataValidations>
  <pageMargins left="0.75" right="0.75" top="1" bottom="1" header="0.51180555555555596" footer="0.51180555555555596"/>
  <pageSetup paperSize="9" fitToHeight="0" orientation="landscape" horizontalDpi="300" verticalDpi="300"/>
  <headerFooter>
    <oddHeader>&amp;L&amp;A&amp;Rv0.6.8-r4 - &amp;D</oddHeader>
    <oddFooter>&amp;RPage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6A6A6"/>
    <pageSetUpPr fitToPage="1"/>
  </sheetPr>
  <dimension ref="A1:D84"/>
  <sheetViews>
    <sheetView zoomScaleNormal="100" workbookViewId="0">
      <pane ySplit="3" topLeftCell="A4" activePane="bottomLeft" state="frozen"/>
      <selection pane="bottomLeft"/>
    </sheetView>
  </sheetViews>
  <sheetFormatPr baseColWidth="10" defaultColWidth="9.109375" defaultRowHeight="14.4" x14ac:dyDescent="0.3"/>
  <cols>
    <col min="1" max="1" width="10" customWidth="1"/>
    <col min="2" max="2" width="12" customWidth="1"/>
    <col min="3" max="3" width="170" customWidth="1"/>
  </cols>
  <sheetData>
    <row r="1" spans="1:4" ht="15" customHeight="1" x14ac:dyDescent="0.3">
      <c r="A1" s="72" t="s">
        <v>787</v>
      </c>
      <c r="B1" s="5"/>
      <c r="C1" s="5"/>
      <c r="D1" s="5"/>
    </row>
    <row r="2" spans="1:4" ht="45" customHeight="1" x14ac:dyDescent="0.3">
      <c r="A2" s="10" t="s">
        <v>788</v>
      </c>
      <c r="B2" s="10"/>
      <c r="C2" s="10"/>
      <c r="D2" s="10"/>
    </row>
    <row r="3" spans="1:4" ht="30" customHeight="1" x14ac:dyDescent="0.3">
      <c r="A3" s="5" t="s">
        <v>789</v>
      </c>
      <c r="B3" s="5" t="s">
        <v>790</v>
      </c>
      <c r="C3" s="5" t="s">
        <v>791</v>
      </c>
      <c r="D3" s="10"/>
    </row>
    <row r="4" spans="1:4" ht="60" customHeight="1" x14ac:dyDescent="0.3">
      <c r="A4" t="s">
        <v>792</v>
      </c>
      <c r="B4" t="s">
        <v>793</v>
      </c>
      <c r="C4" t="s">
        <v>794</v>
      </c>
    </row>
    <row r="5" spans="1:4" ht="60" customHeight="1" x14ac:dyDescent="0.3">
      <c r="A5" t="s">
        <v>792</v>
      </c>
      <c r="B5" t="s">
        <v>793</v>
      </c>
      <c r="C5" t="s">
        <v>795</v>
      </c>
    </row>
    <row r="6" spans="1:4" ht="60" customHeight="1" x14ac:dyDescent="0.3">
      <c r="A6" t="s">
        <v>792</v>
      </c>
      <c r="B6" t="s">
        <v>793</v>
      </c>
      <c r="C6" t="s">
        <v>796</v>
      </c>
    </row>
    <row r="7" spans="1:4" ht="60" customHeight="1" x14ac:dyDescent="0.3">
      <c r="A7" t="s">
        <v>792</v>
      </c>
      <c r="B7" t="s">
        <v>797</v>
      </c>
      <c r="C7" t="s">
        <v>798</v>
      </c>
    </row>
    <row r="8" spans="1:4" ht="60" customHeight="1" x14ac:dyDescent="0.3">
      <c r="A8" t="s">
        <v>799</v>
      </c>
      <c r="B8" t="s">
        <v>793</v>
      </c>
      <c r="C8" t="s">
        <v>800</v>
      </c>
    </row>
    <row r="9" spans="1:4" ht="60" customHeight="1" x14ac:dyDescent="0.3">
      <c r="A9" t="s">
        <v>799</v>
      </c>
      <c r="B9" t="s">
        <v>793</v>
      </c>
      <c r="C9" t="s">
        <v>801</v>
      </c>
    </row>
    <row r="10" spans="1:4" ht="60" customHeight="1" x14ac:dyDescent="0.3">
      <c r="A10" t="s">
        <v>799</v>
      </c>
      <c r="B10" t="s">
        <v>793</v>
      </c>
      <c r="C10" t="s">
        <v>802</v>
      </c>
    </row>
    <row r="11" spans="1:4" ht="60" customHeight="1" x14ac:dyDescent="0.3">
      <c r="A11" t="s">
        <v>799</v>
      </c>
      <c r="B11" t="s">
        <v>793</v>
      </c>
      <c r="C11" t="s">
        <v>803</v>
      </c>
    </row>
    <row r="12" spans="1:4" ht="60" customHeight="1" x14ac:dyDescent="0.3">
      <c r="A12" t="s">
        <v>799</v>
      </c>
      <c r="B12" t="s">
        <v>797</v>
      </c>
      <c r="C12" t="s">
        <v>804</v>
      </c>
    </row>
    <row r="13" spans="1:4" ht="45" customHeight="1" x14ac:dyDescent="0.3">
      <c r="A13" t="s">
        <v>799</v>
      </c>
      <c r="B13" t="s">
        <v>805</v>
      </c>
      <c r="C13" t="s">
        <v>806</v>
      </c>
    </row>
    <row r="14" spans="1:4" ht="42.75" customHeight="1" x14ac:dyDescent="0.3">
      <c r="A14" t="s">
        <v>807</v>
      </c>
      <c r="B14" t="s">
        <v>793</v>
      </c>
      <c r="C14" t="s">
        <v>808</v>
      </c>
    </row>
    <row r="15" spans="1:4" ht="28.5" customHeight="1" x14ac:dyDescent="0.3">
      <c r="A15" t="s">
        <v>807</v>
      </c>
      <c r="B15" t="s">
        <v>793</v>
      </c>
      <c r="C15" t="s">
        <v>809</v>
      </c>
    </row>
    <row r="16" spans="1:4" ht="42.75" customHeight="1" x14ac:dyDescent="0.3">
      <c r="A16" t="s">
        <v>807</v>
      </c>
      <c r="B16" t="s">
        <v>793</v>
      </c>
      <c r="C16" t="s">
        <v>810</v>
      </c>
    </row>
    <row r="17" spans="1:3" ht="28.5" customHeight="1" x14ac:dyDescent="0.3">
      <c r="A17" t="s">
        <v>807</v>
      </c>
      <c r="B17" t="s">
        <v>793</v>
      </c>
      <c r="C17" t="s">
        <v>811</v>
      </c>
    </row>
    <row r="18" spans="1:3" ht="28.5" customHeight="1" x14ac:dyDescent="0.3">
      <c r="A18" t="s">
        <v>807</v>
      </c>
      <c r="B18" t="s">
        <v>805</v>
      </c>
      <c r="C18" t="s">
        <v>812</v>
      </c>
    </row>
    <row r="19" spans="1:3" ht="28.5" customHeight="1" x14ac:dyDescent="0.3">
      <c r="A19" t="s">
        <v>807</v>
      </c>
      <c r="B19" t="s">
        <v>797</v>
      </c>
      <c r="C19" t="s">
        <v>813</v>
      </c>
    </row>
    <row r="20" spans="1:3" ht="28.5" customHeight="1" x14ac:dyDescent="0.3">
      <c r="A20" t="s">
        <v>814</v>
      </c>
      <c r="B20" t="s">
        <v>793</v>
      </c>
      <c r="C20" t="s">
        <v>815</v>
      </c>
    </row>
    <row r="21" spans="1:3" ht="28.5" customHeight="1" x14ac:dyDescent="0.3">
      <c r="A21" t="s">
        <v>814</v>
      </c>
      <c r="B21" t="s">
        <v>793</v>
      </c>
      <c r="C21" t="s">
        <v>816</v>
      </c>
    </row>
    <row r="22" spans="1:3" ht="42.75" customHeight="1" x14ac:dyDescent="0.3">
      <c r="A22" t="s">
        <v>814</v>
      </c>
      <c r="B22" t="s">
        <v>793</v>
      </c>
      <c r="C22" t="s">
        <v>817</v>
      </c>
    </row>
    <row r="23" spans="1:3" ht="42.75" customHeight="1" x14ac:dyDescent="0.3">
      <c r="A23" t="s">
        <v>814</v>
      </c>
      <c r="B23" t="s">
        <v>793</v>
      </c>
      <c r="C23" t="s">
        <v>818</v>
      </c>
    </row>
    <row r="24" spans="1:3" ht="28.5" customHeight="1" x14ac:dyDescent="0.3">
      <c r="A24" t="s">
        <v>814</v>
      </c>
      <c r="B24" t="s">
        <v>805</v>
      </c>
      <c r="C24" t="s">
        <v>819</v>
      </c>
    </row>
    <row r="25" spans="1:3" ht="14.25" customHeight="1" x14ac:dyDescent="0.3">
      <c r="A25" t="s">
        <v>814</v>
      </c>
      <c r="B25" t="s">
        <v>797</v>
      </c>
      <c r="C25" t="s">
        <v>820</v>
      </c>
    </row>
    <row r="26" spans="1:3" ht="14.25" customHeight="1" x14ac:dyDescent="0.3">
      <c r="A26" t="s">
        <v>821</v>
      </c>
      <c r="B26" t="s">
        <v>822</v>
      </c>
      <c r="C26" t="s">
        <v>823</v>
      </c>
    </row>
    <row r="27" spans="1:3" ht="14.25" customHeight="1" x14ac:dyDescent="0.3">
      <c r="A27" t="s">
        <v>821</v>
      </c>
      <c r="B27" t="s">
        <v>805</v>
      </c>
      <c r="C27" t="s">
        <v>824</v>
      </c>
    </row>
    <row r="28" spans="1:3" ht="28.5" customHeight="1" x14ac:dyDescent="0.3">
      <c r="A28" t="s">
        <v>821</v>
      </c>
      <c r="B28" t="s">
        <v>805</v>
      </c>
      <c r="C28" t="s">
        <v>825</v>
      </c>
    </row>
    <row r="29" spans="1:3" ht="14.25" customHeight="1" x14ac:dyDescent="0.3">
      <c r="A29" t="s">
        <v>826</v>
      </c>
      <c r="B29" t="s">
        <v>793</v>
      </c>
      <c r="C29" s="8" t="s">
        <v>827</v>
      </c>
    </row>
    <row r="30" spans="1:3" ht="28.5" customHeight="1" x14ac:dyDescent="0.3">
      <c r="A30" t="s">
        <v>826</v>
      </c>
      <c r="B30" t="s">
        <v>793</v>
      </c>
      <c r="C30" s="8" t="s">
        <v>828</v>
      </c>
    </row>
    <row r="31" spans="1:3" ht="28.5" customHeight="1" x14ac:dyDescent="0.3">
      <c r="A31" t="s">
        <v>826</v>
      </c>
      <c r="B31" t="s">
        <v>805</v>
      </c>
      <c r="C31" s="8" t="s">
        <v>829</v>
      </c>
    </row>
    <row r="32" spans="1:3" ht="28.5" customHeight="1" x14ac:dyDescent="0.3">
      <c r="A32" t="s">
        <v>830</v>
      </c>
      <c r="B32" t="s">
        <v>793</v>
      </c>
      <c r="C32" s="8" t="s">
        <v>831</v>
      </c>
    </row>
    <row r="33" spans="1:3" ht="14.25" customHeight="1" x14ac:dyDescent="0.3">
      <c r="A33" t="s">
        <v>830</v>
      </c>
      <c r="B33" t="s">
        <v>793</v>
      </c>
      <c r="C33" s="8" t="s">
        <v>832</v>
      </c>
    </row>
    <row r="34" spans="1:3" ht="14.25" customHeight="1" x14ac:dyDescent="0.3">
      <c r="A34" t="s">
        <v>830</v>
      </c>
      <c r="B34" t="s">
        <v>793</v>
      </c>
      <c r="C34" s="8" t="s">
        <v>833</v>
      </c>
    </row>
    <row r="35" spans="1:3" ht="14.25" customHeight="1" x14ac:dyDescent="0.3">
      <c r="A35" t="s">
        <v>830</v>
      </c>
      <c r="B35" t="s">
        <v>793</v>
      </c>
      <c r="C35" s="8" t="s">
        <v>834</v>
      </c>
    </row>
    <row r="36" spans="1:3" ht="14.25" customHeight="1" x14ac:dyDescent="0.3">
      <c r="A36" t="s">
        <v>830</v>
      </c>
      <c r="B36" t="s">
        <v>793</v>
      </c>
      <c r="C36" s="8" t="s">
        <v>835</v>
      </c>
    </row>
    <row r="37" spans="1:3" ht="28.5" customHeight="1" x14ac:dyDescent="0.3">
      <c r="A37" t="s">
        <v>830</v>
      </c>
      <c r="B37" t="s">
        <v>793</v>
      </c>
      <c r="C37" s="8" t="s">
        <v>836</v>
      </c>
    </row>
    <row r="38" spans="1:3" ht="28.5" customHeight="1" x14ac:dyDescent="0.3">
      <c r="A38" t="s">
        <v>830</v>
      </c>
      <c r="B38" t="s">
        <v>837</v>
      </c>
      <c r="C38" s="8" t="s">
        <v>838</v>
      </c>
    </row>
    <row r="39" spans="1:3" ht="14.25" customHeight="1" x14ac:dyDescent="0.3">
      <c r="A39" t="s">
        <v>830</v>
      </c>
      <c r="B39" t="s">
        <v>805</v>
      </c>
      <c r="C39" s="8" t="s">
        <v>839</v>
      </c>
    </row>
    <row r="40" spans="1:3" ht="14.25" customHeight="1" x14ac:dyDescent="0.3">
      <c r="A40" t="s">
        <v>830</v>
      </c>
      <c r="B40" t="s">
        <v>822</v>
      </c>
      <c r="C40" s="8" t="s">
        <v>840</v>
      </c>
    </row>
    <row r="41" spans="1:3" ht="14.25" customHeight="1" x14ac:dyDescent="0.3">
      <c r="A41" t="s">
        <v>841</v>
      </c>
      <c r="B41" t="s">
        <v>793</v>
      </c>
      <c r="C41" s="8" t="s">
        <v>842</v>
      </c>
    </row>
    <row r="42" spans="1:3" ht="14.25" customHeight="1" x14ac:dyDescent="0.3">
      <c r="A42" t="s">
        <v>841</v>
      </c>
      <c r="B42" t="s">
        <v>793</v>
      </c>
      <c r="C42" s="8" t="s">
        <v>843</v>
      </c>
    </row>
    <row r="43" spans="1:3" ht="14.25" customHeight="1" x14ac:dyDescent="0.3">
      <c r="A43" t="s">
        <v>841</v>
      </c>
      <c r="B43" t="s">
        <v>793</v>
      </c>
      <c r="C43" s="8" t="s">
        <v>844</v>
      </c>
    </row>
    <row r="44" spans="1:3" ht="14.25" customHeight="1" x14ac:dyDescent="0.3">
      <c r="A44" t="s">
        <v>841</v>
      </c>
      <c r="B44" t="s">
        <v>793</v>
      </c>
      <c r="C44" s="8" t="s">
        <v>845</v>
      </c>
    </row>
    <row r="45" spans="1:3" ht="14.25" customHeight="1" x14ac:dyDescent="0.3">
      <c r="A45" t="s">
        <v>841</v>
      </c>
      <c r="B45" t="s">
        <v>793</v>
      </c>
      <c r="C45" s="8" t="s">
        <v>846</v>
      </c>
    </row>
    <row r="46" spans="1:3" ht="14.25" customHeight="1" x14ac:dyDescent="0.3">
      <c r="A46" t="s">
        <v>841</v>
      </c>
      <c r="B46" t="s">
        <v>793</v>
      </c>
      <c r="C46" s="8" t="s">
        <v>847</v>
      </c>
    </row>
    <row r="47" spans="1:3" ht="14.25" customHeight="1" x14ac:dyDescent="0.3">
      <c r="A47" t="s">
        <v>841</v>
      </c>
      <c r="B47" t="s">
        <v>837</v>
      </c>
      <c r="C47" s="8" t="s">
        <v>848</v>
      </c>
    </row>
    <row r="48" spans="1:3" ht="14.25" customHeight="1" x14ac:dyDescent="0.3">
      <c r="A48" t="s">
        <v>841</v>
      </c>
      <c r="B48" t="s">
        <v>805</v>
      </c>
      <c r="C48" s="8" t="s">
        <v>849</v>
      </c>
    </row>
    <row r="49" spans="1:4" ht="14.25" customHeight="1" x14ac:dyDescent="0.3">
      <c r="A49" s="73" t="s">
        <v>850</v>
      </c>
      <c r="B49" s="73" t="s">
        <v>793</v>
      </c>
      <c r="C49" s="10" t="s">
        <v>851</v>
      </c>
      <c r="D49" s="10"/>
    </row>
    <row r="50" spans="1:4" ht="14.25" customHeight="1" x14ac:dyDescent="0.3">
      <c r="A50" s="73" t="s">
        <v>850</v>
      </c>
      <c r="B50" s="73" t="s">
        <v>793</v>
      </c>
      <c r="C50" s="10" t="s">
        <v>852</v>
      </c>
      <c r="D50" s="10"/>
    </row>
    <row r="51" spans="1:4" ht="14.25" customHeight="1" x14ac:dyDescent="0.3">
      <c r="A51" s="73" t="s">
        <v>850</v>
      </c>
      <c r="B51" s="73" t="s">
        <v>793</v>
      </c>
      <c r="C51" s="10" t="s">
        <v>853</v>
      </c>
      <c r="D51" s="10"/>
    </row>
    <row r="52" spans="1:4" ht="14.25" customHeight="1" x14ac:dyDescent="0.3">
      <c r="A52" s="73" t="s">
        <v>850</v>
      </c>
      <c r="B52" s="73" t="s">
        <v>793</v>
      </c>
      <c r="C52" s="10" t="s">
        <v>854</v>
      </c>
      <c r="D52" s="10"/>
    </row>
    <row r="53" spans="1:4" ht="14.25" customHeight="1" x14ac:dyDescent="0.3">
      <c r="A53" s="73" t="s">
        <v>850</v>
      </c>
      <c r="B53" s="73" t="s">
        <v>793</v>
      </c>
      <c r="C53" s="10" t="s">
        <v>855</v>
      </c>
      <c r="D53" s="10"/>
    </row>
    <row r="54" spans="1:4" ht="14.25" customHeight="1" x14ac:dyDescent="0.3">
      <c r="A54" s="73" t="s">
        <v>850</v>
      </c>
      <c r="B54" s="73" t="s">
        <v>793</v>
      </c>
      <c r="C54" s="10" t="s">
        <v>856</v>
      </c>
      <c r="D54" s="10"/>
    </row>
    <row r="55" spans="1:4" ht="14.25" customHeight="1" x14ac:dyDescent="0.3">
      <c r="A55" s="73" t="s">
        <v>850</v>
      </c>
      <c r="B55" s="73" t="s">
        <v>793</v>
      </c>
      <c r="C55" s="10" t="s">
        <v>857</v>
      </c>
      <c r="D55" s="10"/>
    </row>
    <row r="56" spans="1:4" ht="14.25" customHeight="1" x14ac:dyDescent="0.3">
      <c r="A56" s="73" t="s">
        <v>850</v>
      </c>
      <c r="B56" s="73" t="s">
        <v>837</v>
      </c>
      <c r="C56" s="10" t="s">
        <v>858</v>
      </c>
      <c r="D56" s="10"/>
    </row>
    <row r="57" spans="1:4" ht="14.25" customHeight="1" x14ac:dyDescent="0.3">
      <c r="A57" s="73" t="s">
        <v>850</v>
      </c>
      <c r="B57" s="73" t="s">
        <v>837</v>
      </c>
      <c r="C57" s="10" t="s">
        <v>859</v>
      </c>
      <c r="D57" s="10"/>
    </row>
    <row r="58" spans="1:4" ht="14.25" customHeight="1" x14ac:dyDescent="0.3">
      <c r="A58" s="73" t="s">
        <v>850</v>
      </c>
      <c r="B58" s="73" t="s">
        <v>837</v>
      </c>
      <c r="C58" s="10" t="s">
        <v>860</v>
      </c>
      <c r="D58" s="10"/>
    </row>
    <row r="59" spans="1:4" ht="14.25" customHeight="1" x14ac:dyDescent="0.3">
      <c r="A59" s="49" t="s">
        <v>850</v>
      </c>
      <c r="B59" s="49" t="s">
        <v>837</v>
      </c>
      <c r="C59" s="8" t="s">
        <v>861</v>
      </c>
    </row>
    <row r="60" spans="1:4" ht="14.25" customHeight="1" x14ac:dyDescent="0.3">
      <c r="A60" s="49" t="s">
        <v>850</v>
      </c>
      <c r="B60" s="49" t="s">
        <v>837</v>
      </c>
      <c r="C60" s="8" t="s">
        <v>862</v>
      </c>
    </row>
    <row r="61" spans="1:4" ht="14.25" customHeight="1" x14ac:dyDescent="0.3">
      <c r="A61" s="49" t="s">
        <v>850</v>
      </c>
      <c r="B61" s="49" t="s">
        <v>805</v>
      </c>
      <c r="C61" s="8" t="s">
        <v>863</v>
      </c>
    </row>
    <row r="62" spans="1:4" ht="30" customHeight="1" x14ac:dyDescent="0.3">
      <c r="A62" s="49" t="s">
        <v>850</v>
      </c>
      <c r="B62" s="49" t="s">
        <v>805</v>
      </c>
      <c r="C62" s="8" t="s">
        <v>864</v>
      </c>
    </row>
    <row r="63" spans="1:4" ht="30" customHeight="1" x14ac:dyDescent="0.3">
      <c r="A63" s="49" t="s">
        <v>850</v>
      </c>
      <c r="B63" s="49" t="s">
        <v>805</v>
      </c>
      <c r="C63" s="8" t="s">
        <v>865</v>
      </c>
    </row>
    <row r="64" spans="1:4" ht="15" customHeight="1" x14ac:dyDescent="0.3">
      <c r="A64" s="49" t="s">
        <v>850</v>
      </c>
      <c r="B64" s="49" t="s">
        <v>805</v>
      </c>
      <c r="C64" s="8" t="s">
        <v>866</v>
      </c>
    </row>
    <row r="65" spans="1:3" ht="15" customHeight="1" x14ac:dyDescent="0.3">
      <c r="A65" s="49" t="s">
        <v>867</v>
      </c>
      <c r="B65" s="49" t="s">
        <v>868</v>
      </c>
      <c r="C65" s="8" t="s">
        <v>869</v>
      </c>
    </row>
    <row r="66" spans="1:3" ht="54" customHeight="1" x14ac:dyDescent="0.3">
      <c r="A66" s="7" t="s">
        <v>870</v>
      </c>
      <c r="B66" s="7" t="s">
        <v>871</v>
      </c>
      <c r="C66" s="7" t="s">
        <v>872</v>
      </c>
    </row>
    <row r="67" spans="1:3" ht="54" customHeight="1" x14ac:dyDescent="0.3">
      <c r="A67" s="7" t="s">
        <v>870</v>
      </c>
      <c r="B67" s="7" t="s">
        <v>873</v>
      </c>
      <c r="C67" s="7" t="s">
        <v>874</v>
      </c>
    </row>
    <row r="68" spans="1:3" ht="54" customHeight="1" x14ac:dyDescent="0.3">
      <c r="A68" s="7" t="s">
        <v>870</v>
      </c>
      <c r="B68" s="7" t="s">
        <v>875</v>
      </c>
      <c r="C68" s="7" t="s">
        <v>876</v>
      </c>
    </row>
    <row r="69" spans="1:3" ht="54" customHeight="1" x14ac:dyDescent="0.3">
      <c r="A69" s="7" t="s">
        <v>870</v>
      </c>
      <c r="B69" s="7" t="s">
        <v>877</v>
      </c>
      <c r="C69" s="7" t="s">
        <v>878</v>
      </c>
    </row>
    <row r="70" spans="1:3" ht="54" customHeight="1" x14ac:dyDescent="0.3">
      <c r="A70" s="7" t="s">
        <v>870</v>
      </c>
      <c r="B70" s="7" t="s">
        <v>879</v>
      </c>
      <c r="C70" s="7" t="s">
        <v>880</v>
      </c>
    </row>
    <row r="71" spans="1:3" ht="54" customHeight="1" x14ac:dyDescent="0.3">
      <c r="A71" s="7" t="s">
        <v>870</v>
      </c>
      <c r="B71" s="7" t="s">
        <v>881</v>
      </c>
      <c r="C71" s="7" t="s">
        <v>882</v>
      </c>
    </row>
    <row r="72" spans="1:3" ht="54" customHeight="1" x14ac:dyDescent="0.3">
      <c r="A72" s="7" t="s">
        <v>870</v>
      </c>
      <c r="B72" s="7" t="s">
        <v>883</v>
      </c>
      <c r="C72" s="7" t="s">
        <v>884</v>
      </c>
    </row>
    <row r="73" spans="1:3" ht="69.75" customHeight="1" x14ac:dyDescent="0.3">
      <c r="A73" s="7" t="s">
        <v>885</v>
      </c>
      <c r="B73" s="7" t="s">
        <v>793</v>
      </c>
      <c r="C73" s="7" t="s">
        <v>886</v>
      </c>
    </row>
    <row r="74" spans="1:3" ht="69.75" customHeight="1" x14ac:dyDescent="0.3">
      <c r="A74" s="7" t="s">
        <v>885</v>
      </c>
      <c r="B74" s="7" t="s">
        <v>793</v>
      </c>
      <c r="C74" s="7" t="s">
        <v>887</v>
      </c>
    </row>
    <row r="75" spans="1:3" ht="69.75" customHeight="1" x14ac:dyDescent="0.3">
      <c r="A75" s="7" t="s">
        <v>885</v>
      </c>
      <c r="B75" s="7" t="s">
        <v>793</v>
      </c>
      <c r="C75" s="7" t="s">
        <v>888</v>
      </c>
    </row>
    <row r="76" spans="1:3" ht="69.75" customHeight="1" x14ac:dyDescent="0.3">
      <c r="A76" s="7" t="s">
        <v>885</v>
      </c>
      <c r="B76" s="7" t="s">
        <v>805</v>
      </c>
      <c r="C76" s="7" t="s">
        <v>889</v>
      </c>
    </row>
    <row r="77" spans="1:3" ht="69.75" customHeight="1" x14ac:dyDescent="0.3">
      <c r="A77" s="7" t="s">
        <v>885</v>
      </c>
      <c r="B77" s="7" t="s">
        <v>797</v>
      </c>
      <c r="C77" s="7" t="s">
        <v>890</v>
      </c>
    </row>
    <row r="78" spans="1:3" ht="69.75" customHeight="1" x14ac:dyDescent="0.3">
      <c r="A78" s="7" t="s">
        <v>891</v>
      </c>
      <c r="B78" s="7" t="s">
        <v>793</v>
      </c>
      <c r="C78" s="7" t="s">
        <v>892</v>
      </c>
    </row>
    <row r="79" spans="1:3" ht="69.75" customHeight="1" x14ac:dyDescent="0.3">
      <c r="A79" s="7" t="s">
        <v>891</v>
      </c>
      <c r="B79" s="7" t="s">
        <v>793</v>
      </c>
      <c r="C79" s="7" t="s">
        <v>893</v>
      </c>
    </row>
    <row r="80" spans="1:3" ht="69.75" customHeight="1" x14ac:dyDescent="0.3">
      <c r="A80" s="7" t="s">
        <v>891</v>
      </c>
      <c r="B80" s="7" t="s">
        <v>805</v>
      </c>
      <c r="C80" s="7" t="s">
        <v>894</v>
      </c>
    </row>
    <row r="81" spans="1:3" ht="69.75" customHeight="1" x14ac:dyDescent="0.3">
      <c r="A81" s="7" t="s">
        <v>895</v>
      </c>
      <c r="B81" s="7" t="s">
        <v>793</v>
      </c>
      <c r="C81" s="7" t="s">
        <v>896</v>
      </c>
    </row>
    <row r="82" spans="1:3" ht="69.75" customHeight="1" x14ac:dyDescent="0.3">
      <c r="A82" s="7" t="s">
        <v>895</v>
      </c>
      <c r="B82" s="7" t="s">
        <v>805</v>
      </c>
      <c r="C82" s="7" t="s">
        <v>897</v>
      </c>
    </row>
    <row r="83" spans="1:3" ht="69.75" customHeight="1" x14ac:dyDescent="0.3">
      <c r="A83" s="7" t="s">
        <v>895</v>
      </c>
      <c r="B83" s="7" t="s">
        <v>805</v>
      </c>
      <c r="C83" s="7" t="s">
        <v>898</v>
      </c>
    </row>
    <row r="84" spans="1:3" ht="43.2" x14ac:dyDescent="0.3">
      <c r="A84" s="7" t="s">
        <v>895</v>
      </c>
      <c r="B84" s="7" t="s">
        <v>805</v>
      </c>
      <c r="C84" s="7" t="s">
        <v>899</v>
      </c>
    </row>
  </sheetData>
  <pageMargins left="0.75" right="0.75" top="1" bottom="1" header="0.51180555555555596" footer="0.51180555555555596"/>
  <pageSetup paperSize="9" fitToHeight="0" orientation="landscape" horizontalDpi="300" verticalDpi="300"/>
  <headerFooter>
    <oddHeader>&amp;L&amp;A&amp;Rv0.6.8-r4 - &amp;D</oddHeader>
    <oddFooter>&amp;RPage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8F00"/>
    <pageSetUpPr fitToPage="1"/>
  </sheetPr>
  <dimension ref="A1:AD295"/>
  <sheetViews>
    <sheetView zoomScaleNormal="100" workbookViewId="0"/>
  </sheetViews>
  <sheetFormatPr baseColWidth="10" defaultColWidth="8.6640625" defaultRowHeight="14.4" x14ac:dyDescent="0.3"/>
  <cols>
    <col min="1" max="1" width="12" customWidth="1"/>
    <col min="2" max="2" width="34" customWidth="1"/>
    <col min="3" max="3" width="24" customWidth="1"/>
    <col min="4" max="4" width="44" customWidth="1"/>
    <col min="5" max="5" width="13" customWidth="1"/>
    <col min="6" max="6" width="9" customWidth="1"/>
    <col min="7" max="11" width="12" customWidth="1"/>
    <col min="12" max="13" width="9" customWidth="1"/>
    <col min="14" max="14" width="12" customWidth="1"/>
    <col min="15" max="15" width="24" customWidth="1"/>
    <col min="16" max="16" width="14" customWidth="1"/>
    <col min="17" max="17" width="24" customWidth="1"/>
    <col min="18" max="18" width="12" customWidth="1"/>
    <col min="19" max="19" width="16" customWidth="1"/>
    <col min="20" max="20" width="24" customWidth="1"/>
    <col min="21" max="23" width="9" customWidth="1"/>
    <col min="24" max="25" width="18" customWidth="1"/>
    <col min="26" max="26" width="12" customWidth="1"/>
    <col min="27" max="27" width="3" customWidth="1"/>
    <col min="28" max="28" width="9" customWidth="1"/>
    <col min="29" max="30" width="18" customWidth="1"/>
  </cols>
  <sheetData>
    <row r="1" spans="1:4" ht="17.399999999999999" x14ac:dyDescent="0.35">
      <c r="A1" s="74" t="s">
        <v>900</v>
      </c>
    </row>
    <row r="2" spans="1:4" x14ac:dyDescent="0.3">
      <c r="A2" s="19" t="s">
        <v>901</v>
      </c>
    </row>
    <row r="3" spans="1:4" x14ac:dyDescent="0.3">
      <c r="A3" s="19" t="s">
        <v>902</v>
      </c>
    </row>
    <row r="4" spans="1:4" x14ac:dyDescent="0.3">
      <c r="A4" s="19" t="s">
        <v>903</v>
      </c>
    </row>
    <row r="5" spans="1:4" x14ac:dyDescent="0.3">
      <c r="A5" s="19" t="s">
        <v>904</v>
      </c>
    </row>
    <row r="6" spans="1:4" x14ac:dyDescent="0.3">
      <c r="A6" s="19" t="s">
        <v>905</v>
      </c>
    </row>
    <row r="7" spans="1:4" x14ac:dyDescent="0.3">
      <c r="A7" s="19" t="s">
        <v>906</v>
      </c>
    </row>
    <row r="9" spans="1:4" ht="17.399999999999999" x14ac:dyDescent="0.35">
      <c r="A9" s="74" t="s">
        <v>907</v>
      </c>
    </row>
    <row r="10" spans="1:4" x14ac:dyDescent="0.3">
      <c r="A10" s="19" t="s">
        <v>908</v>
      </c>
    </row>
    <row r="11" spans="1:4" x14ac:dyDescent="0.3">
      <c r="A11" s="19" t="s">
        <v>909</v>
      </c>
    </row>
    <row r="12" spans="1:4" x14ac:dyDescent="0.3">
      <c r="A12" s="11" t="s">
        <v>910</v>
      </c>
      <c r="B12" s="19" t="str">
        <f>IF(ISNUMBER(MATCH("ID",'Old Scoping'!$A:$A,0)),"detected","not pasted yet")</f>
        <v>not pasted yet</v>
      </c>
    </row>
    <row r="13" spans="1:4" x14ac:dyDescent="0.3">
      <c r="A13" s="11" t="s">
        <v>911</v>
      </c>
      <c r="B13" s="19" t="str">
        <f>COUNT($AB$17:$AB$41)&amp;" of 23"</f>
        <v>0 of 23</v>
      </c>
    </row>
    <row r="14" spans="1:4" x14ac:dyDescent="0.3">
      <c r="A14" s="11" t="s">
        <v>912</v>
      </c>
      <c r="D14" s="19" t="str">
        <f>IF($B$12="not pasted yet","-",IF(_xlfn.TEXTJOIN(", ",TRUE(),$AC$17:$AC$41)="","none",_xlfn.TEXTJOIN(", ",TRUE(),$AC$17:$AC$41)))</f>
        <v>-</v>
      </c>
    </row>
    <row r="15" spans="1:4" x14ac:dyDescent="0.3">
      <c r="A15" s="75" t="s">
        <v>615</v>
      </c>
      <c r="B15" s="75" t="s">
        <v>620</v>
      </c>
      <c r="C15" s="75" t="s">
        <v>621</v>
      </c>
    </row>
    <row r="16" spans="1:4" ht="30" customHeight="1" x14ac:dyDescent="0.3">
      <c r="A16" s="76" t="s">
        <v>68</v>
      </c>
      <c r="B16" s="76" t="s">
        <v>913</v>
      </c>
      <c r="C16" s="77" t="s">
        <v>914</v>
      </c>
    </row>
    <row r="17" spans="1:29" x14ac:dyDescent="0.3">
      <c r="B17" s="19" t="str">
        <f>Scoping!B3</f>
        <v>System / use case name</v>
      </c>
      <c r="C17" s="78" t="str">
        <f>IF($AB17="",IF(Scoping!C3="","",Scoping!C3),IF(INDEX('Old Scoping'!$C:$C,$AB17)="","",INDEX('Old Scoping'!$C:$C,$AB17)))</f>
        <v/>
      </c>
      <c r="AB17" s="79" t="str">
        <f>IFERROR(MATCH($B17,'Old Scoping'!$B:$B,0),"")</f>
        <v/>
      </c>
      <c r="AC17" s="79" t="str">
        <f>IF(AND($B17&lt;&gt;"",$AB17=""),$B17,"")</f>
        <v>System / use case name</v>
      </c>
    </row>
    <row r="18" spans="1:29" x14ac:dyDescent="0.3">
      <c r="B18" s="19" t="str">
        <f>Scoping!B4</f>
        <v>Assessor / accountable owner</v>
      </c>
      <c r="C18" s="78" t="str">
        <f>IF($AB18="",IF(Scoping!C4="","",Scoping!C4),IF(INDEX('Old Scoping'!$C:$C,$AB18)="","",INDEX('Old Scoping'!$C:$C,$AB18)))</f>
        <v/>
      </c>
      <c r="AB18" s="79" t="str">
        <f>IFERROR(MATCH($B18,'Old Scoping'!$B:$B,0),"")</f>
        <v/>
      </c>
      <c r="AC18" s="79" t="str">
        <f>IF(AND($B18&lt;&gt;"",$AB18=""),$B18,"")</f>
        <v>Assessor / accountable owner</v>
      </c>
    </row>
    <row r="19" spans="1:29" x14ac:dyDescent="0.3">
      <c r="B19" s="19" t="str">
        <f>Scoping!B5</f>
        <v>Date</v>
      </c>
      <c r="C19" s="80" t="str">
        <f>IF($AB19="",IF(Scoping!C5="","",Scoping!C5),IF(INDEX('Old Scoping'!$C:$C,$AB19)="","",INDEX('Old Scoping'!$C:$C,$AB19)))</f>
        <v/>
      </c>
      <c r="AB19" s="79" t="str">
        <f>IFERROR(MATCH($B19,'Old Scoping'!$B:$B,0),"")</f>
        <v/>
      </c>
      <c r="AC19" s="79" t="str">
        <f>IF(AND($B19&lt;&gt;"",$AB19=""),$B19,"")</f>
        <v>Date</v>
      </c>
    </row>
    <row r="20" spans="1:29" x14ac:dyDescent="0.3">
      <c r="B20" s="19" t="str">
        <f>Scoping!B6</f>
        <v>Assessment version (of the system / this assessment)</v>
      </c>
      <c r="C20" s="78" t="str">
        <f>IF($AB20="",IF(Scoping!C6="","",Scoping!C6),IF(INDEX('Old Scoping'!$C:$C,$AB20)="","",INDEX('Old Scoping'!$C:$C,$AB20)))</f>
        <v/>
      </c>
      <c r="AB20" s="79" t="str">
        <f>IFERROR(MATCH($B20,'Old Scoping'!$B:$B,0),"")</f>
        <v/>
      </c>
      <c r="AC20" s="79" t="str">
        <f>IF(AND($B20&lt;&gt;"",$AB20=""),$B20,"")</f>
        <v>Assessment version (of the system / this assessment)</v>
      </c>
    </row>
    <row r="23" spans="1:29" x14ac:dyDescent="0.3">
      <c r="A23" s="19" t="str">
        <f>Scoping!A9</f>
        <v>S1</v>
      </c>
      <c r="B23" s="19" t="str">
        <f>Scoping!B9</f>
        <v>Provider / deployment model</v>
      </c>
      <c r="C23" s="78" t="str">
        <f>IF($AB23="",IF(Scoping!C9="","",Scoping!C9),IF(INDEX('Old Scoping'!$C:$C,$AB23)="","",INDEX('Old Scoping'!$C:$C,$AB23)))</f>
        <v/>
      </c>
      <c r="AB23" s="79" t="str">
        <f>IFERROR(MATCH($A23,'Old Scoping'!$A:$A,0),"")</f>
        <v/>
      </c>
      <c r="AC23" s="79" t="str">
        <f t="shared" ref="AC23:AC41" si="0">IF(AND($A23&lt;&gt;"",$AB23=""),$A23,"")</f>
        <v>S1</v>
      </c>
    </row>
    <row r="24" spans="1:29" x14ac:dyDescent="0.3">
      <c r="A24" s="19" t="str">
        <f>Scoping!A10</f>
        <v>S2</v>
      </c>
      <c r="B24" s="19" t="str">
        <f>Scoping!B10</f>
        <v>Stage of use</v>
      </c>
      <c r="C24" s="78" t="str">
        <f>IF($AB24="",IF(Scoping!C10="","",Scoping!C10),IF(INDEX('Old Scoping'!$C:$C,$AB24)="","",INDEX('Old Scoping'!$C:$C,$AB24)))</f>
        <v/>
      </c>
      <c r="AB24" s="79" t="str">
        <f>IFERROR(MATCH($A24,'Old Scoping'!$A:$A,0),"")</f>
        <v/>
      </c>
      <c r="AC24" s="79" t="str">
        <f t="shared" si="0"/>
        <v>S2</v>
      </c>
    </row>
    <row r="25" spans="1:29" x14ac:dyDescent="0.3">
      <c r="A25" s="19" t="str">
        <f>Scoping!A11</f>
        <v>S3</v>
      </c>
      <c r="B25" s="19" t="str">
        <f>Scoping!B11</f>
        <v>Personal data is processed</v>
      </c>
      <c r="C25" s="78" t="str">
        <f>IF($AB25="",IF(Scoping!C11="","",Scoping!C11),IF(INDEX('Old Scoping'!$C:$C,$AB25)="","",INDEX('Old Scoping'!$C:$C,$AB25)))</f>
        <v/>
      </c>
      <c r="AB25" s="79" t="str">
        <f>IFERROR(MATCH($A25,'Old Scoping'!$A:$A,0),"")</f>
        <v/>
      </c>
      <c r="AC25" s="79" t="str">
        <f t="shared" si="0"/>
        <v>S3</v>
      </c>
    </row>
    <row r="26" spans="1:29" x14ac:dyDescent="0.3">
      <c r="A26" s="19" t="str">
        <f>Scoping!A12</f>
        <v>S4</v>
      </c>
      <c r="B26" s="19" t="str">
        <f>Scoping!B12</f>
        <v>Confidential or regulated data is processed</v>
      </c>
      <c r="C26" s="78" t="str">
        <f>IF($AB26="",IF(Scoping!C12="","",Scoping!C12),IF(INDEX('Old Scoping'!$C:$C,$AB26)="","",INDEX('Old Scoping'!$C:$C,$AB26)))</f>
        <v/>
      </c>
      <c r="AB26" s="79" t="str">
        <f>IFERROR(MATCH($A26,'Old Scoping'!$A:$A,0),"")</f>
        <v/>
      </c>
      <c r="AC26" s="79" t="str">
        <f t="shared" si="0"/>
        <v>S4</v>
      </c>
    </row>
    <row r="27" spans="1:29" x14ac:dyDescent="0.3">
      <c r="A27" s="19" t="str">
        <f>Scoping!A13</f>
        <v>S5</v>
      </c>
      <c r="B27" s="19" t="str">
        <f>Scoping!B13</f>
        <v>EU market or EU users are in scope</v>
      </c>
      <c r="C27" s="78" t="str">
        <f>IF($AB27="",IF(Scoping!C13="","",Scoping!C13),IF(INDEX('Old Scoping'!$C:$C,$AB27)="","",INDEX('Old Scoping'!$C:$C,$AB27)))</f>
        <v/>
      </c>
      <c r="AB27" s="79" t="str">
        <f>IFERROR(MATCH($A27,'Old Scoping'!$A:$A,0),"")</f>
        <v/>
      </c>
      <c r="AC27" s="79" t="str">
        <f t="shared" si="0"/>
        <v>S5</v>
      </c>
    </row>
    <row r="28" spans="1:29" x14ac:dyDescent="0.3">
      <c r="A28" s="19" t="str">
        <f>Scoping!A14</f>
        <v>S6</v>
      </c>
      <c r="B28" s="19" t="str">
        <f>Scoping!B14</f>
        <v>User group</v>
      </c>
      <c r="C28" s="78" t="str">
        <f>IF($AB28="",IF(Scoping!C14="","",Scoping!C14),IF(INDEX('Old Scoping'!$C:$C,$AB28)="","",INDEX('Old Scoping'!$C:$C,$AB28)))</f>
        <v/>
      </c>
      <c r="AB28" s="79" t="str">
        <f>IFERROR(MATCH($A28,'Old Scoping'!$A:$A,0),"")</f>
        <v/>
      </c>
      <c r="AC28" s="79" t="str">
        <f t="shared" si="0"/>
        <v>S6</v>
      </c>
    </row>
    <row r="29" spans="1:29" x14ac:dyDescent="0.3">
      <c r="A29" s="19" t="str">
        <f>Scoping!A15</f>
        <v>S7</v>
      </c>
      <c r="B29" s="19" t="str">
        <f>Scoping!B15</f>
        <v>Outputs feed downstream systems or are executed (code, SQL, workflows, mails)</v>
      </c>
      <c r="C29" s="78" t="str">
        <f>IF($AB29="",IF(Scoping!C15="","",Scoping!C15),IF(INDEX('Old Scoping'!$C:$C,$AB29)="","",INDEX('Old Scoping'!$C:$C,$AB29)))</f>
        <v/>
      </c>
      <c r="AB29" s="79" t="str">
        <f>IFERROR(MATCH($A29,'Old Scoping'!$A:$A,0),"")</f>
        <v/>
      </c>
      <c r="AC29" s="79" t="str">
        <f t="shared" si="0"/>
        <v>S7</v>
      </c>
    </row>
    <row r="30" spans="1:29" x14ac:dyDescent="0.3">
      <c r="A30" s="19" t="str">
        <f>Scoping!A16</f>
        <v>S8</v>
      </c>
      <c r="B30" s="19" t="str">
        <f>Scoping!B16</f>
        <v>Output supports consequential decisions about people</v>
      </c>
      <c r="C30" s="78" t="str">
        <f>IF($AB30="",IF(Scoping!C16="","",Scoping!C16),IF(INDEX('Old Scoping'!$C:$C,$AB30)="","",INDEX('Old Scoping'!$C:$C,$AB30)))</f>
        <v/>
      </c>
      <c r="AB30" s="79" t="str">
        <f>IFERROR(MATCH($A30,'Old Scoping'!$A:$A,0),"")</f>
        <v/>
      </c>
      <c r="AC30" s="79" t="str">
        <f t="shared" si="0"/>
        <v>S8</v>
      </c>
    </row>
    <row r="31" spans="1:29" x14ac:dyDescent="0.3">
      <c r="A31" s="19" t="str">
        <f>Scoping!A17</f>
        <v>S9</v>
      </c>
      <c r="B31" s="19" t="str">
        <f>Scoping!B17</f>
        <v>RAG, vector database, or knowledge base is used</v>
      </c>
      <c r="C31" s="78" t="str">
        <f>IF($AB31="",IF(Scoping!C17="","",Scoping!C17),IF(INDEX('Old Scoping'!$C:$C,$AB31)="","",INDEX('Old Scoping'!$C:$C,$AB31)))</f>
        <v/>
      </c>
      <c r="AB31" s="79" t="str">
        <f>IFERROR(MATCH($A31,'Old Scoping'!$A:$A,0),"")</f>
        <v/>
      </c>
      <c r="AC31" s="79" t="str">
        <f t="shared" si="0"/>
        <v>S9</v>
      </c>
    </row>
    <row r="32" spans="1:29" x14ac:dyDescent="0.3">
      <c r="A32" s="19" t="str">
        <f>Scoping!A18</f>
        <v>S10</v>
      </c>
      <c r="B32" s="19" t="str">
        <f>Scoping!B18</f>
        <v>Fine-tuning or model adaptation is performed</v>
      </c>
      <c r="C32" s="78" t="str">
        <f>IF($AB32="",IF(Scoping!C18="","",Scoping!C18),IF(INDEX('Old Scoping'!$C:$C,$AB32)="","",INDEX('Old Scoping'!$C:$C,$AB32)))</f>
        <v/>
      </c>
      <c r="AB32" s="79" t="str">
        <f>IFERROR(MATCH($A32,'Old Scoping'!$A:$A,0),"")</f>
        <v/>
      </c>
      <c r="AC32" s="79" t="str">
        <f t="shared" si="0"/>
        <v>S10</v>
      </c>
    </row>
    <row r="33" spans="1:29" x14ac:dyDescent="0.3">
      <c r="A33" s="19" t="str">
        <f>Scoping!A19</f>
        <v>S11</v>
      </c>
      <c r="B33" s="19" t="str">
        <f>Scoping!B19</f>
        <v>Tools, plugins, or function calling are used</v>
      </c>
      <c r="C33" s="78" t="str">
        <f>IF($AB33="",IF(Scoping!C19="","",Scoping!C19),IF(INDEX('Old Scoping'!$C:$C,$AB33)="","",INDEX('Old Scoping'!$C:$C,$AB33)))</f>
        <v/>
      </c>
      <c r="AB33" s="79" t="str">
        <f>IFERROR(MATCH($A33,'Old Scoping'!$A:$A,0),"")</f>
        <v/>
      </c>
      <c r="AC33" s="79" t="str">
        <f t="shared" si="0"/>
        <v>S11</v>
      </c>
    </row>
    <row r="34" spans="1:29" x14ac:dyDescent="0.3">
      <c r="A34" s="19" t="str">
        <f>Scoping!A20</f>
        <v>S12</v>
      </c>
      <c r="B34" s="19" t="str">
        <f>Scoping!B20</f>
        <v>Autonomy level of the system</v>
      </c>
      <c r="C34" s="78" t="str">
        <f>IF($AB34="",IF(Scoping!C20="","",Scoping!C20),IF(INDEX('Old Scoping'!$C:$C,$AB34)="","",INDEX('Old Scoping'!$C:$C,$AB34)))</f>
        <v/>
      </c>
      <c r="AB34" s="79" t="str">
        <f>IFERROR(MATCH($A34,'Old Scoping'!$A:$A,0),"")</f>
        <v/>
      </c>
      <c r="AC34" s="79" t="str">
        <f t="shared" si="0"/>
        <v>S12</v>
      </c>
    </row>
    <row r="35" spans="1:29" x14ac:dyDescent="0.3">
      <c r="A35" s="19" t="str">
        <f>Scoping!A21</f>
        <v>S13</v>
      </c>
      <c r="B35" s="19" t="str">
        <f>Scoping!B21</f>
        <v>Continuous or scheduled background operation (agent runs without a user session)</v>
      </c>
      <c r="C35" s="78" t="str">
        <f>IF($AB35="",IF(Scoping!C21="","",Scoping!C21),IF(INDEX('Old Scoping'!$C:$C,$AB35)="","",INDEX('Old Scoping'!$C:$C,$AB35)))</f>
        <v/>
      </c>
      <c r="AB35" s="79" t="str">
        <f>IFERROR(MATCH($A35,'Old Scoping'!$A:$A,0),"")</f>
        <v/>
      </c>
      <c r="AC35" s="79" t="str">
        <f t="shared" si="0"/>
        <v>S13</v>
      </c>
    </row>
    <row r="36" spans="1:29" x14ac:dyDescent="0.3">
      <c r="A36" s="19" t="str">
        <f>Scoping!A22</f>
        <v>S14</v>
      </c>
      <c r="B36" s="19" t="str">
        <f>Scoping!B22</f>
        <v>Local device access (files, shell, browser control)</v>
      </c>
      <c r="C36" s="78" t="str">
        <f>IF($AB36="",IF(Scoping!C22="","",Scoping!C22),IF(INDEX('Old Scoping'!$C:$C,$AB36)="","",INDEX('Old Scoping'!$C:$C,$AB36)))</f>
        <v/>
      </c>
      <c r="AB36" s="79" t="str">
        <f>IFERROR(MATCH($A36,'Old Scoping'!$A:$A,0),"")</f>
        <v/>
      </c>
      <c r="AC36" s="79" t="str">
        <f t="shared" si="0"/>
        <v>S14</v>
      </c>
    </row>
    <row r="37" spans="1:29" x14ac:dyDescent="0.3">
      <c r="A37" s="19" t="str">
        <f>Scoping!A23</f>
        <v>S15</v>
      </c>
      <c r="B37" s="19" t="str">
        <f>Scoping!B23</f>
        <v>Persistent memory across sessions</v>
      </c>
      <c r="C37" s="78" t="str">
        <f>IF($AB37="",IF(Scoping!C23="","",Scoping!C23),IF(INDEX('Old Scoping'!$C:$C,$AB37)="","",INDEX('Old Scoping'!$C:$C,$AB37)))</f>
        <v/>
      </c>
      <c r="AB37" s="79" t="str">
        <f>IFERROR(MATCH($A37,'Old Scoping'!$A:$A,0),"")</f>
        <v/>
      </c>
      <c r="AC37" s="79" t="str">
        <f t="shared" si="0"/>
        <v>S15</v>
      </c>
    </row>
    <row r="38" spans="1:29" x14ac:dyDescent="0.3">
      <c r="A38" s="19" t="str">
        <f>Scoping!A24</f>
        <v>S16</v>
      </c>
      <c r="B38" s="19" t="str">
        <f>Scoping!B24</f>
        <v>Multi-agent setup or external agents are used (regardless of protocol)</v>
      </c>
      <c r="C38" s="78" t="str">
        <f>IF($AB38="",IF(Scoping!C24="","",Scoping!C24),IF(INDEX('Old Scoping'!$C:$C,$AB38)="","",INDEX('Old Scoping'!$C:$C,$AB38)))</f>
        <v/>
      </c>
      <c r="AB38" s="79" t="str">
        <f>IFERROR(MATCH($A38,'Old Scoping'!$A:$A,0),"")</f>
        <v/>
      </c>
      <c r="AC38" s="79" t="str">
        <f t="shared" si="0"/>
        <v>S16</v>
      </c>
    </row>
    <row r="39" spans="1:29" x14ac:dyDescent="0.3">
      <c r="A39" s="19" t="str">
        <f>Scoping!A25</f>
        <v>S17</v>
      </c>
      <c r="B39" s="19" t="str">
        <f>Scoping!B25</f>
        <v>Primary deployment locus</v>
      </c>
      <c r="C39" s="78" t="str">
        <f>IF($AB39="",IF(Scoping!C25="","",Scoping!C25),IF(INDEX('Old Scoping'!$C:$C,$AB39)="","",INDEX('Old Scoping'!$C:$C,$AB39)))</f>
        <v/>
      </c>
      <c r="AB39" s="79" t="str">
        <f>IFERROR(MATCH($A39,'Old Scoping'!$A:$A,0),"")</f>
        <v/>
      </c>
      <c r="AC39" s="79" t="str">
        <f t="shared" si="0"/>
        <v>S17</v>
      </c>
    </row>
    <row r="40" spans="1:29" x14ac:dyDescent="0.3">
      <c r="A40" s="19" t="str">
        <f>Scoping!A26</f>
        <v>S18</v>
      </c>
      <c r="B40" s="19" t="str">
        <f>Scoping!B26</f>
        <v>Operational role of the output</v>
      </c>
      <c r="C40" s="78" t="str">
        <f>IF($AB40="",IF(Scoping!C26="","",Scoping!C26),IF(INDEX('Old Scoping'!$C:$C,$AB40)="","",INDEX('Old Scoping'!$C:$C,$AB40)))</f>
        <v/>
      </c>
      <c r="AB40" s="79" t="str">
        <f>IFERROR(MATCH($A40,'Old Scoping'!$A:$A,0),"")</f>
        <v/>
      </c>
      <c r="AC40" s="79" t="str">
        <f t="shared" si="0"/>
        <v>S18</v>
      </c>
    </row>
    <row r="41" spans="1:29" x14ac:dyDescent="0.3">
      <c r="A41" s="19" t="str">
        <f>Scoping!A27</f>
        <v>S19</v>
      </c>
      <c r="B41" s="19" t="str">
        <f>Scoping!B27</f>
        <v>MCP (Model Context Protocol) servers or clients are used</v>
      </c>
      <c r="C41" s="78" t="str">
        <f>IF($AB41="",IF(Scoping!C27="","",Scoping!C27),IF(INDEX('Old Scoping'!$C:$C,$AB41)="","",INDEX('Old Scoping'!$C:$C,$AB41)))</f>
        <v/>
      </c>
      <c r="AB41" s="79" t="str">
        <f>IFERROR(MATCH($A41,'Old Scoping'!$A:$A,0),"")</f>
        <v/>
      </c>
      <c r="AC41" s="79" t="str">
        <f t="shared" si="0"/>
        <v>S19</v>
      </c>
    </row>
    <row r="43" spans="1:29" ht="17.399999999999999" x14ac:dyDescent="0.35">
      <c r="A43" s="74" t="s">
        <v>915</v>
      </c>
    </row>
    <row r="44" spans="1:29" x14ac:dyDescent="0.3">
      <c r="A44" s="19" t="s">
        <v>916</v>
      </c>
    </row>
    <row r="45" spans="1:29" x14ac:dyDescent="0.3">
      <c r="A45" s="19" t="s">
        <v>917</v>
      </c>
    </row>
    <row r="46" spans="1:29" x14ac:dyDescent="0.3">
      <c r="A46" s="11" t="s">
        <v>910</v>
      </c>
      <c r="B46" s="19" t="str">
        <f>IF(ISNUMBER(MATCH("ID",'Old Assessment Matrix'!$A:$A,0)),"detected","not pasted yet")</f>
        <v>not pasted yet</v>
      </c>
    </row>
    <row r="47" spans="1:29" x14ac:dyDescent="0.3">
      <c r="A47" s="11" t="s">
        <v>918</v>
      </c>
      <c r="B47" s="19" t="str">
        <f>COUNT($AB$54:$AB$121)&amp;" of "&amp;COUNTA($A$54:$A$121)</f>
        <v>0 of 68</v>
      </c>
    </row>
    <row r="48" spans="1:29" x14ac:dyDescent="0.3">
      <c r="A48" s="11" t="s">
        <v>919</v>
      </c>
      <c r="D48" s="19" t="str">
        <f>IF($B$46="not pasted yet","-",IF(_xlfn.TEXTJOIN(", ",TRUE(),$AC$54:$AC$121)="","none",_xlfn.TEXTJOIN(", ",TRUE(),$AC$54:$AC$121)))</f>
        <v>-</v>
      </c>
    </row>
    <row r="49" spans="1:29" x14ac:dyDescent="0.3">
      <c r="A49" s="11" t="s">
        <v>920</v>
      </c>
      <c r="D49" s="19" t="str">
        <f>IF($B$46="not pasted yet","-",IF(_xlfn.TEXTJOIN(", ",TRUE(),$E$53:$Z$53)="","none",_xlfn.TEXTJOIN(", ",TRUE(),$E$53:$Z$53)))</f>
        <v>-</v>
      </c>
    </row>
    <row r="50" spans="1:29" x14ac:dyDescent="0.3">
      <c r="A50" s="75" t="s">
        <v>615</v>
      </c>
      <c r="D50" s="75" t="s">
        <v>622</v>
      </c>
      <c r="E50" s="75" t="s">
        <v>921</v>
      </c>
      <c r="F50" s="75" t="s">
        <v>922</v>
      </c>
      <c r="G50" s="75" t="s">
        <v>923</v>
      </c>
      <c r="H50" s="75" t="s">
        <v>924</v>
      </c>
      <c r="I50" s="75" t="s">
        <v>925</v>
      </c>
      <c r="J50" s="75" t="s">
        <v>926</v>
      </c>
      <c r="K50" s="75" t="s">
        <v>927</v>
      </c>
      <c r="L50" s="75" t="s">
        <v>928</v>
      </c>
      <c r="M50" s="75" t="s">
        <v>929</v>
      </c>
      <c r="N50" s="75" t="s">
        <v>930</v>
      </c>
      <c r="O50" s="75" t="s">
        <v>931</v>
      </c>
      <c r="P50" s="75" t="s">
        <v>932</v>
      </c>
      <c r="Q50" s="75" t="s">
        <v>933</v>
      </c>
      <c r="R50" s="75" t="s">
        <v>934</v>
      </c>
      <c r="S50" s="75" t="s">
        <v>935</v>
      </c>
      <c r="T50" s="75" t="s">
        <v>936</v>
      </c>
      <c r="U50" s="75" t="s">
        <v>937</v>
      </c>
      <c r="V50" s="75" t="s">
        <v>938</v>
      </c>
      <c r="W50" s="75" t="s">
        <v>939</v>
      </c>
      <c r="X50" s="75" t="s">
        <v>940</v>
      </c>
      <c r="Y50" s="75" t="s">
        <v>941</v>
      </c>
      <c r="Z50" s="75" t="s">
        <v>942</v>
      </c>
    </row>
    <row r="51" spans="1:29" ht="45" customHeight="1" x14ac:dyDescent="0.3">
      <c r="A51" s="81" t="s">
        <v>68</v>
      </c>
      <c r="D51" s="76" t="s">
        <v>943</v>
      </c>
      <c r="E51" s="77" t="str">
        <f>'Assessment Matrix'!E$1</f>
        <v>Criticality</v>
      </c>
      <c r="F51" s="76" t="s">
        <v>944</v>
      </c>
      <c r="G51" s="77" t="str">
        <f>'Assessment Matrix'!G$1</f>
        <v>Likelihood (1-5)</v>
      </c>
      <c r="H51" s="77" t="str">
        <f>'Assessment Matrix'!H$1</f>
        <v>Impact (1-5)</v>
      </c>
      <c r="I51" s="76" t="s">
        <v>944</v>
      </c>
      <c r="J51" s="77" t="str">
        <f>'Assessment Matrix'!J$1</f>
        <v>Override (applicability)</v>
      </c>
      <c r="K51" s="77" t="str">
        <f>'Assessment Matrix'!K$1</f>
        <v>Response</v>
      </c>
      <c r="L51" s="76" t="s">
        <v>944</v>
      </c>
      <c r="M51" s="76" t="s">
        <v>944</v>
      </c>
      <c r="N51" s="76" t="s">
        <v>944</v>
      </c>
      <c r="O51" s="77" t="str">
        <f>'Assessment Matrix'!O$1</f>
        <v>Evidence / Link</v>
      </c>
      <c r="P51" s="77" t="str">
        <f>'Assessment Matrix'!P$1</f>
        <v>Owner</v>
      </c>
      <c r="Q51" s="77" t="str">
        <f>'Assessment Matrix'!Q$1</f>
        <v>Remediation / Decision</v>
      </c>
      <c r="R51" s="77" t="str">
        <f>'Assessment Matrix'!R$1</f>
        <v>Target Date</v>
      </c>
      <c r="S51" s="77" t="str">
        <f>'Assessment Matrix'!S$1</f>
        <v>Status</v>
      </c>
      <c r="T51" s="77" t="str">
        <f>'Assessment Matrix'!T$1</f>
        <v>Notes</v>
      </c>
      <c r="U51" s="76" t="s">
        <v>944</v>
      </c>
      <c r="V51" s="76" t="s">
        <v>944</v>
      </c>
      <c r="W51" s="76" t="s">
        <v>944</v>
      </c>
      <c r="X51" s="77" t="str">
        <f>'Assessment Matrix'!X$1</f>
        <v>Exemption reference</v>
      </c>
      <c r="Y51" s="77" t="str">
        <f>'Assessment Matrix'!Y$1</f>
        <v>Exemption approver</v>
      </c>
      <c r="Z51" s="77" t="str">
        <f>'Assessment Matrix'!Z$1</f>
        <v>Exemption date</v>
      </c>
    </row>
    <row r="52" spans="1:29" x14ac:dyDescent="0.3">
      <c r="A52" s="79" t="s">
        <v>945</v>
      </c>
      <c r="E52" s="82" t="str">
        <f>IFERROR(MATCH(E$51,'Old Assessment Matrix'!$1:$1,0),"")</f>
        <v/>
      </c>
      <c r="G52" s="82" t="str">
        <f>IFERROR(MATCH(G$51,'Old Assessment Matrix'!$1:$1,0),"")</f>
        <v/>
      </c>
      <c r="H52" s="82" t="str">
        <f>IFERROR(MATCH(H$51,'Old Assessment Matrix'!$1:$1,0),"")</f>
        <v/>
      </c>
      <c r="J52" s="82" t="str">
        <f>IFERROR(MATCH(J$51,'Old Assessment Matrix'!$1:$1,0),"")</f>
        <v/>
      </c>
      <c r="K52" s="82" t="str">
        <f>IFERROR(MATCH(K$51,'Old Assessment Matrix'!$1:$1,0),"")</f>
        <v/>
      </c>
      <c r="O52" s="82" t="str">
        <f>IFERROR(MATCH(O$51,'Old Assessment Matrix'!$1:$1,0),"")</f>
        <v/>
      </c>
      <c r="P52" s="82" t="str">
        <f>IFERROR(MATCH(P$51,'Old Assessment Matrix'!$1:$1,0),"")</f>
        <v/>
      </c>
      <c r="Q52" s="82" t="str">
        <f>IFERROR(MATCH(Q$51,'Old Assessment Matrix'!$1:$1,0),"")</f>
        <v/>
      </c>
      <c r="R52" s="82" t="str">
        <f>IFERROR(MATCH(R$51,'Old Assessment Matrix'!$1:$1,0),"")</f>
        <v/>
      </c>
      <c r="S52" s="82" t="str">
        <f>IFERROR(MATCH(S$51,'Old Assessment Matrix'!$1:$1,0),"")</f>
        <v/>
      </c>
      <c r="T52" s="82" t="str">
        <f>IFERROR(MATCH(T$51,'Old Assessment Matrix'!$1:$1,0),"")</f>
        <v/>
      </c>
      <c r="X52" s="82" t="str">
        <f>IFERROR(MATCH(X$51,'Old Assessment Matrix'!$1:$1,0),"")</f>
        <v/>
      </c>
      <c r="Y52" s="82" t="str">
        <f>IFERROR(MATCH(Y$51,'Old Assessment Matrix'!$1:$1,0),"")</f>
        <v/>
      </c>
      <c r="Z52" s="82" t="str">
        <f>IFERROR(MATCH(Z$51,'Old Assessment Matrix'!$1:$1,0),"")</f>
        <v/>
      </c>
    </row>
    <row r="53" spans="1:29" x14ac:dyDescent="0.3">
      <c r="A53" s="79" t="s">
        <v>946</v>
      </c>
      <c r="E53" s="82" t="str">
        <f>IF(E$52="","E","")</f>
        <v>E</v>
      </c>
      <c r="G53" s="82" t="str">
        <f>IF(G$52="","G","")</f>
        <v>G</v>
      </c>
      <c r="H53" s="82" t="str">
        <f>IF(H$52="","H","")</f>
        <v>H</v>
      </c>
      <c r="J53" s="82" t="str">
        <f>IF(J$52="","J","")</f>
        <v>J</v>
      </c>
      <c r="K53" s="82" t="str">
        <f>IF(K$52="","K","")</f>
        <v>K</v>
      </c>
      <c r="O53" s="82" t="str">
        <f>IF(O$52="","O","")</f>
        <v>O</v>
      </c>
      <c r="P53" s="82" t="str">
        <f>IF(P$52="","P","")</f>
        <v>P</v>
      </c>
      <c r="Q53" s="82" t="str">
        <f>IF(Q$52="","Q","")</f>
        <v>Q</v>
      </c>
      <c r="R53" s="82" t="str">
        <f>IF(R$52="","R","")</f>
        <v>R</v>
      </c>
      <c r="S53" s="82" t="str">
        <f>IF(S$52="","S","")</f>
        <v>S</v>
      </c>
      <c r="T53" s="82" t="str">
        <f>IF(T$52="","T","")</f>
        <v>T</v>
      </c>
      <c r="X53" s="82" t="str">
        <f>IF(X$52="","X","")</f>
        <v>X</v>
      </c>
      <c r="Y53" s="82" t="str">
        <f>IF(Y$52="","Y","")</f>
        <v>Y</v>
      </c>
      <c r="Z53" s="82" t="str">
        <f>IF(Z$52="","Z","")</f>
        <v>Z</v>
      </c>
    </row>
    <row r="54" spans="1:29" x14ac:dyDescent="0.3">
      <c r="A54" s="19" t="str">
        <f>'Assessment Matrix'!A2</f>
        <v>1.1</v>
      </c>
      <c r="D54" s="79" t="str">
        <f>'Assessment Matrix'!D2</f>
        <v>Business purpose, accountable owner, users, and intended decisions are documented.</v>
      </c>
      <c r="E54" s="78" t="str">
        <f>IF(OR($AB54="",E$52=""),IF('Assessment Matrix'!E2="","",'Assessment Matrix'!E2),IF(INDEX('Old Assessment Matrix'!$A$1:$BZ$2000,$AB54,E$52)="","",INDEX('Old Assessment Matrix'!$A$1:$BZ$2000,$AB54,E$52)))</f>
        <v>Major</v>
      </c>
      <c r="G54" s="78">
        <f>IF(OR($AB54="",G$52=""),IF('Assessment Matrix'!G2="","",'Assessment Matrix'!G2),IF(INDEX('Old Assessment Matrix'!$A$1:$BZ$2000,$AB54,G$52)="","",INDEX('Old Assessment Matrix'!$A$1:$BZ$2000,$AB54,G$52)))</f>
        <v>3</v>
      </c>
      <c r="H54" s="78">
        <f>IF(OR($AB54="",H$52=""),IF('Assessment Matrix'!H2="","",'Assessment Matrix'!H2),IF(INDEX('Old Assessment Matrix'!$A$1:$BZ$2000,$AB54,H$52)="","",INDEX('Old Assessment Matrix'!$A$1:$BZ$2000,$AB54,H$52)))</f>
        <v>3</v>
      </c>
      <c r="J54" s="78" t="str">
        <f>IF(OR($AB54="",J$52=""),IF('Assessment Matrix'!J2="","",'Assessment Matrix'!J2),IF(INDEX('Old Assessment Matrix'!$A$1:$BZ$2000,$AB54,J$52)="","",INDEX('Old Assessment Matrix'!$A$1:$BZ$2000,$AB54,J$52)))</f>
        <v/>
      </c>
      <c r="K54" s="78" t="str">
        <f>IF(OR($AB54="",K$52=""),IF('Assessment Matrix'!K2="","",'Assessment Matrix'!K2),IF(INDEX('Old Assessment Matrix'!$A$1:$BZ$2000,$AB54,K$52)="","",INDEX('Old Assessment Matrix'!$A$1:$BZ$2000,$AB54,K$52)))</f>
        <v/>
      </c>
      <c r="O54" s="78" t="str">
        <f>IF(OR($AB54="",O$52=""),IF('Assessment Matrix'!O2="","",'Assessment Matrix'!O2),IF(INDEX('Old Assessment Matrix'!$A$1:$BZ$2000,$AB54,O$52)="","",INDEX('Old Assessment Matrix'!$A$1:$BZ$2000,$AB54,O$52)))</f>
        <v/>
      </c>
      <c r="P54" s="78" t="str">
        <f>IF(OR($AB54="",P$52=""),IF('Assessment Matrix'!P2="","",'Assessment Matrix'!P2),IF(INDEX('Old Assessment Matrix'!$A$1:$BZ$2000,$AB54,P$52)="","",INDEX('Old Assessment Matrix'!$A$1:$BZ$2000,$AB54,P$52)))</f>
        <v/>
      </c>
      <c r="Q54" s="78" t="str">
        <f>IF(OR($AB54="",Q$52=""),IF('Assessment Matrix'!Q2="","",'Assessment Matrix'!Q2),IF(INDEX('Old Assessment Matrix'!$A$1:$BZ$2000,$AB54,Q$52)="","",INDEX('Old Assessment Matrix'!$A$1:$BZ$2000,$AB54,Q$52)))</f>
        <v/>
      </c>
      <c r="R54" s="80" t="str">
        <f>IF(OR($AB54="",R$52=""),IF('Assessment Matrix'!R2="","",'Assessment Matrix'!R2),IF(INDEX('Old Assessment Matrix'!$A$1:$BZ$2000,$AB54,R$52)="","",INDEX('Old Assessment Matrix'!$A$1:$BZ$2000,$AB54,R$52)))</f>
        <v/>
      </c>
      <c r="S54" s="78" t="str">
        <f>IF(OR($AB54="",S$52=""),IF('Assessment Matrix'!S2="","",'Assessment Matrix'!S2),IF(INDEX('Old Assessment Matrix'!$A$1:$BZ$2000,$AB54,S$52)="","",INDEX('Old Assessment Matrix'!$A$1:$BZ$2000,$AB54,S$52)))</f>
        <v/>
      </c>
      <c r="T54" s="78" t="str">
        <f>IF(OR($AB54="",T$52=""),IF('Assessment Matrix'!T2="","",'Assessment Matrix'!T2),IF(INDEX('Old Assessment Matrix'!$A$1:$BZ$2000,$AB54,T$52)="","",INDEX('Old Assessment Matrix'!$A$1:$BZ$2000,$AB54,T$52)))</f>
        <v/>
      </c>
      <c r="X54" s="78" t="str">
        <f>IF(OR($AB54="",X$52=""),IF('Assessment Matrix'!X2="","",'Assessment Matrix'!X2),IF(INDEX('Old Assessment Matrix'!$A$1:$BZ$2000,$AB54,X$52)="","",INDEX('Old Assessment Matrix'!$A$1:$BZ$2000,$AB54,X$52)))</f>
        <v/>
      </c>
      <c r="Y54" s="78" t="str">
        <f>IF(OR($AB54="",Y$52=""),IF('Assessment Matrix'!Y2="","",'Assessment Matrix'!Y2),IF(INDEX('Old Assessment Matrix'!$A$1:$BZ$2000,$AB54,Y$52)="","",INDEX('Old Assessment Matrix'!$A$1:$BZ$2000,$AB54,Y$52)))</f>
        <v/>
      </c>
      <c r="Z54" s="80" t="str">
        <f>IF(OR($AB54="",Z$52=""),IF('Assessment Matrix'!Z2="","",'Assessment Matrix'!Z2),IF(INDEX('Old Assessment Matrix'!$A$1:$BZ$2000,$AB54,Z$52)="","",INDEX('Old Assessment Matrix'!$A$1:$BZ$2000,$AB54,Z$52)))</f>
        <v/>
      </c>
      <c r="AB54" s="79" t="str">
        <f>IFERROR(MATCH($A54,'Old Assessment Matrix'!$A:$A,0),"")</f>
        <v/>
      </c>
      <c r="AC54" s="79" t="str">
        <f t="shared" ref="AC54:AC85" si="1">IF(AND($A54&lt;&gt;"",$AB54=""),$A54,"")</f>
        <v>1.1</v>
      </c>
    </row>
    <row r="55" spans="1:29" x14ac:dyDescent="0.3">
      <c r="A55" s="19" t="str">
        <f>'Assessment Matrix'!A3</f>
        <v>1.2</v>
      </c>
      <c r="D55" s="79" t="str">
        <f>'Assessment Matrix'!D3</f>
        <v>Data classification is defined, including personal, confidential, regulated, and export-controlled data.</v>
      </c>
      <c r="E55" s="78" t="str">
        <f>IF(OR($AB55="",E$52=""),IF('Assessment Matrix'!E3="","",'Assessment Matrix'!E3),IF(INDEX('Old Assessment Matrix'!$A$1:$BZ$2000,$AB55,E$52)="","",INDEX('Old Assessment Matrix'!$A$1:$BZ$2000,$AB55,E$52)))</f>
        <v>Blocker</v>
      </c>
      <c r="G55" s="78">
        <f>IF(OR($AB55="",G$52=""),IF('Assessment Matrix'!G3="","",'Assessment Matrix'!G3),IF(INDEX('Old Assessment Matrix'!$A$1:$BZ$2000,$AB55,G$52)="","",INDEX('Old Assessment Matrix'!$A$1:$BZ$2000,$AB55,G$52)))</f>
        <v>4</v>
      </c>
      <c r="H55" s="78">
        <f>IF(OR($AB55="",H$52=""),IF('Assessment Matrix'!H3="","",'Assessment Matrix'!H3),IF(INDEX('Old Assessment Matrix'!$A$1:$BZ$2000,$AB55,H$52)="","",INDEX('Old Assessment Matrix'!$A$1:$BZ$2000,$AB55,H$52)))</f>
        <v>5</v>
      </c>
      <c r="J55" s="78" t="str">
        <f>IF(OR($AB55="",J$52=""),IF('Assessment Matrix'!J3="","",'Assessment Matrix'!J3),IF(INDEX('Old Assessment Matrix'!$A$1:$BZ$2000,$AB55,J$52)="","",INDEX('Old Assessment Matrix'!$A$1:$BZ$2000,$AB55,J$52)))</f>
        <v/>
      </c>
      <c r="K55" s="78" t="str">
        <f>IF(OR($AB55="",K$52=""),IF('Assessment Matrix'!K3="","",'Assessment Matrix'!K3),IF(INDEX('Old Assessment Matrix'!$A$1:$BZ$2000,$AB55,K$52)="","",INDEX('Old Assessment Matrix'!$A$1:$BZ$2000,$AB55,K$52)))</f>
        <v/>
      </c>
      <c r="O55" s="78" t="str">
        <f>IF(OR($AB55="",O$52=""),IF('Assessment Matrix'!O3="","",'Assessment Matrix'!O3),IF(INDEX('Old Assessment Matrix'!$A$1:$BZ$2000,$AB55,O$52)="","",INDEX('Old Assessment Matrix'!$A$1:$BZ$2000,$AB55,O$52)))</f>
        <v/>
      </c>
      <c r="P55" s="78" t="str">
        <f>IF(OR($AB55="",P$52=""),IF('Assessment Matrix'!P3="","",'Assessment Matrix'!P3),IF(INDEX('Old Assessment Matrix'!$A$1:$BZ$2000,$AB55,P$52)="","",INDEX('Old Assessment Matrix'!$A$1:$BZ$2000,$AB55,P$52)))</f>
        <v/>
      </c>
      <c r="Q55" s="78" t="str">
        <f>IF(OR($AB55="",Q$52=""),IF('Assessment Matrix'!Q3="","",'Assessment Matrix'!Q3),IF(INDEX('Old Assessment Matrix'!$A$1:$BZ$2000,$AB55,Q$52)="","",INDEX('Old Assessment Matrix'!$A$1:$BZ$2000,$AB55,Q$52)))</f>
        <v/>
      </c>
      <c r="R55" s="80" t="str">
        <f>IF(OR($AB55="",R$52=""),IF('Assessment Matrix'!R3="","",'Assessment Matrix'!R3),IF(INDEX('Old Assessment Matrix'!$A$1:$BZ$2000,$AB55,R$52)="","",INDEX('Old Assessment Matrix'!$A$1:$BZ$2000,$AB55,R$52)))</f>
        <v/>
      </c>
      <c r="S55" s="78" t="str">
        <f>IF(OR($AB55="",S$52=""),IF('Assessment Matrix'!S3="","",'Assessment Matrix'!S3),IF(INDEX('Old Assessment Matrix'!$A$1:$BZ$2000,$AB55,S$52)="","",INDEX('Old Assessment Matrix'!$A$1:$BZ$2000,$AB55,S$52)))</f>
        <v/>
      </c>
      <c r="T55" s="78" t="str">
        <f>IF(OR($AB55="",T$52=""),IF('Assessment Matrix'!T3="","",'Assessment Matrix'!T3),IF(INDEX('Old Assessment Matrix'!$A$1:$BZ$2000,$AB55,T$52)="","",INDEX('Old Assessment Matrix'!$A$1:$BZ$2000,$AB55,T$52)))</f>
        <v/>
      </c>
      <c r="X55" s="78" t="str">
        <f>IF(OR($AB55="",X$52=""),IF('Assessment Matrix'!X3="","",'Assessment Matrix'!X3),IF(INDEX('Old Assessment Matrix'!$A$1:$BZ$2000,$AB55,X$52)="","",INDEX('Old Assessment Matrix'!$A$1:$BZ$2000,$AB55,X$52)))</f>
        <v/>
      </c>
      <c r="Y55" s="78" t="str">
        <f>IF(OR($AB55="",Y$52=""),IF('Assessment Matrix'!Y3="","",'Assessment Matrix'!Y3),IF(INDEX('Old Assessment Matrix'!$A$1:$BZ$2000,$AB55,Y$52)="","",INDEX('Old Assessment Matrix'!$A$1:$BZ$2000,$AB55,Y$52)))</f>
        <v/>
      </c>
      <c r="Z55" s="80" t="str">
        <f>IF(OR($AB55="",Z$52=""),IF('Assessment Matrix'!Z3="","",'Assessment Matrix'!Z3),IF(INDEX('Old Assessment Matrix'!$A$1:$BZ$2000,$AB55,Z$52)="","",INDEX('Old Assessment Matrix'!$A$1:$BZ$2000,$AB55,Z$52)))</f>
        <v/>
      </c>
      <c r="AB55" s="79" t="str">
        <f>IFERROR(MATCH($A55,'Old Assessment Matrix'!$A:$A,0),"")</f>
        <v/>
      </c>
      <c r="AC55" s="79" t="str">
        <f t="shared" si="1"/>
        <v>1.2</v>
      </c>
    </row>
    <row r="56" spans="1:29" x14ac:dyDescent="0.3">
      <c r="A56" s="19" t="str">
        <f>'Assessment Matrix'!A4</f>
        <v>1.3</v>
      </c>
      <c r="D56" s="79" t="str">
        <f>'Assessment Matrix'!D4</f>
        <v>AI Act classification is completed: prohibited, high-risk, GPAI dependency, deployer/provider role, and transparency obligations.</v>
      </c>
      <c r="E56" s="78" t="str">
        <f>IF(OR($AB56="",E$52=""),IF('Assessment Matrix'!E4="","",'Assessment Matrix'!E4),IF(INDEX('Old Assessment Matrix'!$A$1:$BZ$2000,$AB56,E$52)="","",INDEX('Old Assessment Matrix'!$A$1:$BZ$2000,$AB56,E$52)))</f>
        <v>Blocker</v>
      </c>
      <c r="G56" s="78">
        <f>IF(OR($AB56="",G$52=""),IF('Assessment Matrix'!G4="","",'Assessment Matrix'!G4),IF(INDEX('Old Assessment Matrix'!$A$1:$BZ$2000,$AB56,G$52)="","",INDEX('Old Assessment Matrix'!$A$1:$BZ$2000,$AB56,G$52)))</f>
        <v>3</v>
      </c>
      <c r="H56" s="78">
        <f>IF(OR($AB56="",H$52=""),IF('Assessment Matrix'!H4="","",'Assessment Matrix'!H4),IF(INDEX('Old Assessment Matrix'!$A$1:$BZ$2000,$AB56,H$52)="","",INDEX('Old Assessment Matrix'!$A$1:$BZ$2000,$AB56,H$52)))</f>
        <v>5</v>
      </c>
      <c r="J56" s="78" t="str">
        <f>IF(OR($AB56="",J$52=""),IF('Assessment Matrix'!J4="","",'Assessment Matrix'!J4),IF(INDEX('Old Assessment Matrix'!$A$1:$BZ$2000,$AB56,J$52)="","",INDEX('Old Assessment Matrix'!$A$1:$BZ$2000,$AB56,J$52)))</f>
        <v/>
      </c>
      <c r="K56" s="78" t="str">
        <f>IF(OR($AB56="",K$52=""),IF('Assessment Matrix'!K4="","",'Assessment Matrix'!K4),IF(INDEX('Old Assessment Matrix'!$A$1:$BZ$2000,$AB56,K$52)="","",INDEX('Old Assessment Matrix'!$A$1:$BZ$2000,$AB56,K$52)))</f>
        <v/>
      </c>
      <c r="O56" s="78" t="str">
        <f>IF(OR($AB56="",O$52=""),IF('Assessment Matrix'!O4="","",'Assessment Matrix'!O4),IF(INDEX('Old Assessment Matrix'!$A$1:$BZ$2000,$AB56,O$52)="","",INDEX('Old Assessment Matrix'!$A$1:$BZ$2000,$AB56,O$52)))</f>
        <v/>
      </c>
      <c r="P56" s="78" t="str">
        <f>IF(OR($AB56="",P$52=""),IF('Assessment Matrix'!P4="","",'Assessment Matrix'!P4),IF(INDEX('Old Assessment Matrix'!$A$1:$BZ$2000,$AB56,P$52)="","",INDEX('Old Assessment Matrix'!$A$1:$BZ$2000,$AB56,P$52)))</f>
        <v/>
      </c>
      <c r="Q56" s="78" t="str">
        <f>IF(OR($AB56="",Q$52=""),IF('Assessment Matrix'!Q4="","",'Assessment Matrix'!Q4),IF(INDEX('Old Assessment Matrix'!$A$1:$BZ$2000,$AB56,Q$52)="","",INDEX('Old Assessment Matrix'!$A$1:$BZ$2000,$AB56,Q$52)))</f>
        <v/>
      </c>
      <c r="R56" s="80" t="str">
        <f>IF(OR($AB56="",R$52=""),IF('Assessment Matrix'!R4="","",'Assessment Matrix'!R4),IF(INDEX('Old Assessment Matrix'!$A$1:$BZ$2000,$AB56,R$52)="","",INDEX('Old Assessment Matrix'!$A$1:$BZ$2000,$AB56,R$52)))</f>
        <v/>
      </c>
      <c r="S56" s="78" t="str">
        <f>IF(OR($AB56="",S$52=""),IF('Assessment Matrix'!S4="","",'Assessment Matrix'!S4),IF(INDEX('Old Assessment Matrix'!$A$1:$BZ$2000,$AB56,S$52)="","",INDEX('Old Assessment Matrix'!$A$1:$BZ$2000,$AB56,S$52)))</f>
        <v/>
      </c>
      <c r="T56" s="78" t="str">
        <f>IF(OR($AB56="",T$52=""),IF('Assessment Matrix'!T4="","",'Assessment Matrix'!T4),IF(INDEX('Old Assessment Matrix'!$A$1:$BZ$2000,$AB56,T$52)="","",INDEX('Old Assessment Matrix'!$A$1:$BZ$2000,$AB56,T$52)))</f>
        <v/>
      </c>
      <c r="X56" s="78" t="str">
        <f>IF(OR($AB56="",X$52=""),IF('Assessment Matrix'!X4="","",'Assessment Matrix'!X4),IF(INDEX('Old Assessment Matrix'!$A$1:$BZ$2000,$AB56,X$52)="","",INDEX('Old Assessment Matrix'!$A$1:$BZ$2000,$AB56,X$52)))</f>
        <v/>
      </c>
      <c r="Y56" s="78" t="str">
        <f>IF(OR($AB56="",Y$52=""),IF('Assessment Matrix'!Y4="","",'Assessment Matrix'!Y4),IF(INDEX('Old Assessment Matrix'!$A$1:$BZ$2000,$AB56,Y$52)="","",INDEX('Old Assessment Matrix'!$A$1:$BZ$2000,$AB56,Y$52)))</f>
        <v/>
      </c>
      <c r="Z56" s="80" t="str">
        <f>IF(OR($AB56="",Z$52=""),IF('Assessment Matrix'!Z4="","",'Assessment Matrix'!Z4),IF(INDEX('Old Assessment Matrix'!$A$1:$BZ$2000,$AB56,Z$52)="","",INDEX('Old Assessment Matrix'!$A$1:$BZ$2000,$AB56,Z$52)))</f>
        <v/>
      </c>
      <c r="AB56" s="79" t="str">
        <f>IFERROR(MATCH($A56,'Old Assessment Matrix'!$A:$A,0),"")</f>
        <v/>
      </c>
      <c r="AC56" s="79" t="str">
        <f t="shared" si="1"/>
        <v>1.3</v>
      </c>
    </row>
    <row r="57" spans="1:29" x14ac:dyDescent="0.3">
      <c r="A57" s="19" t="str">
        <f>'Assessment Matrix'!A5</f>
        <v>1.4</v>
      </c>
      <c r="D57" s="79" t="str">
        <f>'Assessment Matrix'!D5</f>
        <v>Human oversight, accountability, escalation, and override are defined for consequential outputs.</v>
      </c>
      <c r="E57" s="78" t="str">
        <f>IF(OR($AB57="",E$52=""),IF('Assessment Matrix'!E5="","",'Assessment Matrix'!E5),IF(INDEX('Old Assessment Matrix'!$A$1:$BZ$2000,$AB57,E$52)="","",INDEX('Old Assessment Matrix'!$A$1:$BZ$2000,$AB57,E$52)))</f>
        <v>Major</v>
      </c>
      <c r="G57" s="78">
        <f>IF(OR($AB57="",G$52=""),IF('Assessment Matrix'!G5="","",'Assessment Matrix'!G5),IF(INDEX('Old Assessment Matrix'!$A$1:$BZ$2000,$AB57,G$52)="","",INDEX('Old Assessment Matrix'!$A$1:$BZ$2000,$AB57,G$52)))</f>
        <v>3</v>
      </c>
      <c r="H57" s="78">
        <f>IF(OR($AB57="",H$52=""),IF('Assessment Matrix'!H5="","",'Assessment Matrix'!H5),IF(INDEX('Old Assessment Matrix'!$A$1:$BZ$2000,$AB57,H$52)="","",INDEX('Old Assessment Matrix'!$A$1:$BZ$2000,$AB57,H$52)))</f>
        <v>5</v>
      </c>
      <c r="J57" s="78" t="str">
        <f>IF(OR($AB57="",J$52=""),IF('Assessment Matrix'!J5="","",'Assessment Matrix'!J5),IF(INDEX('Old Assessment Matrix'!$A$1:$BZ$2000,$AB57,J$52)="","",INDEX('Old Assessment Matrix'!$A$1:$BZ$2000,$AB57,J$52)))</f>
        <v/>
      </c>
      <c r="K57" s="78" t="str">
        <f>IF(OR($AB57="",K$52=""),IF('Assessment Matrix'!K5="","",'Assessment Matrix'!K5),IF(INDEX('Old Assessment Matrix'!$A$1:$BZ$2000,$AB57,K$52)="","",INDEX('Old Assessment Matrix'!$A$1:$BZ$2000,$AB57,K$52)))</f>
        <v/>
      </c>
      <c r="O57" s="78" t="str">
        <f>IF(OR($AB57="",O$52=""),IF('Assessment Matrix'!O5="","",'Assessment Matrix'!O5),IF(INDEX('Old Assessment Matrix'!$A$1:$BZ$2000,$AB57,O$52)="","",INDEX('Old Assessment Matrix'!$A$1:$BZ$2000,$AB57,O$52)))</f>
        <v/>
      </c>
      <c r="P57" s="78" t="str">
        <f>IF(OR($AB57="",P$52=""),IF('Assessment Matrix'!P5="","",'Assessment Matrix'!P5),IF(INDEX('Old Assessment Matrix'!$A$1:$BZ$2000,$AB57,P$52)="","",INDEX('Old Assessment Matrix'!$A$1:$BZ$2000,$AB57,P$52)))</f>
        <v/>
      </c>
      <c r="Q57" s="78" t="str">
        <f>IF(OR($AB57="",Q$52=""),IF('Assessment Matrix'!Q5="","",'Assessment Matrix'!Q5),IF(INDEX('Old Assessment Matrix'!$A$1:$BZ$2000,$AB57,Q$52)="","",INDEX('Old Assessment Matrix'!$A$1:$BZ$2000,$AB57,Q$52)))</f>
        <v/>
      </c>
      <c r="R57" s="80" t="str">
        <f>IF(OR($AB57="",R$52=""),IF('Assessment Matrix'!R5="","",'Assessment Matrix'!R5),IF(INDEX('Old Assessment Matrix'!$A$1:$BZ$2000,$AB57,R$52)="","",INDEX('Old Assessment Matrix'!$A$1:$BZ$2000,$AB57,R$52)))</f>
        <v/>
      </c>
      <c r="S57" s="78" t="str">
        <f>IF(OR($AB57="",S$52=""),IF('Assessment Matrix'!S5="","",'Assessment Matrix'!S5),IF(INDEX('Old Assessment Matrix'!$A$1:$BZ$2000,$AB57,S$52)="","",INDEX('Old Assessment Matrix'!$A$1:$BZ$2000,$AB57,S$52)))</f>
        <v/>
      </c>
      <c r="T57" s="78" t="str">
        <f>IF(OR($AB57="",T$52=""),IF('Assessment Matrix'!T5="","",'Assessment Matrix'!T5),IF(INDEX('Old Assessment Matrix'!$A$1:$BZ$2000,$AB57,T$52)="","",INDEX('Old Assessment Matrix'!$A$1:$BZ$2000,$AB57,T$52)))</f>
        <v/>
      </c>
      <c r="X57" s="78" t="str">
        <f>IF(OR($AB57="",X$52=""),IF('Assessment Matrix'!X5="","",'Assessment Matrix'!X5),IF(INDEX('Old Assessment Matrix'!$A$1:$BZ$2000,$AB57,X$52)="","",INDEX('Old Assessment Matrix'!$A$1:$BZ$2000,$AB57,X$52)))</f>
        <v/>
      </c>
      <c r="Y57" s="78" t="str">
        <f>IF(OR($AB57="",Y$52=""),IF('Assessment Matrix'!Y5="","",'Assessment Matrix'!Y5),IF(INDEX('Old Assessment Matrix'!$A$1:$BZ$2000,$AB57,Y$52)="","",INDEX('Old Assessment Matrix'!$A$1:$BZ$2000,$AB57,Y$52)))</f>
        <v/>
      </c>
      <c r="Z57" s="80" t="str">
        <f>IF(OR($AB57="",Z$52=""),IF('Assessment Matrix'!Z5="","",'Assessment Matrix'!Z5),IF(INDEX('Old Assessment Matrix'!$A$1:$BZ$2000,$AB57,Z$52)="","",INDEX('Old Assessment Matrix'!$A$1:$BZ$2000,$AB57,Z$52)))</f>
        <v/>
      </c>
      <c r="AB57" s="79" t="str">
        <f>IFERROR(MATCH($A57,'Old Assessment Matrix'!$A:$A,0),"")</f>
        <v/>
      </c>
      <c r="AC57" s="79" t="str">
        <f t="shared" si="1"/>
        <v>1.4</v>
      </c>
    </row>
    <row r="58" spans="1:29" x14ac:dyDescent="0.3">
      <c r="A58" s="19" t="str">
        <f>'Assessment Matrix'!A6</f>
        <v>1.5</v>
      </c>
      <c r="D58" s="79" t="str">
        <f>'Assessment Matrix'!D6</f>
        <v>The system does not execute high-impact actions autonomously without policy, validation, and approval controls.</v>
      </c>
      <c r="E58" s="78" t="str">
        <f>IF(OR($AB58="",E$52=""),IF('Assessment Matrix'!E6="","",'Assessment Matrix'!E6),IF(INDEX('Old Assessment Matrix'!$A$1:$BZ$2000,$AB58,E$52)="","",INDEX('Old Assessment Matrix'!$A$1:$BZ$2000,$AB58,E$52)))</f>
        <v>Blocker</v>
      </c>
      <c r="G58" s="78">
        <f>IF(OR($AB58="",G$52=""),IF('Assessment Matrix'!G6="","",'Assessment Matrix'!G6),IF(INDEX('Old Assessment Matrix'!$A$1:$BZ$2000,$AB58,G$52)="","",INDEX('Old Assessment Matrix'!$A$1:$BZ$2000,$AB58,G$52)))</f>
        <v>3</v>
      </c>
      <c r="H58" s="78">
        <f>IF(OR($AB58="",H$52=""),IF('Assessment Matrix'!H6="","",'Assessment Matrix'!H6),IF(INDEX('Old Assessment Matrix'!$A$1:$BZ$2000,$AB58,H$52)="","",INDEX('Old Assessment Matrix'!$A$1:$BZ$2000,$AB58,H$52)))</f>
        <v>5</v>
      </c>
      <c r="J58" s="78" t="str">
        <f>IF(OR($AB58="",J$52=""),IF('Assessment Matrix'!J6="","",'Assessment Matrix'!J6),IF(INDEX('Old Assessment Matrix'!$A$1:$BZ$2000,$AB58,J$52)="","",INDEX('Old Assessment Matrix'!$A$1:$BZ$2000,$AB58,J$52)))</f>
        <v/>
      </c>
      <c r="K58" s="78" t="str">
        <f>IF(OR($AB58="",K$52=""),IF('Assessment Matrix'!K6="","",'Assessment Matrix'!K6),IF(INDEX('Old Assessment Matrix'!$A$1:$BZ$2000,$AB58,K$52)="","",INDEX('Old Assessment Matrix'!$A$1:$BZ$2000,$AB58,K$52)))</f>
        <v/>
      </c>
      <c r="O58" s="78" t="str">
        <f>IF(OR($AB58="",O$52=""),IF('Assessment Matrix'!O6="","",'Assessment Matrix'!O6),IF(INDEX('Old Assessment Matrix'!$A$1:$BZ$2000,$AB58,O$52)="","",INDEX('Old Assessment Matrix'!$A$1:$BZ$2000,$AB58,O$52)))</f>
        <v/>
      </c>
      <c r="P58" s="78" t="str">
        <f>IF(OR($AB58="",P$52=""),IF('Assessment Matrix'!P6="","",'Assessment Matrix'!P6),IF(INDEX('Old Assessment Matrix'!$A$1:$BZ$2000,$AB58,P$52)="","",INDEX('Old Assessment Matrix'!$A$1:$BZ$2000,$AB58,P$52)))</f>
        <v/>
      </c>
      <c r="Q58" s="78" t="str">
        <f>IF(OR($AB58="",Q$52=""),IF('Assessment Matrix'!Q6="","",'Assessment Matrix'!Q6),IF(INDEX('Old Assessment Matrix'!$A$1:$BZ$2000,$AB58,Q$52)="","",INDEX('Old Assessment Matrix'!$A$1:$BZ$2000,$AB58,Q$52)))</f>
        <v/>
      </c>
      <c r="R58" s="80" t="str">
        <f>IF(OR($AB58="",R$52=""),IF('Assessment Matrix'!R6="","",'Assessment Matrix'!R6),IF(INDEX('Old Assessment Matrix'!$A$1:$BZ$2000,$AB58,R$52)="","",INDEX('Old Assessment Matrix'!$A$1:$BZ$2000,$AB58,R$52)))</f>
        <v/>
      </c>
      <c r="S58" s="78" t="str">
        <f>IF(OR($AB58="",S$52=""),IF('Assessment Matrix'!S6="","",'Assessment Matrix'!S6),IF(INDEX('Old Assessment Matrix'!$A$1:$BZ$2000,$AB58,S$52)="","",INDEX('Old Assessment Matrix'!$A$1:$BZ$2000,$AB58,S$52)))</f>
        <v/>
      </c>
      <c r="T58" s="78" t="str">
        <f>IF(OR($AB58="",T$52=""),IF('Assessment Matrix'!T6="","",'Assessment Matrix'!T6),IF(INDEX('Old Assessment Matrix'!$A$1:$BZ$2000,$AB58,T$52)="","",INDEX('Old Assessment Matrix'!$A$1:$BZ$2000,$AB58,T$52)))</f>
        <v/>
      </c>
      <c r="X58" s="78" t="str">
        <f>IF(OR($AB58="",X$52=""),IF('Assessment Matrix'!X6="","",'Assessment Matrix'!X6),IF(INDEX('Old Assessment Matrix'!$A$1:$BZ$2000,$AB58,X$52)="","",INDEX('Old Assessment Matrix'!$A$1:$BZ$2000,$AB58,X$52)))</f>
        <v/>
      </c>
      <c r="Y58" s="78" t="str">
        <f>IF(OR($AB58="",Y$52=""),IF('Assessment Matrix'!Y6="","",'Assessment Matrix'!Y6),IF(INDEX('Old Assessment Matrix'!$A$1:$BZ$2000,$AB58,Y$52)="","",INDEX('Old Assessment Matrix'!$A$1:$BZ$2000,$AB58,Y$52)))</f>
        <v/>
      </c>
      <c r="Z58" s="80" t="str">
        <f>IF(OR($AB58="",Z$52=""),IF('Assessment Matrix'!Z6="","",'Assessment Matrix'!Z6),IF(INDEX('Old Assessment Matrix'!$A$1:$BZ$2000,$AB58,Z$52)="","",INDEX('Old Assessment Matrix'!$A$1:$BZ$2000,$AB58,Z$52)))</f>
        <v/>
      </c>
      <c r="AB58" s="79" t="str">
        <f>IFERROR(MATCH($A58,'Old Assessment Matrix'!$A:$A,0),"")</f>
        <v/>
      </c>
      <c r="AC58" s="79" t="str">
        <f t="shared" si="1"/>
        <v>1.5</v>
      </c>
    </row>
    <row r="59" spans="1:29" x14ac:dyDescent="0.3">
      <c r="A59" s="19" t="str">
        <f>'Assessment Matrix'!A7</f>
        <v>2.1</v>
      </c>
      <c r="D59" s="79" t="str">
        <f>'Assessment Matrix'!D7</f>
        <v>Model card/system card or equivalent documentation describes intended use, limitations, training/evaluation approach, and known risks.</v>
      </c>
      <c r="E59" s="78" t="str">
        <f>IF(OR($AB59="",E$52=""),IF('Assessment Matrix'!E7="","",'Assessment Matrix'!E7),IF(INDEX('Old Assessment Matrix'!$A$1:$BZ$2000,$AB59,E$52)="","",INDEX('Old Assessment Matrix'!$A$1:$BZ$2000,$AB59,E$52)))</f>
        <v>Major</v>
      </c>
      <c r="G59" s="78">
        <f>IF(OR($AB59="",G$52=""),IF('Assessment Matrix'!G7="","",'Assessment Matrix'!G7),IF(INDEX('Old Assessment Matrix'!$A$1:$BZ$2000,$AB59,G$52)="","",INDEX('Old Assessment Matrix'!$A$1:$BZ$2000,$AB59,G$52)))</f>
        <v>3</v>
      </c>
      <c r="H59" s="78">
        <f>IF(OR($AB59="",H$52=""),IF('Assessment Matrix'!H7="","",'Assessment Matrix'!H7),IF(INDEX('Old Assessment Matrix'!$A$1:$BZ$2000,$AB59,H$52)="","",INDEX('Old Assessment Matrix'!$A$1:$BZ$2000,$AB59,H$52)))</f>
        <v>4</v>
      </c>
      <c r="J59" s="78" t="str">
        <f>IF(OR($AB59="",J$52=""),IF('Assessment Matrix'!J7="","",'Assessment Matrix'!J7),IF(INDEX('Old Assessment Matrix'!$A$1:$BZ$2000,$AB59,J$52)="","",INDEX('Old Assessment Matrix'!$A$1:$BZ$2000,$AB59,J$52)))</f>
        <v/>
      </c>
      <c r="K59" s="78" t="str">
        <f>IF(OR($AB59="",K$52=""),IF('Assessment Matrix'!K7="","",'Assessment Matrix'!K7),IF(INDEX('Old Assessment Matrix'!$A$1:$BZ$2000,$AB59,K$52)="","",INDEX('Old Assessment Matrix'!$A$1:$BZ$2000,$AB59,K$52)))</f>
        <v/>
      </c>
      <c r="O59" s="78" t="str">
        <f>IF(OR($AB59="",O$52=""),IF('Assessment Matrix'!O7="","",'Assessment Matrix'!O7),IF(INDEX('Old Assessment Matrix'!$A$1:$BZ$2000,$AB59,O$52)="","",INDEX('Old Assessment Matrix'!$A$1:$BZ$2000,$AB59,O$52)))</f>
        <v/>
      </c>
      <c r="P59" s="78" t="str">
        <f>IF(OR($AB59="",P$52=""),IF('Assessment Matrix'!P7="","",'Assessment Matrix'!P7),IF(INDEX('Old Assessment Matrix'!$A$1:$BZ$2000,$AB59,P$52)="","",INDEX('Old Assessment Matrix'!$A$1:$BZ$2000,$AB59,P$52)))</f>
        <v/>
      </c>
      <c r="Q59" s="78" t="str">
        <f>IF(OR($AB59="",Q$52=""),IF('Assessment Matrix'!Q7="","",'Assessment Matrix'!Q7),IF(INDEX('Old Assessment Matrix'!$A$1:$BZ$2000,$AB59,Q$52)="","",INDEX('Old Assessment Matrix'!$A$1:$BZ$2000,$AB59,Q$52)))</f>
        <v/>
      </c>
      <c r="R59" s="80" t="str">
        <f>IF(OR($AB59="",R$52=""),IF('Assessment Matrix'!R7="","",'Assessment Matrix'!R7),IF(INDEX('Old Assessment Matrix'!$A$1:$BZ$2000,$AB59,R$52)="","",INDEX('Old Assessment Matrix'!$A$1:$BZ$2000,$AB59,R$52)))</f>
        <v/>
      </c>
      <c r="S59" s="78" t="str">
        <f>IF(OR($AB59="",S$52=""),IF('Assessment Matrix'!S7="","",'Assessment Matrix'!S7),IF(INDEX('Old Assessment Matrix'!$A$1:$BZ$2000,$AB59,S$52)="","",INDEX('Old Assessment Matrix'!$A$1:$BZ$2000,$AB59,S$52)))</f>
        <v/>
      </c>
      <c r="T59" s="78" t="str">
        <f>IF(OR($AB59="",T$52=""),IF('Assessment Matrix'!T7="","",'Assessment Matrix'!T7),IF(INDEX('Old Assessment Matrix'!$A$1:$BZ$2000,$AB59,T$52)="","",INDEX('Old Assessment Matrix'!$A$1:$BZ$2000,$AB59,T$52)))</f>
        <v/>
      </c>
      <c r="X59" s="78" t="str">
        <f>IF(OR($AB59="",X$52=""),IF('Assessment Matrix'!X7="","",'Assessment Matrix'!X7),IF(INDEX('Old Assessment Matrix'!$A$1:$BZ$2000,$AB59,X$52)="","",INDEX('Old Assessment Matrix'!$A$1:$BZ$2000,$AB59,X$52)))</f>
        <v/>
      </c>
      <c r="Y59" s="78" t="str">
        <f>IF(OR($AB59="",Y$52=""),IF('Assessment Matrix'!Y7="","",'Assessment Matrix'!Y7),IF(INDEX('Old Assessment Matrix'!$A$1:$BZ$2000,$AB59,Y$52)="","",INDEX('Old Assessment Matrix'!$A$1:$BZ$2000,$AB59,Y$52)))</f>
        <v/>
      </c>
      <c r="Z59" s="80" t="str">
        <f>IF(OR($AB59="",Z$52=""),IF('Assessment Matrix'!Z7="","",'Assessment Matrix'!Z7),IF(INDEX('Old Assessment Matrix'!$A$1:$BZ$2000,$AB59,Z$52)="","",INDEX('Old Assessment Matrix'!$A$1:$BZ$2000,$AB59,Z$52)))</f>
        <v/>
      </c>
      <c r="AB59" s="79" t="str">
        <f>IFERROR(MATCH($A59,'Old Assessment Matrix'!$A:$A,0),"")</f>
        <v/>
      </c>
      <c r="AC59" s="79" t="str">
        <f t="shared" si="1"/>
        <v>2.1</v>
      </c>
    </row>
    <row r="60" spans="1:29" x14ac:dyDescent="0.3">
      <c r="A60" s="19" t="str">
        <f>'Assessment Matrix'!A8</f>
        <v>2.2</v>
      </c>
      <c r="D60" s="79" t="str">
        <f>'Assessment Matrix'!D8</f>
        <v>Provider legal entity, jurisdictions, subcontractors, hosting locations, and support dependencies are documented.</v>
      </c>
      <c r="E60" s="78" t="str">
        <f>IF(OR($AB60="",E$52=""),IF('Assessment Matrix'!E8="","",'Assessment Matrix'!E8),IF(INDEX('Old Assessment Matrix'!$A$1:$BZ$2000,$AB60,E$52)="","",INDEX('Old Assessment Matrix'!$A$1:$BZ$2000,$AB60,E$52)))</f>
        <v>Major</v>
      </c>
      <c r="G60" s="78">
        <f>IF(OR($AB60="",G$52=""),IF('Assessment Matrix'!G8="","",'Assessment Matrix'!G8),IF(INDEX('Old Assessment Matrix'!$A$1:$BZ$2000,$AB60,G$52)="","",INDEX('Old Assessment Matrix'!$A$1:$BZ$2000,$AB60,G$52)))</f>
        <v>3</v>
      </c>
      <c r="H60" s="78">
        <f>IF(OR($AB60="",H$52=""),IF('Assessment Matrix'!H8="","",'Assessment Matrix'!H8),IF(INDEX('Old Assessment Matrix'!$A$1:$BZ$2000,$AB60,H$52)="","",INDEX('Old Assessment Matrix'!$A$1:$BZ$2000,$AB60,H$52)))</f>
        <v>4</v>
      </c>
      <c r="J60" s="78" t="str">
        <f>IF(OR($AB60="",J$52=""),IF('Assessment Matrix'!J8="","",'Assessment Matrix'!J8),IF(INDEX('Old Assessment Matrix'!$A$1:$BZ$2000,$AB60,J$52)="","",INDEX('Old Assessment Matrix'!$A$1:$BZ$2000,$AB60,J$52)))</f>
        <v/>
      </c>
      <c r="K60" s="78" t="str">
        <f>IF(OR($AB60="",K$52=""),IF('Assessment Matrix'!K8="","",'Assessment Matrix'!K8),IF(INDEX('Old Assessment Matrix'!$A$1:$BZ$2000,$AB60,K$52)="","",INDEX('Old Assessment Matrix'!$A$1:$BZ$2000,$AB60,K$52)))</f>
        <v/>
      </c>
      <c r="O60" s="78" t="str">
        <f>IF(OR($AB60="",O$52=""),IF('Assessment Matrix'!O8="","",'Assessment Matrix'!O8),IF(INDEX('Old Assessment Matrix'!$A$1:$BZ$2000,$AB60,O$52)="","",INDEX('Old Assessment Matrix'!$A$1:$BZ$2000,$AB60,O$52)))</f>
        <v/>
      </c>
      <c r="P60" s="78" t="str">
        <f>IF(OR($AB60="",P$52=""),IF('Assessment Matrix'!P8="","",'Assessment Matrix'!P8),IF(INDEX('Old Assessment Matrix'!$A$1:$BZ$2000,$AB60,P$52)="","",INDEX('Old Assessment Matrix'!$A$1:$BZ$2000,$AB60,P$52)))</f>
        <v/>
      </c>
      <c r="Q60" s="78" t="str">
        <f>IF(OR($AB60="",Q$52=""),IF('Assessment Matrix'!Q8="","",'Assessment Matrix'!Q8),IF(INDEX('Old Assessment Matrix'!$A$1:$BZ$2000,$AB60,Q$52)="","",INDEX('Old Assessment Matrix'!$A$1:$BZ$2000,$AB60,Q$52)))</f>
        <v/>
      </c>
      <c r="R60" s="80" t="str">
        <f>IF(OR($AB60="",R$52=""),IF('Assessment Matrix'!R8="","",'Assessment Matrix'!R8),IF(INDEX('Old Assessment Matrix'!$A$1:$BZ$2000,$AB60,R$52)="","",INDEX('Old Assessment Matrix'!$A$1:$BZ$2000,$AB60,R$52)))</f>
        <v/>
      </c>
      <c r="S60" s="78" t="str">
        <f>IF(OR($AB60="",S$52=""),IF('Assessment Matrix'!S8="","",'Assessment Matrix'!S8),IF(INDEX('Old Assessment Matrix'!$A$1:$BZ$2000,$AB60,S$52)="","",INDEX('Old Assessment Matrix'!$A$1:$BZ$2000,$AB60,S$52)))</f>
        <v/>
      </c>
      <c r="T60" s="78" t="str">
        <f>IF(OR($AB60="",T$52=""),IF('Assessment Matrix'!T8="","",'Assessment Matrix'!T8),IF(INDEX('Old Assessment Matrix'!$A$1:$BZ$2000,$AB60,T$52)="","",INDEX('Old Assessment Matrix'!$A$1:$BZ$2000,$AB60,T$52)))</f>
        <v/>
      </c>
      <c r="X60" s="78" t="str">
        <f>IF(OR($AB60="",X$52=""),IF('Assessment Matrix'!X8="","",'Assessment Matrix'!X8),IF(INDEX('Old Assessment Matrix'!$A$1:$BZ$2000,$AB60,X$52)="","",INDEX('Old Assessment Matrix'!$A$1:$BZ$2000,$AB60,X$52)))</f>
        <v/>
      </c>
      <c r="Y60" s="78" t="str">
        <f>IF(OR($AB60="",Y$52=""),IF('Assessment Matrix'!Y8="","",'Assessment Matrix'!Y8),IF(INDEX('Old Assessment Matrix'!$A$1:$BZ$2000,$AB60,Y$52)="","",INDEX('Old Assessment Matrix'!$A$1:$BZ$2000,$AB60,Y$52)))</f>
        <v/>
      </c>
      <c r="Z60" s="80" t="str">
        <f>IF(OR($AB60="",Z$52=""),IF('Assessment Matrix'!Z8="","",'Assessment Matrix'!Z8),IF(INDEX('Old Assessment Matrix'!$A$1:$BZ$2000,$AB60,Z$52)="","",INDEX('Old Assessment Matrix'!$A$1:$BZ$2000,$AB60,Z$52)))</f>
        <v/>
      </c>
      <c r="AB60" s="79" t="str">
        <f>IFERROR(MATCH($A60,'Old Assessment Matrix'!$A:$A,0),"")</f>
        <v/>
      </c>
      <c r="AC60" s="79" t="str">
        <f t="shared" si="1"/>
        <v>2.2</v>
      </c>
    </row>
    <row r="61" spans="1:29" x14ac:dyDescent="0.3">
      <c r="A61" s="19" t="str">
        <f>'Assessment Matrix'!A9</f>
        <v>2.3</v>
      </c>
      <c r="D61" s="79" t="str">
        <f>'Assessment Matrix'!D9</f>
        <v>Independent assurance is available where appropriate, such as ISO 27001, SOC 2, audit report, penetration test, or equivalent.</v>
      </c>
      <c r="E61" s="78" t="str">
        <f>IF(OR($AB61="",E$52=""),IF('Assessment Matrix'!E9="","",'Assessment Matrix'!E9),IF(INDEX('Old Assessment Matrix'!$A$1:$BZ$2000,$AB61,E$52)="","",INDEX('Old Assessment Matrix'!$A$1:$BZ$2000,$AB61,E$52)))</f>
        <v>Moderate</v>
      </c>
      <c r="G61" s="78">
        <f>IF(OR($AB61="",G$52=""),IF('Assessment Matrix'!G9="","",'Assessment Matrix'!G9),IF(INDEX('Old Assessment Matrix'!$A$1:$BZ$2000,$AB61,G$52)="","",INDEX('Old Assessment Matrix'!$A$1:$BZ$2000,$AB61,G$52)))</f>
        <v>3</v>
      </c>
      <c r="H61" s="78">
        <f>IF(OR($AB61="",H$52=""),IF('Assessment Matrix'!H9="","",'Assessment Matrix'!H9),IF(INDEX('Old Assessment Matrix'!$A$1:$BZ$2000,$AB61,H$52)="","",INDEX('Old Assessment Matrix'!$A$1:$BZ$2000,$AB61,H$52)))</f>
        <v>4</v>
      </c>
      <c r="J61" s="78" t="str">
        <f>IF(OR($AB61="",J$52=""),IF('Assessment Matrix'!J9="","",'Assessment Matrix'!J9),IF(INDEX('Old Assessment Matrix'!$A$1:$BZ$2000,$AB61,J$52)="","",INDEX('Old Assessment Matrix'!$A$1:$BZ$2000,$AB61,J$52)))</f>
        <v/>
      </c>
      <c r="K61" s="78" t="str">
        <f>IF(OR($AB61="",K$52=""),IF('Assessment Matrix'!K9="","",'Assessment Matrix'!K9),IF(INDEX('Old Assessment Matrix'!$A$1:$BZ$2000,$AB61,K$52)="","",INDEX('Old Assessment Matrix'!$A$1:$BZ$2000,$AB61,K$52)))</f>
        <v/>
      </c>
      <c r="O61" s="78" t="str">
        <f>IF(OR($AB61="",O$52=""),IF('Assessment Matrix'!O9="","",'Assessment Matrix'!O9),IF(INDEX('Old Assessment Matrix'!$A$1:$BZ$2000,$AB61,O$52)="","",INDEX('Old Assessment Matrix'!$A$1:$BZ$2000,$AB61,O$52)))</f>
        <v/>
      </c>
      <c r="P61" s="78" t="str">
        <f>IF(OR($AB61="",P$52=""),IF('Assessment Matrix'!P9="","",'Assessment Matrix'!P9),IF(INDEX('Old Assessment Matrix'!$A$1:$BZ$2000,$AB61,P$52)="","",INDEX('Old Assessment Matrix'!$A$1:$BZ$2000,$AB61,P$52)))</f>
        <v/>
      </c>
      <c r="Q61" s="78" t="str">
        <f>IF(OR($AB61="",Q$52=""),IF('Assessment Matrix'!Q9="","",'Assessment Matrix'!Q9),IF(INDEX('Old Assessment Matrix'!$A$1:$BZ$2000,$AB61,Q$52)="","",INDEX('Old Assessment Matrix'!$A$1:$BZ$2000,$AB61,Q$52)))</f>
        <v/>
      </c>
      <c r="R61" s="80" t="str">
        <f>IF(OR($AB61="",R$52=""),IF('Assessment Matrix'!R9="","",'Assessment Matrix'!R9),IF(INDEX('Old Assessment Matrix'!$A$1:$BZ$2000,$AB61,R$52)="","",INDEX('Old Assessment Matrix'!$A$1:$BZ$2000,$AB61,R$52)))</f>
        <v/>
      </c>
      <c r="S61" s="78" t="str">
        <f>IF(OR($AB61="",S$52=""),IF('Assessment Matrix'!S9="","",'Assessment Matrix'!S9),IF(INDEX('Old Assessment Matrix'!$A$1:$BZ$2000,$AB61,S$52)="","",INDEX('Old Assessment Matrix'!$A$1:$BZ$2000,$AB61,S$52)))</f>
        <v/>
      </c>
      <c r="T61" s="78" t="str">
        <f>IF(OR($AB61="",T$52=""),IF('Assessment Matrix'!T9="","",'Assessment Matrix'!T9),IF(INDEX('Old Assessment Matrix'!$A$1:$BZ$2000,$AB61,T$52)="","",INDEX('Old Assessment Matrix'!$A$1:$BZ$2000,$AB61,T$52)))</f>
        <v/>
      </c>
      <c r="X61" s="78" t="str">
        <f>IF(OR($AB61="",X$52=""),IF('Assessment Matrix'!X9="","",'Assessment Matrix'!X9),IF(INDEX('Old Assessment Matrix'!$A$1:$BZ$2000,$AB61,X$52)="","",INDEX('Old Assessment Matrix'!$A$1:$BZ$2000,$AB61,X$52)))</f>
        <v/>
      </c>
      <c r="Y61" s="78" t="str">
        <f>IF(OR($AB61="",Y$52=""),IF('Assessment Matrix'!Y9="","",'Assessment Matrix'!Y9),IF(INDEX('Old Assessment Matrix'!$A$1:$BZ$2000,$AB61,Y$52)="","",INDEX('Old Assessment Matrix'!$A$1:$BZ$2000,$AB61,Y$52)))</f>
        <v/>
      </c>
      <c r="Z61" s="80" t="str">
        <f>IF(OR($AB61="",Z$52=""),IF('Assessment Matrix'!Z9="","",'Assessment Matrix'!Z9),IF(INDEX('Old Assessment Matrix'!$A$1:$BZ$2000,$AB61,Z$52)="","",INDEX('Old Assessment Matrix'!$A$1:$BZ$2000,$AB61,Z$52)))</f>
        <v/>
      </c>
      <c r="AB61" s="79" t="str">
        <f>IFERROR(MATCH($A61,'Old Assessment Matrix'!$A:$A,0),"")</f>
        <v/>
      </c>
      <c r="AC61" s="79" t="str">
        <f t="shared" si="1"/>
        <v>2.3</v>
      </c>
    </row>
    <row r="62" spans="1:29" x14ac:dyDescent="0.3">
      <c r="A62" s="19" t="str">
        <f>'Assessment Matrix'!A10</f>
        <v>2.4</v>
      </c>
      <c r="D62" s="79" t="str">
        <f>'Assessment Matrix'!D10</f>
        <v>Target model version has release notes, lifecycle support, change log, and update/rollback path.</v>
      </c>
      <c r="E62" s="78" t="str">
        <f>IF(OR($AB62="",E$52=""),IF('Assessment Matrix'!E10="","",'Assessment Matrix'!E10),IF(INDEX('Old Assessment Matrix'!$A$1:$BZ$2000,$AB62,E$52)="","",INDEX('Old Assessment Matrix'!$A$1:$BZ$2000,$AB62,E$52)))</f>
        <v>Major</v>
      </c>
      <c r="G62" s="78">
        <f>IF(OR($AB62="",G$52=""),IF('Assessment Matrix'!G10="","",'Assessment Matrix'!G10),IF(INDEX('Old Assessment Matrix'!$A$1:$BZ$2000,$AB62,G$52)="","",INDEX('Old Assessment Matrix'!$A$1:$BZ$2000,$AB62,G$52)))</f>
        <v>3</v>
      </c>
      <c r="H62" s="78">
        <f>IF(OR($AB62="",H$52=""),IF('Assessment Matrix'!H10="","",'Assessment Matrix'!H10),IF(INDEX('Old Assessment Matrix'!$A$1:$BZ$2000,$AB62,H$52)="","",INDEX('Old Assessment Matrix'!$A$1:$BZ$2000,$AB62,H$52)))</f>
        <v>4</v>
      </c>
      <c r="J62" s="78" t="str">
        <f>IF(OR($AB62="",J$52=""),IF('Assessment Matrix'!J10="","",'Assessment Matrix'!J10),IF(INDEX('Old Assessment Matrix'!$A$1:$BZ$2000,$AB62,J$52)="","",INDEX('Old Assessment Matrix'!$A$1:$BZ$2000,$AB62,J$52)))</f>
        <v/>
      </c>
      <c r="K62" s="78" t="str">
        <f>IF(OR($AB62="",K$52=""),IF('Assessment Matrix'!K10="","",'Assessment Matrix'!K10),IF(INDEX('Old Assessment Matrix'!$A$1:$BZ$2000,$AB62,K$52)="","",INDEX('Old Assessment Matrix'!$A$1:$BZ$2000,$AB62,K$52)))</f>
        <v/>
      </c>
      <c r="O62" s="78" t="str">
        <f>IF(OR($AB62="",O$52=""),IF('Assessment Matrix'!O10="","",'Assessment Matrix'!O10),IF(INDEX('Old Assessment Matrix'!$A$1:$BZ$2000,$AB62,O$52)="","",INDEX('Old Assessment Matrix'!$A$1:$BZ$2000,$AB62,O$52)))</f>
        <v/>
      </c>
      <c r="P62" s="78" t="str">
        <f>IF(OR($AB62="",P$52=""),IF('Assessment Matrix'!P10="","",'Assessment Matrix'!P10),IF(INDEX('Old Assessment Matrix'!$A$1:$BZ$2000,$AB62,P$52)="","",INDEX('Old Assessment Matrix'!$A$1:$BZ$2000,$AB62,P$52)))</f>
        <v/>
      </c>
      <c r="Q62" s="78" t="str">
        <f>IF(OR($AB62="",Q$52=""),IF('Assessment Matrix'!Q10="","",'Assessment Matrix'!Q10),IF(INDEX('Old Assessment Matrix'!$A$1:$BZ$2000,$AB62,Q$52)="","",INDEX('Old Assessment Matrix'!$A$1:$BZ$2000,$AB62,Q$52)))</f>
        <v/>
      </c>
      <c r="R62" s="80" t="str">
        <f>IF(OR($AB62="",R$52=""),IF('Assessment Matrix'!R10="","",'Assessment Matrix'!R10),IF(INDEX('Old Assessment Matrix'!$A$1:$BZ$2000,$AB62,R$52)="","",INDEX('Old Assessment Matrix'!$A$1:$BZ$2000,$AB62,R$52)))</f>
        <v/>
      </c>
      <c r="S62" s="78" t="str">
        <f>IF(OR($AB62="",S$52=""),IF('Assessment Matrix'!S10="","",'Assessment Matrix'!S10),IF(INDEX('Old Assessment Matrix'!$A$1:$BZ$2000,$AB62,S$52)="","",INDEX('Old Assessment Matrix'!$A$1:$BZ$2000,$AB62,S$52)))</f>
        <v/>
      </c>
      <c r="T62" s="78" t="str">
        <f>IF(OR($AB62="",T$52=""),IF('Assessment Matrix'!T10="","",'Assessment Matrix'!T10),IF(INDEX('Old Assessment Matrix'!$A$1:$BZ$2000,$AB62,T$52)="","",INDEX('Old Assessment Matrix'!$A$1:$BZ$2000,$AB62,T$52)))</f>
        <v/>
      </c>
      <c r="X62" s="78" t="str">
        <f>IF(OR($AB62="",X$52=""),IF('Assessment Matrix'!X10="","",'Assessment Matrix'!X10),IF(INDEX('Old Assessment Matrix'!$A$1:$BZ$2000,$AB62,X$52)="","",INDEX('Old Assessment Matrix'!$A$1:$BZ$2000,$AB62,X$52)))</f>
        <v/>
      </c>
      <c r="Y62" s="78" t="str">
        <f>IF(OR($AB62="",Y$52=""),IF('Assessment Matrix'!Y10="","",'Assessment Matrix'!Y10),IF(INDEX('Old Assessment Matrix'!$A$1:$BZ$2000,$AB62,Y$52)="","",INDEX('Old Assessment Matrix'!$A$1:$BZ$2000,$AB62,Y$52)))</f>
        <v/>
      </c>
      <c r="Z62" s="80" t="str">
        <f>IF(OR($AB62="",Z$52=""),IF('Assessment Matrix'!Z10="","",'Assessment Matrix'!Z10),IF(INDEX('Old Assessment Matrix'!$A$1:$BZ$2000,$AB62,Z$52)="","",INDEX('Old Assessment Matrix'!$A$1:$BZ$2000,$AB62,Z$52)))</f>
        <v/>
      </c>
      <c r="AB62" s="79" t="str">
        <f>IFERROR(MATCH($A62,'Old Assessment Matrix'!$A:$A,0),"")</f>
        <v/>
      </c>
      <c r="AC62" s="79" t="str">
        <f t="shared" si="1"/>
        <v>2.4</v>
      </c>
    </row>
    <row r="63" spans="1:29" x14ac:dyDescent="0.3">
      <c r="A63" s="19" t="str">
        <f>'Assessment Matrix'!A11</f>
        <v>2.5</v>
      </c>
      <c r="D63" s="79" t="str">
        <f>'Assessment Matrix'!D11</f>
        <v>Terms, license, retention, logging, confidentiality, IP, and acceptable use permit the intended company use.</v>
      </c>
      <c r="E63" s="78" t="str">
        <f>IF(OR($AB63="",E$52=""),IF('Assessment Matrix'!E11="","",'Assessment Matrix'!E11),IF(INDEX('Old Assessment Matrix'!$A$1:$BZ$2000,$AB63,E$52)="","",INDEX('Old Assessment Matrix'!$A$1:$BZ$2000,$AB63,E$52)))</f>
        <v>Blocker</v>
      </c>
      <c r="G63" s="78">
        <f>IF(OR($AB63="",G$52=""),IF('Assessment Matrix'!G11="","",'Assessment Matrix'!G11),IF(INDEX('Old Assessment Matrix'!$A$1:$BZ$2000,$AB63,G$52)="","",INDEX('Old Assessment Matrix'!$A$1:$BZ$2000,$AB63,G$52)))</f>
        <v>3</v>
      </c>
      <c r="H63" s="78">
        <f>IF(OR($AB63="",H$52=""),IF('Assessment Matrix'!H11="","",'Assessment Matrix'!H11),IF(INDEX('Old Assessment Matrix'!$A$1:$BZ$2000,$AB63,H$52)="","",INDEX('Old Assessment Matrix'!$A$1:$BZ$2000,$AB63,H$52)))</f>
        <v>5</v>
      </c>
      <c r="J63" s="78" t="str">
        <f>IF(OR($AB63="",J$52=""),IF('Assessment Matrix'!J11="","",'Assessment Matrix'!J11),IF(INDEX('Old Assessment Matrix'!$A$1:$BZ$2000,$AB63,J$52)="","",INDEX('Old Assessment Matrix'!$A$1:$BZ$2000,$AB63,J$52)))</f>
        <v/>
      </c>
      <c r="K63" s="78" t="str">
        <f>IF(OR($AB63="",K$52=""),IF('Assessment Matrix'!K11="","",'Assessment Matrix'!K11),IF(INDEX('Old Assessment Matrix'!$A$1:$BZ$2000,$AB63,K$52)="","",INDEX('Old Assessment Matrix'!$A$1:$BZ$2000,$AB63,K$52)))</f>
        <v/>
      </c>
      <c r="O63" s="78" t="str">
        <f>IF(OR($AB63="",O$52=""),IF('Assessment Matrix'!O11="","",'Assessment Matrix'!O11),IF(INDEX('Old Assessment Matrix'!$A$1:$BZ$2000,$AB63,O$52)="","",INDEX('Old Assessment Matrix'!$A$1:$BZ$2000,$AB63,O$52)))</f>
        <v/>
      </c>
      <c r="P63" s="78" t="str">
        <f>IF(OR($AB63="",P$52=""),IF('Assessment Matrix'!P11="","",'Assessment Matrix'!P11),IF(INDEX('Old Assessment Matrix'!$A$1:$BZ$2000,$AB63,P$52)="","",INDEX('Old Assessment Matrix'!$A$1:$BZ$2000,$AB63,P$52)))</f>
        <v/>
      </c>
      <c r="Q63" s="78" t="str">
        <f>IF(OR($AB63="",Q$52=""),IF('Assessment Matrix'!Q11="","",'Assessment Matrix'!Q11),IF(INDEX('Old Assessment Matrix'!$A$1:$BZ$2000,$AB63,Q$52)="","",INDEX('Old Assessment Matrix'!$A$1:$BZ$2000,$AB63,Q$52)))</f>
        <v/>
      </c>
      <c r="R63" s="80" t="str">
        <f>IF(OR($AB63="",R$52=""),IF('Assessment Matrix'!R11="","",'Assessment Matrix'!R11),IF(INDEX('Old Assessment Matrix'!$A$1:$BZ$2000,$AB63,R$52)="","",INDEX('Old Assessment Matrix'!$A$1:$BZ$2000,$AB63,R$52)))</f>
        <v/>
      </c>
      <c r="S63" s="78" t="str">
        <f>IF(OR($AB63="",S$52=""),IF('Assessment Matrix'!S11="","",'Assessment Matrix'!S11),IF(INDEX('Old Assessment Matrix'!$A$1:$BZ$2000,$AB63,S$52)="","",INDEX('Old Assessment Matrix'!$A$1:$BZ$2000,$AB63,S$52)))</f>
        <v/>
      </c>
      <c r="T63" s="78" t="str">
        <f>IF(OR($AB63="",T$52=""),IF('Assessment Matrix'!T11="","",'Assessment Matrix'!T11),IF(INDEX('Old Assessment Matrix'!$A$1:$BZ$2000,$AB63,T$52)="","",INDEX('Old Assessment Matrix'!$A$1:$BZ$2000,$AB63,T$52)))</f>
        <v/>
      </c>
      <c r="X63" s="78" t="str">
        <f>IF(OR($AB63="",X$52=""),IF('Assessment Matrix'!X11="","",'Assessment Matrix'!X11),IF(INDEX('Old Assessment Matrix'!$A$1:$BZ$2000,$AB63,X$52)="","",INDEX('Old Assessment Matrix'!$A$1:$BZ$2000,$AB63,X$52)))</f>
        <v/>
      </c>
      <c r="Y63" s="78" t="str">
        <f>IF(OR($AB63="",Y$52=""),IF('Assessment Matrix'!Y11="","",'Assessment Matrix'!Y11),IF(INDEX('Old Assessment Matrix'!$A$1:$BZ$2000,$AB63,Y$52)="","",INDEX('Old Assessment Matrix'!$A$1:$BZ$2000,$AB63,Y$52)))</f>
        <v/>
      </c>
      <c r="Z63" s="80" t="str">
        <f>IF(OR($AB63="",Z$52=""),IF('Assessment Matrix'!Z11="","",'Assessment Matrix'!Z11),IF(INDEX('Old Assessment Matrix'!$A$1:$BZ$2000,$AB63,Z$52)="","",INDEX('Old Assessment Matrix'!$A$1:$BZ$2000,$AB63,Z$52)))</f>
        <v/>
      </c>
      <c r="AB63" s="79" t="str">
        <f>IFERROR(MATCH($A63,'Old Assessment Matrix'!$A:$A,0),"")</f>
        <v/>
      </c>
      <c r="AC63" s="79" t="str">
        <f t="shared" si="1"/>
        <v>2.5</v>
      </c>
    </row>
    <row r="64" spans="1:29" x14ac:dyDescent="0.3">
      <c r="A64" s="19" t="str">
        <f>'Assessment Matrix'!A12</f>
        <v>2.6</v>
      </c>
      <c r="D64" s="79" t="str">
        <f>'Assessment Matrix'!D12</f>
        <v>Support, patching, incident notification, and end-of-life commitments match business criticality.</v>
      </c>
      <c r="E64" s="78" t="str">
        <f>IF(OR($AB64="",E$52=""),IF('Assessment Matrix'!E12="","",'Assessment Matrix'!E12),IF(INDEX('Old Assessment Matrix'!$A$1:$BZ$2000,$AB64,E$52)="","",INDEX('Old Assessment Matrix'!$A$1:$BZ$2000,$AB64,E$52)))</f>
        <v>Major</v>
      </c>
      <c r="G64" s="78">
        <f>IF(OR($AB64="",G$52=""),IF('Assessment Matrix'!G12="","",'Assessment Matrix'!G12),IF(INDEX('Old Assessment Matrix'!$A$1:$BZ$2000,$AB64,G$52)="","",INDEX('Old Assessment Matrix'!$A$1:$BZ$2000,$AB64,G$52)))</f>
        <v>3</v>
      </c>
      <c r="H64" s="78">
        <f>IF(OR($AB64="",H$52=""),IF('Assessment Matrix'!H12="","",'Assessment Matrix'!H12),IF(INDEX('Old Assessment Matrix'!$A$1:$BZ$2000,$AB64,H$52)="","",INDEX('Old Assessment Matrix'!$A$1:$BZ$2000,$AB64,H$52)))</f>
        <v>4</v>
      </c>
      <c r="J64" s="78" t="str">
        <f>IF(OR($AB64="",J$52=""),IF('Assessment Matrix'!J12="","",'Assessment Matrix'!J12),IF(INDEX('Old Assessment Matrix'!$A$1:$BZ$2000,$AB64,J$52)="","",INDEX('Old Assessment Matrix'!$A$1:$BZ$2000,$AB64,J$52)))</f>
        <v/>
      </c>
      <c r="K64" s="78" t="str">
        <f>IF(OR($AB64="",K$52=""),IF('Assessment Matrix'!K12="","",'Assessment Matrix'!K12),IF(INDEX('Old Assessment Matrix'!$A$1:$BZ$2000,$AB64,K$52)="","",INDEX('Old Assessment Matrix'!$A$1:$BZ$2000,$AB64,K$52)))</f>
        <v/>
      </c>
      <c r="O64" s="78" t="str">
        <f>IF(OR($AB64="",O$52=""),IF('Assessment Matrix'!O12="","",'Assessment Matrix'!O12),IF(INDEX('Old Assessment Matrix'!$A$1:$BZ$2000,$AB64,O$52)="","",INDEX('Old Assessment Matrix'!$A$1:$BZ$2000,$AB64,O$52)))</f>
        <v/>
      </c>
      <c r="P64" s="78" t="str">
        <f>IF(OR($AB64="",P$52=""),IF('Assessment Matrix'!P12="","",'Assessment Matrix'!P12),IF(INDEX('Old Assessment Matrix'!$A$1:$BZ$2000,$AB64,P$52)="","",INDEX('Old Assessment Matrix'!$A$1:$BZ$2000,$AB64,P$52)))</f>
        <v/>
      </c>
      <c r="Q64" s="78" t="str">
        <f>IF(OR($AB64="",Q$52=""),IF('Assessment Matrix'!Q12="","",'Assessment Matrix'!Q12),IF(INDEX('Old Assessment Matrix'!$A$1:$BZ$2000,$AB64,Q$52)="","",INDEX('Old Assessment Matrix'!$A$1:$BZ$2000,$AB64,Q$52)))</f>
        <v/>
      </c>
      <c r="R64" s="80" t="str">
        <f>IF(OR($AB64="",R$52=""),IF('Assessment Matrix'!R12="","",'Assessment Matrix'!R12),IF(INDEX('Old Assessment Matrix'!$A$1:$BZ$2000,$AB64,R$52)="","",INDEX('Old Assessment Matrix'!$A$1:$BZ$2000,$AB64,R$52)))</f>
        <v/>
      </c>
      <c r="S64" s="78" t="str">
        <f>IF(OR($AB64="",S$52=""),IF('Assessment Matrix'!S12="","",'Assessment Matrix'!S12),IF(INDEX('Old Assessment Matrix'!$A$1:$BZ$2000,$AB64,S$52)="","",INDEX('Old Assessment Matrix'!$A$1:$BZ$2000,$AB64,S$52)))</f>
        <v/>
      </c>
      <c r="T64" s="78" t="str">
        <f>IF(OR($AB64="",T$52=""),IF('Assessment Matrix'!T12="","",'Assessment Matrix'!T12),IF(INDEX('Old Assessment Matrix'!$A$1:$BZ$2000,$AB64,T$52)="","",INDEX('Old Assessment Matrix'!$A$1:$BZ$2000,$AB64,T$52)))</f>
        <v/>
      </c>
      <c r="X64" s="78" t="str">
        <f>IF(OR($AB64="",X$52=""),IF('Assessment Matrix'!X12="","",'Assessment Matrix'!X12),IF(INDEX('Old Assessment Matrix'!$A$1:$BZ$2000,$AB64,X$52)="","",INDEX('Old Assessment Matrix'!$A$1:$BZ$2000,$AB64,X$52)))</f>
        <v/>
      </c>
      <c r="Y64" s="78" t="str">
        <f>IF(OR($AB64="",Y$52=""),IF('Assessment Matrix'!Y12="","",'Assessment Matrix'!Y12),IF(INDEX('Old Assessment Matrix'!$A$1:$BZ$2000,$AB64,Y$52)="","",INDEX('Old Assessment Matrix'!$A$1:$BZ$2000,$AB64,Y$52)))</f>
        <v/>
      </c>
      <c r="Z64" s="80" t="str">
        <f>IF(OR($AB64="",Z$52=""),IF('Assessment Matrix'!Z12="","",'Assessment Matrix'!Z12),IF(INDEX('Old Assessment Matrix'!$A$1:$BZ$2000,$AB64,Z$52)="","",INDEX('Old Assessment Matrix'!$A$1:$BZ$2000,$AB64,Z$52)))</f>
        <v/>
      </c>
      <c r="AB64" s="79" t="str">
        <f>IFERROR(MATCH($A64,'Old Assessment Matrix'!$A:$A,0),"")</f>
        <v/>
      </c>
      <c r="AC64" s="79" t="str">
        <f t="shared" si="1"/>
        <v>2.6</v>
      </c>
    </row>
    <row r="65" spans="1:29" x14ac:dyDescent="0.3">
      <c r="A65" s="19" t="str">
        <f>'Assessment Matrix'!A13</f>
        <v>2.7</v>
      </c>
      <c r="D65" s="79" t="str">
        <f>'Assessment Matrix'!D13</f>
        <v>Model and provider entities are checked against the company country-risk / sovereignty policy (ownership, development location, substantial contributions); the depth of the review follows the data classification (S3/S4).</v>
      </c>
      <c r="E65" s="78" t="str">
        <f>IF(OR($AB65="",E$52=""),IF('Assessment Matrix'!E13="","",'Assessment Matrix'!E13),IF(INDEX('Old Assessment Matrix'!$A$1:$BZ$2000,$AB65,E$52)="","",INDEX('Old Assessment Matrix'!$A$1:$BZ$2000,$AB65,E$52)))</f>
        <v>Major</v>
      </c>
      <c r="G65" s="78">
        <f>IF(OR($AB65="",G$52=""),IF('Assessment Matrix'!G13="","",'Assessment Matrix'!G13),IF(INDEX('Old Assessment Matrix'!$A$1:$BZ$2000,$AB65,G$52)="","",INDEX('Old Assessment Matrix'!$A$1:$BZ$2000,$AB65,G$52)))</f>
        <v>3</v>
      </c>
      <c r="H65" s="78">
        <f>IF(OR($AB65="",H$52=""),IF('Assessment Matrix'!H13="","",'Assessment Matrix'!H13),IF(INDEX('Old Assessment Matrix'!$A$1:$BZ$2000,$AB65,H$52)="","",INDEX('Old Assessment Matrix'!$A$1:$BZ$2000,$AB65,H$52)))</f>
        <v>4</v>
      </c>
      <c r="J65" s="78" t="str">
        <f>IF(OR($AB65="",J$52=""),IF('Assessment Matrix'!J13="","",'Assessment Matrix'!J13),IF(INDEX('Old Assessment Matrix'!$A$1:$BZ$2000,$AB65,J$52)="","",INDEX('Old Assessment Matrix'!$A$1:$BZ$2000,$AB65,J$52)))</f>
        <v/>
      </c>
      <c r="K65" s="78" t="str">
        <f>IF(OR($AB65="",K$52=""),IF('Assessment Matrix'!K13="","",'Assessment Matrix'!K13),IF(INDEX('Old Assessment Matrix'!$A$1:$BZ$2000,$AB65,K$52)="","",INDEX('Old Assessment Matrix'!$A$1:$BZ$2000,$AB65,K$52)))</f>
        <v/>
      </c>
      <c r="O65" s="78" t="str">
        <f>IF(OR($AB65="",O$52=""),IF('Assessment Matrix'!O13="","",'Assessment Matrix'!O13),IF(INDEX('Old Assessment Matrix'!$A$1:$BZ$2000,$AB65,O$52)="","",INDEX('Old Assessment Matrix'!$A$1:$BZ$2000,$AB65,O$52)))</f>
        <v/>
      </c>
      <c r="P65" s="78" t="str">
        <f>IF(OR($AB65="",P$52=""),IF('Assessment Matrix'!P13="","",'Assessment Matrix'!P13),IF(INDEX('Old Assessment Matrix'!$A$1:$BZ$2000,$AB65,P$52)="","",INDEX('Old Assessment Matrix'!$A$1:$BZ$2000,$AB65,P$52)))</f>
        <v/>
      </c>
      <c r="Q65" s="78" t="str">
        <f>IF(OR($AB65="",Q$52=""),IF('Assessment Matrix'!Q13="","",'Assessment Matrix'!Q13),IF(INDEX('Old Assessment Matrix'!$A$1:$BZ$2000,$AB65,Q$52)="","",INDEX('Old Assessment Matrix'!$A$1:$BZ$2000,$AB65,Q$52)))</f>
        <v/>
      </c>
      <c r="R65" s="80" t="str">
        <f>IF(OR($AB65="",R$52=""),IF('Assessment Matrix'!R13="","",'Assessment Matrix'!R13),IF(INDEX('Old Assessment Matrix'!$A$1:$BZ$2000,$AB65,R$52)="","",INDEX('Old Assessment Matrix'!$A$1:$BZ$2000,$AB65,R$52)))</f>
        <v/>
      </c>
      <c r="S65" s="78" t="str">
        <f>IF(OR($AB65="",S$52=""),IF('Assessment Matrix'!S13="","",'Assessment Matrix'!S13),IF(INDEX('Old Assessment Matrix'!$A$1:$BZ$2000,$AB65,S$52)="","",INDEX('Old Assessment Matrix'!$A$1:$BZ$2000,$AB65,S$52)))</f>
        <v/>
      </c>
      <c r="T65" s="78" t="str">
        <f>IF(OR($AB65="",T$52=""),IF('Assessment Matrix'!T13="","",'Assessment Matrix'!T13),IF(INDEX('Old Assessment Matrix'!$A$1:$BZ$2000,$AB65,T$52)="","",INDEX('Old Assessment Matrix'!$A$1:$BZ$2000,$AB65,T$52)))</f>
        <v/>
      </c>
      <c r="X65" s="78" t="str">
        <f>IF(OR($AB65="",X$52=""),IF('Assessment Matrix'!X13="","",'Assessment Matrix'!X13),IF(INDEX('Old Assessment Matrix'!$A$1:$BZ$2000,$AB65,X$52)="","",INDEX('Old Assessment Matrix'!$A$1:$BZ$2000,$AB65,X$52)))</f>
        <v/>
      </c>
      <c r="Y65" s="78" t="str">
        <f>IF(OR($AB65="",Y$52=""),IF('Assessment Matrix'!Y13="","",'Assessment Matrix'!Y13),IF(INDEX('Old Assessment Matrix'!$A$1:$BZ$2000,$AB65,Y$52)="","",INDEX('Old Assessment Matrix'!$A$1:$BZ$2000,$AB65,Y$52)))</f>
        <v/>
      </c>
      <c r="Z65" s="80" t="str">
        <f>IF(OR($AB65="",Z$52=""),IF('Assessment Matrix'!Z13="","",'Assessment Matrix'!Z13),IF(INDEX('Old Assessment Matrix'!$A$1:$BZ$2000,$AB65,Z$52)="","",INDEX('Old Assessment Matrix'!$A$1:$BZ$2000,$AB65,Z$52)))</f>
        <v/>
      </c>
      <c r="AB65" s="79" t="str">
        <f>IFERROR(MATCH($A65,'Old Assessment Matrix'!$A:$A,0),"")</f>
        <v/>
      </c>
      <c r="AC65" s="79" t="str">
        <f t="shared" si="1"/>
        <v>2.7</v>
      </c>
    </row>
    <row r="66" spans="1:29" x14ac:dyDescent="0.3">
      <c r="A66" s="19" t="str">
        <f>'Assessment Matrix'!A14</f>
        <v>3.1</v>
      </c>
      <c r="D66" s="79" t="str">
        <f>'Assessment Matrix'!D14</f>
        <v>Deployment model, trust boundaries, network paths, data flows, and dependencies are documented and approved.</v>
      </c>
      <c r="E66" s="78" t="str">
        <f>IF(OR($AB66="",E$52=""),IF('Assessment Matrix'!E14="","",'Assessment Matrix'!E14),IF(INDEX('Old Assessment Matrix'!$A$1:$BZ$2000,$AB66,E$52)="","",INDEX('Old Assessment Matrix'!$A$1:$BZ$2000,$AB66,E$52)))</f>
        <v>Major</v>
      </c>
      <c r="G66" s="78">
        <f>IF(OR($AB66="",G$52=""),IF('Assessment Matrix'!G14="","",'Assessment Matrix'!G14),IF(INDEX('Old Assessment Matrix'!$A$1:$BZ$2000,$AB66,G$52)="","",INDEX('Old Assessment Matrix'!$A$1:$BZ$2000,$AB66,G$52)))</f>
        <v>4</v>
      </c>
      <c r="H66" s="78">
        <f>IF(OR($AB66="",H$52=""),IF('Assessment Matrix'!H14="","",'Assessment Matrix'!H14),IF(INDEX('Old Assessment Matrix'!$A$1:$BZ$2000,$AB66,H$52)="","",INDEX('Old Assessment Matrix'!$A$1:$BZ$2000,$AB66,H$52)))</f>
        <v>4</v>
      </c>
      <c r="J66" s="78" t="str">
        <f>IF(OR($AB66="",J$52=""),IF('Assessment Matrix'!J14="","",'Assessment Matrix'!J14),IF(INDEX('Old Assessment Matrix'!$A$1:$BZ$2000,$AB66,J$52)="","",INDEX('Old Assessment Matrix'!$A$1:$BZ$2000,$AB66,J$52)))</f>
        <v/>
      </c>
      <c r="K66" s="78" t="str">
        <f>IF(OR($AB66="",K$52=""),IF('Assessment Matrix'!K14="","",'Assessment Matrix'!K14),IF(INDEX('Old Assessment Matrix'!$A$1:$BZ$2000,$AB66,K$52)="","",INDEX('Old Assessment Matrix'!$A$1:$BZ$2000,$AB66,K$52)))</f>
        <v/>
      </c>
      <c r="O66" s="78" t="str">
        <f>IF(OR($AB66="",O$52=""),IF('Assessment Matrix'!O14="","",'Assessment Matrix'!O14),IF(INDEX('Old Assessment Matrix'!$A$1:$BZ$2000,$AB66,O$52)="","",INDEX('Old Assessment Matrix'!$A$1:$BZ$2000,$AB66,O$52)))</f>
        <v/>
      </c>
      <c r="P66" s="78" t="str">
        <f>IF(OR($AB66="",P$52=""),IF('Assessment Matrix'!P14="","",'Assessment Matrix'!P14),IF(INDEX('Old Assessment Matrix'!$A$1:$BZ$2000,$AB66,P$52)="","",INDEX('Old Assessment Matrix'!$A$1:$BZ$2000,$AB66,P$52)))</f>
        <v/>
      </c>
      <c r="Q66" s="78" t="str">
        <f>IF(OR($AB66="",Q$52=""),IF('Assessment Matrix'!Q14="","",'Assessment Matrix'!Q14),IF(INDEX('Old Assessment Matrix'!$A$1:$BZ$2000,$AB66,Q$52)="","",INDEX('Old Assessment Matrix'!$A$1:$BZ$2000,$AB66,Q$52)))</f>
        <v/>
      </c>
      <c r="R66" s="80" t="str">
        <f>IF(OR($AB66="",R$52=""),IF('Assessment Matrix'!R14="","",'Assessment Matrix'!R14),IF(INDEX('Old Assessment Matrix'!$A$1:$BZ$2000,$AB66,R$52)="","",INDEX('Old Assessment Matrix'!$A$1:$BZ$2000,$AB66,R$52)))</f>
        <v/>
      </c>
      <c r="S66" s="78" t="str">
        <f>IF(OR($AB66="",S$52=""),IF('Assessment Matrix'!S14="","",'Assessment Matrix'!S14),IF(INDEX('Old Assessment Matrix'!$A$1:$BZ$2000,$AB66,S$52)="","",INDEX('Old Assessment Matrix'!$A$1:$BZ$2000,$AB66,S$52)))</f>
        <v/>
      </c>
      <c r="T66" s="78" t="str">
        <f>IF(OR($AB66="",T$52=""),IF('Assessment Matrix'!T14="","",'Assessment Matrix'!T14),IF(INDEX('Old Assessment Matrix'!$A$1:$BZ$2000,$AB66,T$52)="","",INDEX('Old Assessment Matrix'!$A$1:$BZ$2000,$AB66,T$52)))</f>
        <v/>
      </c>
      <c r="X66" s="78" t="str">
        <f>IF(OR($AB66="",X$52=""),IF('Assessment Matrix'!X14="","",'Assessment Matrix'!X14),IF(INDEX('Old Assessment Matrix'!$A$1:$BZ$2000,$AB66,X$52)="","",INDEX('Old Assessment Matrix'!$A$1:$BZ$2000,$AB66,X$52)))</f>
        <v/>
      </c>
      <c r="Y66" s="78" t="str">
        <f>IF(OR($AB66="",Y$52=""),IF('Assessment Matrix'!Y14="","",'Assessment Matrix'!Y14),IF(INDEX('Old Assessment Matrix'!$A$1:$BZ$2000,$AB66,Y$52)="","",INDEX('Old Assessment Matrix'!$A$1:$BZ$2000,$AB66,Y$52)))</f>
        <v/>
      </c>
      <c r="Z66" s="80" t="str">
        <f>IF(OR($AB66="",Z$52=""),IF('Assessment Matrix'!Z14="","",'Assessment Matrix'!Z14),IF(INDEX('Old Assessment Matrix'!$A$1:$BZ$2000,$AB66,Z$52)="","",INDEX('Old Assessment Matrix'!$A$1:$BZ$2000,$AB66,Z$52)))</f>
        <v/>
      </c>
      <c r="AB66" s="79" t="str">
        <f>IFERROR(MATCH($A66,'Old Assessment Matrix'!$A:$A,0),"")</f>
        <v/>
      </c>
      <c r="AC66" s="79" t="str">
        <f t="shared" si="1"/>
        <v>3.1</v>
      </c>
    </row>
    <row r="67" spans="1:29" x14ac:dyDescent="0.3">
      <c r="A67" s="19" t="str">
        <f>'Assessment Matrix'!A15</f>
        <v>3.2</v>
      </c>
      <c r="D67" s="79" t="str">
        <f>'Assessment Matrix'!D15</f>
        <v>Runtime, tools, containers, and integrations follow least privilege and do not require avoidable root, broad Linux capabilities, or broad credentials.</v>
      </c>
      <c r="E67" s="78" t="str">
        <f>IF(OR($AB67="",E$52=""),IF('Assessment Matrix'!E15="","",'Assessment Matrix'!E15),IF(INDEX('Old Assessment Matrix'!$A$1:$BZ$2000,$AB67,E$52)="","",INDEX('Old Assessment Matrix'!$A$1:$BZ$2000,$AB67,E$52)))</f>
        <v>Blocker</v>
      </c>
      <c r="G67" s="78">
        <f>IF(OR($AB67="",G$52=""),IF('Assessment Matrix'!G15="","",'Assessment Matrix'!G15),IF(INDEX('Old Assessment Matrix'!$A$1:$BZ$2000,$AB67,G$52)="","",INDEX('Old Assessment Matrix'!$A$1:$BZ$2000,$AB67,G$52)))</f>
        <v>4</v>
      </c>
      <c r="H67" s="78">
        <f>IF(OR($AB67="",H$52=""),IF('Assessment Matrix'!H15="","",'Assessment Matrix'!H15),IF(INDEX('Old Assessment Matrix'!$A$1:$BZ$2000,$AB67,H$52)="","",INDEX('Old Assessment Matrix'!$A$1:$BZ$2000,$AB67,H$52)))</f>
        <v>5</v>
      </c>
      <c r="J67" s="78" t="str">
        <f>IF(OR($AB67="",J$52=""),IF('Assessment Matrix'!J15="","",'Assessment Matrix'!J15),IF(INDEX('Old Assessment Matrix'!$A$1:$BZ$2000,$AB67,J$52)="","",INDEX('Old Assessment Matrix'!$A$1:$BZ$2000,$AB67,J$52)))</f>
        <v/>
      </c>
      <c r="K67" s="78" t="str">
        <f>IF(OR($AB67="",K$52=""),IF('Assessment Matrix'!K15="","",'Assessment Matrix'!K15),IF(INDEX('Old Assessment Matrix'!$A$1:$BZ$2000,$AB67,K$52)="","",INDEX('Old Assessment Matrix'!$A$1:$BZ$2000,$AB67,K$52)))</f>
        <v/>
      </c>
      <c r="O67" s="78" t="str">
        <f>IF(OR($AB67="",O$52=""),IF('Assessment Matrix'!O15="","",'Assessment Matrix'!O15),IF(INDEX('Old Assessment Matrix'!$A$1:$BZ$2000,$AB67,O$52)="","",INDEX('Old Assessment Matrix'!$A$1:$BZ$2000,$AB67,O$52)))</f>
        <v/>
      </c>
      <c r="P67" s="78" t="str">
        <f>IF(OR($AB67="",P$52=""),IF('Assessment Matrix'!P15="","",'Assessment Matrix'!P15),IF(INDEX('Old Assessment Matrix'!$A$1:$BZ$2000,$AB67,P$52)="","",INDEX('Old Assessment Matrix'!$A$1:$BZ$2000,$AB67,P$52)))</f>
        <v/>
      </c>
      <c r="Q67" s="78" t="str">
        <f>IF(OR($AB67="",Q$52=""),IF('Assessment Matrix'!Q15="","",'Assessment Matrix'!Q15),IF(INDEX('Old Assessment Matrix'!$A$1:$BZ$2000,$AB67,Q$52)="","",INDEX('Old Assessment Matrix'!$A$1:$BZ$2000,$AB67,Q$52)))</f>
        <v/>
      </c>
      <c r="R67" s="80" t="str">
        <f>IF(OR($AB67="",R$52=""),IF('Assessment Matrix'!R15="","",'Assessment Matrix'!R15),IF(INDEX('Old Assessment Matrix'!$A$1:$BZ$2000,$AB67,R$52)="","",INDEX('Old Assessment Matrix'!$A$1:$BZ$2000,$AB67,R$52)))</f>
        <v/>
      </c>
      <c r="S67" s="78" t="str">
        <f>IF(OR($AB67="",S$52=""),IF('Assessment Matrix'!S15="","",'Assessment Matrix'!S15),IF(INDEX('Old Assessment Matrix'!$A$1:$BZ$2000,$AB67,S$52)="","",INDEX('Old Assessment Matrix'!$A$1:$BZ$2000,$AB67,S$52)))</f>
        <v/>
      </c>
      <c r="T67" s="78" t="str">
        <f>IF(OR($AB67="",T$52=""),IF('Assessment Matrix'!T15="","",'Assessment Matrix'!T15),IF(INDEX('Old Assessment Matrix'!$A$1:$BZ$2000,$AB67,T$52)="","",INDEX('Old Assessment Matrix'!$A$1:$BZ$2000,$AB67,T$52)))</f>
        <v/>
      </c>
      <c r="X67" s="78" t="str">
        <f>IF(OR($AB67="",X$52=""),IF('Assessment Matrix'!X15="","",'Assessment Matrix'!X15),IF(INDEX('Old Assessment Matrix'!$A$1:$BZ$2000,$AB67,X$52)="","",INDEX('Old Assessment Matrix'!$A$1:$BZ$2000,$AB67,X$52)))</f>
        <v/>
      </c>
      <c r="Y67" s="78" t="str">
        <f>IF(OR($AB67="",Y$52=""),IF('Assessment Matrix'!Y15="","",'Assessment Matrix'!Y15),IF(INDEX('Old Assessment Matrix'!$A$1:$BZ$2000,$AB67,Y$52)="","",INDEX('Old Assessment Matrix'!$A$1:$BZ$2000,$AB67,Y$52)))</f>
        <v/>
      </c>
      <c r="Z67" s="80" t="str">
        <f>IF(OR($AB67="",Z$52=""),IF('Assessment Matrix'!Z15="","",'Assessment Matrix'!Z15),IF(INDEX('Old Assessment Matrix'!$A$1:$BZ$2000,$AB67,Z$52)="","",INDEX('Old Assessment Matrix'!$A$1:$BZ$2000,$AB67,Z$52)))</f>
        <v/>
      </c>
      <c r="AB67" s="79" t="str">
        <f>IFERROR(MATCH($A67,'Old Assessment Matrix'!$A:$A,0),"")</f>
        <v/>
      </c>
      <c r="AC67" s="79" t="str">
        <f t="shared" si="1"/>
        <v>3.2</v>
      </c>
    </row>
    <row r="68" spans="1:29" x14ac:dyDescent="0.3">
      <c r="A68" s="19" t="str">
        <f>'Assessment Matrix'!A16</f>
        <v>3.3</v>
      </c>
      <c r="D68" s="79" t="str">
        <f>'Assessment Matrix'!D16</f>
        <v>Authentication, authorization, tenant/user segregation, and privileged admin access are defined and tested.</v>
      </c>
      <c r="E68" s="78" t="str">
        <f>IF(OR($AB68="",E$52=""),IF('Assessment Matrix'!E16="","",'Assessment Matrix'!E16),IF(INDEX('Old Assessment Matrix'!$A$1:$BZ$2000,$AB68,E$52)="","",INDEX('Old Assessment Matrix'!$A$1:$BZ$2000,$AB68,E$52)))</f>
        <v>Blocker</v>
      </c>
      <c r="G68" s="78">
        <f>IF(OR($AB68="",G$52=""),IF('Assessment Matrix'!G16="","",'Assessment Matrix'!G16),IF(INDEX('Old Assessment Matrix'!$A$1:$BZ$2000,$AB68,G$52)="","",INDEX('Old Assessment Matrix'!$A$1:$BZ$2000,$AB68,G$52)))</f>
        <v>4</v>
      </c>
      <c r="H68" s="78">
        <f>IF(OR($AB68="",H$52=""),IF('Assessment Matrix'!H16="","",'Assessment Matrix'!H16),IF(INDEX('Old Assessment Matrix'!$A$1:$BZ$2000,$AB68,H$52)="","",INDEX('Old Assessment Matrix'!$A$1:$BZ$2000,$AB68,H$52)))</f>
        <v>5</v>
      </c>
      <c r="J68" s="78" t="str">
        <f>IF(OR($AB68="",J$52=""),IF('Assessment Matrix'!J16="","",'Assessment Matrix'!J16),IF(INDEX('Old Assessment Matrix'!$A$1:$BZ$2000,$AB68,J$52)="","",INDEX('Old Assessment Matrix'!$A$1:$BZ$2000,$AB68,J$52)))</f>
        <v/>
      </c>
      <c r="K68" s="78" t="str">
        <f>IF(OR($AB68="",K$52=""),IF('Assessment Matrix'!K16="","",'Assessment Matrix'!K16),IF(INDEX('Old Assessment Matrix'!$A$1:$BZ$2000,$AB68,K$52)="","",INDEX('Old Assessment Matrix'!$A$1:$BZ$2000,$AB68,K$52)))</f>
        <v/>
      </c>
      <c r="O68" s="78" t="str">
        <f>IF(OR($AB68="",O$52=""),IF('Assessment Matrix'!O16="","",'Assessment Matrix'!O16),IF(INDEX('Old Assessment Matrix'!$A$1:$BZ$2000,$AB68,O$52)="","",INDEX('Old Assessment Matrix'!$A$1:$BZ$2000,$AB68,O$52)))</f>
        <v/>
      </c>
      <c r="P68" s="78" t="str">
        <f>IF(OR($AB68="",P$52=""),IF('Assessment Matrix'!P16="","",'Assessment Matrix'!P16),IF(INDEX('Old Assessment Matrix'!$A$1:$BZ$2000,$AB68,P$52)="","",INDEX('Old Assessment Matrix'!$A$1:$BZ$2000,$AB68,P$52)))</f>
        <v/>
      </c>
      <c r="Q68" s="78" t="str">
        <f>IF(OR($AB68="",Q$52=""),IF('Assessment Matrix'!Q16="","",'Assessment Matrix'!Q16),IF(INDEX('Old Assessment Matrix'!$A$1:$BZ$2000,$AB68,Q$52)="","",INDEX('Old Assessment Matrix'!$A$1:$BZ$2000,$AB68,Q$52)))</f>
        <v/>
      </c>
      <c r="R68" s="80" t="str">
        <f>IF(OR($AB68="",R$52=""),IF('Assessment Matrix'!R16="","",'Assessment Matrix'!R16),IF(INDEX('Old Assessment Matrix'!$A$1:$BZ$2000,$AB68,R$52)="","",INDEX('Old Assessment Matrix'!$A$1:$BZ$2000,$AB68,R$52)))</f>
        <v/>
      </c>
      <c r="S68" s="78" t="str">
        <f>IF(OR($AB68="",S$52=""),IF('Assessment Matrix'!S16="","",'Assessment Matrix'!S16),IF(INDEX('Old Assessment Matrix'!$A$1:$BZ$2000,$AB68,S$52)="","",INDEX('Old Assessment Matrix'!$A$1:$BZ$2000,$AB68,S$52)))</f>
        <v/>
      </c>
      <c r="T68" s="78" t="str">
        <f>IF(OR($AB68="",T$52=""),IF('Assessment Matrix'!T16="","",'Assessment Matrix'!T16),IF(INDEX('Old Assessment Matrix'!$A$1:$BZ$2000,$AB68,T$52)="","",INDEX('Old Assessment Matrix'!$A$1:$BZ$2000,$AB68,T$52)))</f>
        <v/>
      </c>
      <c r="X68" s="78" t="str">
        <f>IF(OR($AB68="",X$52=""),IF('Assessment Matrix'!X16="","",'Assessment Matrix'!X16),IF(INDEX('Old Assessment Matrix'!$A$1:$BZ$2000,$AB68,X$52)="","",INDEX('Old Assessment Matrix'!$A$1:$BZ$2000,$AB68,X$52)))</f>
        <v/>
      </c>
      <c r="Y68" s="78" t="str">
        <f>IF(OR($AB68="",Y$52=""),IF('Assessment Matrix'!Y16="","",'Assessment Matrix'!Y16),IF(INDEX('Old Assessment Matrix'!$A$1:$BZ$2000,$AB68,Y$52)="","",INDEX('Old Assessment Matrix'!$A$1:$BZ$2000,$AB68,Y$52)))</f>
        <v/>
      </c>
      <c r="Z68" s="80" t="str">
        <f>IF(OR($AB68="",Z$52=""),IF('Assessment Matrix'!Z16="","",'Assessment Matrix'!Z16),IF(INDEX('Old Assessment Matrix'!$A$1:$BZ$2000,$AB68,Z$52)="","",INDEX('Old Assessment Matrix'!$A$1:$BZ$2000,$AB68,Z$52)))</f>
        <v/>
      </c>
      <c r="AB68" s="79" t="str">
        <f>IFERROR(MATCH($A68,'Old Assessment Matrix'!$A:$A,0),"")</f>
        <v/>
      </c>
      <c r="AC68" s="79" t="str">
        <f t="shared" si="1"/>
        <v>3.3</v>
      </c>
    </row>
    <row r="69" spans="1:29" x14ac:dyDescent="0.3">
      <c r="A69" s="19" t="str">
        <f>'Assessment Matrix'!A17</f>
        <v>3.4</v>
      </c>
      <c r="D69" s="79" t="str">
        <f>'Assessment Matrix'!D17</f>
        <v>Secrets, credentials, tokens, and sensitive system prompts are not exposed to user-controllable context or model output.</v>
      </c>
      <c r="E69" s="78" t="str">
        <f>IF(OR($AB69="",E$52=""),IF('Assessment Matrix'!E17="","",'Assessment Matrix'!E17),IF(INDEX('Old Assessment Matrix'!$A$1:$BZ$2000,$AB69,E$52)="","",INDEX('Old Assessment Matrix'!$A$1:$BZ$2000,$AB69,E$52)))</f>
        <v>Blocker</v>
      </c>
      <c r="G69" s="78">
        <f>IF(OR($AB69="",G$52=""),IF('Assessment Matrix'!G17="","",'Assessment Matrix'!G17),IF(INDEX('Old Assessment Matrix'!$A$1:$BZ$2000,$AB69,G$52)="","",INDEX('Old Assessment Matrix'!$A$1:$BZ$2000,$AB69,G$52)))</f>
        <v>4</v>
      </c>
      <c r="H69" s="78">
        <f>IF(OR($AB69="",H$52=""),IF('Assessment Matrix'!H17="","",'Assessment Matrix'!H17),IF(INDEX('Old Assessment Matrix'!$A$1:$BZ$2000,$AB69,H$52)="","",INDEX('Old Assessment Matrix'!$A$1:$BZ$2000,$AB69,H$52)))</f>
        <v>5</v>
      </c>
      <c r="J69" s="78" t="str">
        <f>IF(OR($AB69="",J$52=""),IF('Assessment Matrix'!J17="","",'Assessment Matrix'!J17),IF(INDEX('Old Assessment Matrix'!$A$1:$BZ$2000,$AB69,J$52)="","",INDEX('Old Assessment Matrix'!$A$1:$BZ$2000,$AB69,J$52)))</f>
        <v/>
      </c>
      <c r="K69" s="78" t="str">
        <f>IF(OR($AB69="",K$52=""),IF('Assessment Matrix'!K17="","",'Assessment Matrix'!K17),IF(INDEX('Old Assessment Matrix'!$A$1:$BZ$2000,$AB69,K$52)="","",INDEX('Old Assessment Matrix'!$A$1:$BZ$2000,$AB69,K$52)))</f>
        <v/>
      </c>
      <c r="O69" s="78" t="str">
        <f>IF(OR($AB69="",O$52=""),IF('Assessment Matrix'!O17="","",'Assessment Matrix'!O17),IF(INDEX('Old Assessment Matrix'!$A$1:$BZ$2000,$AB69,O$52)="","",INDEX('Old Assessment Matrix'!$A$1:$BZ$2000,$AB69,O$52)))</f>
        <v/>
      </c>
      <c r="P69" s="78" t="str">
        <f>IF(OR($AB69="",P$52=""),IF('Assessment Matrix'!P17="","",'Assessment Matrix'!P17),IF(INDEX('Old Assessment Matrix'!$A$1:$BZ$2000,$AB69,P$52)="","",INDEX('Old Assessment Matrix'!$A$1:$BZ$2000,$AB69,P$52)))</f>
        <v/>
      </c>
      <c r="Q69" s="78" t="str">
        <f>IF(OR($AB69="",Q$52=""),IF('Assessment Matrix'!Q17="","",'Assessment Matrix'!Q17),IF(INDEX('Old Assessment Matrix'!$A$1:$BZ$2000,$AB69,Q$52)="","",INDEX('Old Assessment Matrix'!$A$1:$BZ$2000,$AB69,Q$52)))</f>
        <v/>
      </c>
      <c r="R69" s="80" t="str">
        <f>IF(OR($AB69="",R$52=""),IF('Assessment Matrix'!R17="","",'Assessment Matrix'!R17),IF(INDEX('Old Assessment Matrix'!$A$1:$BZ$2000,$AB69,R$52)="","",INDEX('Old Assessment Matrix'!$A$1:$BZ$2000,$AB69,R$52)))</f>
        <v/>
      </c>
      <c r="S69" s="78" t="str">
        <f>IF(OR($AB69="",S$52=""),IF('Assessment Matrix'!S17="","",'Assessment Matrix'!S17),IF(INDEX('Old Assessment Matrix'!$A$1:$BZ$2000,$AB69,S$52)="","",INDEX('Old Assessment Matrix'!$A$1:$BZ$2000,$AB69,S$52)))</f>
        <v/>
      </c>
      <c r="T69" s="78" t="str">
        <f>IF(OR($AB69="",T$52=""),IF('Assessment Matrix'!T17="","",'Assessment Matrix'!T17),IF(INDEX('Old Assessment Matrix'!$A$1:$BZ$2000,$AB69,T$52)="","",INDEX('Old Assessment Matrix'!$A$1:$BZ$2000,$AB69,T$52)))</f>
        <v/>
      </c>
      <c r="X69" s="78" t="str">
        <f>IF(OR($AB69="",X$52=""),IF('Assessment Matrix'!X17="","",'Assessment Matrix'!X17),IF(INDEX('Old Assessment Matrix'!$A$1:$BZ$2000,$AB69,X$52)="","",INDEX('Old Assessment Matrix'!$A$1:$BZ$2000,$AB69,X$52)))</f>
        <v/>
      </c>
      <c r="Y69" s="78" t="str">
        <f>IF(OR($AB69="",Y$52=""),IF('Assessment Matrix'!Y17="","",'Assessment Matrix'!Y17),IF(INDEX('Old Assessment Matrix'!$A$1:$BZ$2000,$AB69,Y$52)="","",INDEX('Old Assessment Matrix'!$A$1:$BZ$2000,$AB69,Y$52)))</f>
        <v/>
      </c>
      <c r="Z69" s="80" t="str">
        <f>IF(OR($AB69="",Z$52=""),IF('Assessment Matrix'!Z17="","",'Assessment Matrix'!Z17),IF(INDEX('Old Assessment Matrix'!$A$1:$BZ$2000,$AB69,Z$52)="","",INDEX('Old Assessment Matrix'!$A$1:$BZ$2000,$AB69,Z$52)))</f>
        <v/>
      </c>
      <c r="AB69" s="79" t="str">
        <f>IFERROR(MATCH($A69,'Old Assessment Matrix'!$A:$A,0),"")</f>
        <v/>
      </c>
      <c r="AC69" s="79" t="str">
        <f t="shared" si="1"/>
        <v>3.4</v>
      </c>
    </row>
    <row r="70" spans="1:29" x14ac:dyDescent="0.3">
      <c r="A70" s="19" t="str">
        <f>'Assessment Matrix'!A18</f>
        <v>3.5</v>
      </c>
      <c r="D70" s="79" t="str">
        <f>'Assessment Matrix'!D18</f>
        <v>Retrieval data is scoped to user entitlements and protected against cross-tenant or cross-project leakage.</v>
      </c>
      <c r="E70" s="78" t="str">
        <f>IF(OR($AB70="",E$52=""),IF('Assessment Matrix'!E18="","",'Assessment Matrix'!E18),IF(INDEX('Old Assessment Matrix'!$A$1:$BZ$2000,$AB70,E$52)="","",INDEX('Old Assessment Matrix'!$A$1:$BZ$2000,$AB70,E$52)))</f>
        <v>Blocker</v>
      </c>
      <c r="G70" s="78">
        <f>IF(OR($AB70="",G$52=""),IF('Assessment Matrix'!G18="","",'Assessment Matrix'!G18),IF(INDEX('Old Assessment Matrix'!$A$1:$BZ$2000,$AB70,G$52)="","",INDEX('Old Assessment Matrix'!$A$1:$BZ$2000,$AB70,G$52)))</f>
        <v>4</v>
      </c>
      <c r="H70" s="78">
        <f>IF(OR($AB70="",H$52=""),IF('Assessment Matrix'!H18="","",'Assessment Matrix'!H18),IF(INDEX('Old Assessment Matrix'!$A$1:$BZ$2000,$AB70,H$52)="","",INDEX('Old Assessment Matrix'!$A$1:$BZ$2000,$AB70,H$52)))</f>
        <v>5</v>
      </c>
      <c r="J70" s="78" t="str">
        <f>IF(OR($AB70="",J$52=""),IF('Assessment Matrix'!J18="","",'Assessment Matrix'!J18),IF(INDEX('Old Assessment Matrix'!$A$1:$BZ$2000,$AB70,J$52)="","",INDEX('Old Assessment Matrix'!$A$1:$BZ$2000,$AB70,J$52)))</f>
        <v/>
      </c>
      <c r="K70" s="78" t="str">
        <f>IF(OR($AB70="",K$52=""),IF('Assessment Matrix'!K18="","",'Assessment Matrix'!K18),IF(INDEX('Old Assessment Matrix'!$A$1:$BZ$2000,$AB70,K$52)="","",INDEX('Old Assessment Matrix'!$A$1:$BZ$2000,$AB70,K$52)))</f>
        <v/>
      </c>
      <c r="O70" s="78" t="str">
        <f>IF(OR($AB70="",O$52=""),IF('Assessment Matrix'!O18="","",'Assessment Matrix'!O18),IF(INDEX('Old Assessment Matrix'!$A$1:$BZ$2000,$AB70,O$52)="","",INDEX('Old Assessment Matrix'!$A$1:$BZ$2000,$AB70,O$52)))</f>
        <v/>
      </c>
      <c r="P70" s="78" t="str">
        <f>IF(OR($AB70="",P$52=""),IF('Assessment Matrix'!P18="","",'Assessment Matrix'!P18),IF(INDEX('Old Assessment Matrix'!$A$1:$BZ$2000,$AB70,P$52)="","",INDEX('Old Assessment Matrix'!$A$1:$BZ$2000,$AB70,P$52)))</f>
        <v/>
      </c>
      <c r="Q70" s="78" t="str">
        <f>IF(OR($AB70="",Q$52=""),IF('Assessment Matrix'!Q18="","",'Assessment Matrix'!Q18),IF(INDEX('Old Assessment Matrix'!$A$1:$BZ$2000,$AB70,Q$52)="","",INDEX('Old Assessment Matrix'!$A$1:$BZ$2000,$AB70,Q$52)))</f>
        <v/>
      </c>
      <c r="R70" s="80" t="str">
        <f>IF(OR($AB70="",R$52=""),IF('Assessment Matrix'!R18="","",'Assessment Matrix'!R18),IF(INDEX('Old Assessment Matrix'!$A$1:$BZ$2000,$AB70,R$52)="","",INDEX('Old Assessment Matrix'!$A$1:$BZ$2000,$AB70,R$52)))</f>
        <v/>
      </c>
      <c r="S70" s="78" t="str">
        <f>IF(OR($AB70="",S$52=""),IF('Assessment Matrix'!S18="","",'Assessment Matrix'!S18),IF(INDEX('Old Assessment Matrix'!$A$1:$BZ$2000,$AB70,S$52)="","",INDEX('Old Assessment Matrix'!$A$1:$BZ$2000,$AB70,S$52)))</f>
        <v/>
      </c>
      <c r="T70" s="78" t="str">
        <f>IF(OR($AB70="",T$52=""),IF('Assessment Matrix'!T18="","",'Assessment Matrix'!T18),IF(INDEX('Old Assessment Matrix'!$A$1:$BZ$2000,$AB70,T$52)="","",INDEX('Old Assessment Matrix'!$A$1:$BZ$2000,$AB70,T$52)))</f>
        <v/>
      </c>
      <c r="X70" s="78" t="str">
        <f>IF(OR($AB70="",X$52=""),IF('Assessment Matrix'!X18="","",'Assessment Matrix'!X18),IF(INDEX('Old Assessment Matrix'!$A$1:$BZ$2000,$AB70,X$52)="","",INDEX('Old Assessment Matrix'!$A$1:$BZ$2000,$AB70,X$52)))</f>
        <v/>
      </c>
      <c r="Y70" s="78" t="str">
        <f>IF(OR($AB70="",Y$52=""),IF('Assessment Matrix'!Y18="","",'Assessment Matrix'!Y18),IF(INDEX('Old Assessment Matrix'!$A$1:$BZ$2000,$AB70,Y$52)="","",INDEX('Old Assessment Matrix'!$A$1:$BZ$2000,$AB70,Y$52)))</f>
        <v/>
      </c>
      <c r="Z70" s="80" t="str">
        <f>IF(OR($AB70="",Z$52=""),IF('Assessment Matrix'!Z18="","",'Assessment Matrix'!Z18),IF(INDEX('Old Assessment Matrix'!$A$1:$BZ$2000,$AB70,Z$52)="","",INDEX('Old Assessment Matrix'!$A$1:$BZ$2000,$AB70,Z$52)))</f>
        <v/>
      </c>
      <c r="AB70" s="79" t="str">
        <f>IFERROR(MATCH($A70,'Old Assessment Matrix'!$A:$A,0),"")</f>
        <v/>
      </c>
      <c r="AC70" s="79" t="str">
        <f t="shared" si="1"/>
        <v>3.5</v>
      </c>
    </row>
    <row r="71" spans="1:29" x14ac:dyDescent="0.3">
      <c r="A71" s="19" t="str">
        <f>'Assessment Matrix'!A19</f>
        <v>3.6</v>
      </c>
      <c r="D71" s="79" t="str">
        <f>'Assessment Matrix'!D19</f>
        <v>Outputs are treated as untrusted and validated/sandboxed before execution, rendering, or downstream action.</v>
      </c>
      <c r="E71" s="78" t="str">
        <f>IF(OR($AB71="",E$52=""),IF('Assessment Matrix'!E19="","",'Assessment Matrix'!E19),IF(INDEX('Old Assessment Matrix'!$A$1:$BZ$2000,$AB71,E$52)="","",INDEX('Old Assessment Matrix'!$A$1:$BZ$2000,$AB71,E$52)))</f>
        <v>Blocker</v>
      </c>
      <c r="G71" s="78">
        <f>IF(OR($AB71="",G$52=""),IF('Assessment Matrix'!G19="","",'Assessment Matrix'!G19),IF(INDEX('Old Assessment Matrix'!$A$1:$BZ$2000,$AB71,G$52)="","",INDEX('Old Assessment Matrix'!$A$1:$BZ$2000,$AB71,G$52)))</f>
        <v>4</v>
      </c>
      <c r="H71" s="78">
        <f>IF(OR($AB71="",H$52=""),IF('Assessment Matrix'!H19="","",'Assessment Matrix'!H19),IF(INDEX('Old Assessment Matrix'!$A$1:$BZ$2000,$AB71,H$52)="","",INDEX('Old Assessment Matrix'!$A$1:$BZ$2000,$AB71,H$52)))</f>
        <v>5</v>
      </c>
      <c r="J71" s="78" t="str">
        <f>IF(OR($AB71="",J$52=""),IF('Assessment Matrix'!J19="","",'Assessment Matrix'!J19),IF(INDEX('Old Assessment Matrix'!$A$1:$BZ$2000,$AB71,J$52)="","",INDEX('Old Assessment Matrix'!$A$1:$BZ$2000,$AB71,J$52)))</f>
        <v/>
      </c>
      <c r="K71" s="78" t="str">
        <f>IF(OR($AB71="",K$52=""),IF('Assessment Matrix'!K19="","",'Assessment Matrix'!K19),IF(INDEX('Old Assessment Matrix'!$A$1:$BZ$2000,$AB71,K$52)="","",INDEX('Old Assessment Matrix'!$A$1:$BZ$2000,$AB71,K$52)))</f>
        <v/>
      </c>
      <c r="O71" s="78" t="str">
        <f>IF(OR($AB71="",O$52=""),IF('Assessment Matrix'!O19="","",'Assessment Matrix'!O19),IF(INDEX('Old Assessment Matrix'!$A$1:$BZ$2000,$AB71,O$52)="","",INDEX('Old Assessment Matrix'!$A$1:$BZ$2000,$AB71,O$52)))</f>
        <v/>
      </c>
      <c r="P71" s="78" t="str">
        <f>IF(OR($AB71="",P$52=""),IF('Assessment Matrix'!P19="","",'Assessment Matrix'!P19),IF(INDEX('Old Assessment Matrix'!$A$1:$BZ$2000,$AB71,P$52)="","",INDEX('Old Assessment Matrix'!$A$1:$BZ$2000,$AB71,P$52)))</f>
        <v/>
      </c>
      <c r="Q71" s="78" t="str">
        <f>IF(OR($AB71="",Q$52=""),IF('Assessment Matrix'!Q19="","",'Assessment Matrix'!Q19),IF(INDEX('Old Assessment Matrix'!$A$1:$BZ$2000,$AB71,Q$52)="","",INDEX('Old Assessment Matrix'!$A$1:$BZ$2000,$AB71,Q$52)))</f>
        <v/>
      </c>
      <c r="R71" s="80" t="str">
        <f>IF(OR($AB71="",R$52=""),IF('Assessment Matrix'!R19="","",'Assessment Matrix'!R19),IF(INDEX('Old Assessment Matrix'!$A$1:$BZ$2000,$AB71,R$52)="","",INDEX('Old Assessment Matrix'!$A$1:$BZ$2000,$AB71,R$52)))</f>
        <v/>
      </c>
      <c r="S71" s="78" t="str">
        <f>IF(OR($AB71="",S$52=""),IF('Assessment Matrix'!S19="","",'Assessment Matrix'!S19),IF(INDEX('Old Assessment Matrix'!$A$1:$BZ$2000,$AB71,S$52)="","",INDEX('Old Assessment Matrix'!$A$1:$BZ$2000,$AB71,S$52)))</f>
        <v/>
      </c>
      <c r="T71" s="78" t="str">
        <f>IF(OR($AB71="",T$52=""),IF('Assessment Matrix'!T19="","",'Assessment Matrix'!T19),IF(INDEX('Old Assessment Matrix'!$A$1:$BZ$2000,$AB71,T$52)="","",INDEX('Old Assessment Matrix'!$A$1:$BZ$2000,$AB71,T$52)))</f>
        <v/>
      </c>
      <c r="X71" s="78" t="str">
        <f>IF(OR($AB71="",X$52=""),IF('Assessment Matrix'!X19="","",'Assessment Matrix'!X19),IF(INDEX('Old Assessment Matrix'!$A$1:$BZ$2000,$AB71,X$52)="","",INDEX('Old Assessment Matrix'!$A$1:$BZ$2000,$AB71,X$52)))</f>
        <v/>
      </c>
      <c r="Y71" s="78" t="str">
        <f>IF(OR($AB71="",Y$52=""),IF('Assessment Matrix'!Y19="","",'Assessment Matrix'!Y19),IF(INDEX('Old Assessment Matrix'!$A$1:$BZ$2000,$AB71,Y$52)="","",INDEX('Old Assessment Matrix'!$A$1:$BZ$2000,$AB71,Y$52)))</f>
        <v/>
      </c>
      <c r="Z71" s="80" t="str">
        <f>IF(OR($AB71="",Z$52=""),IF('Assessment Matrix'!Z19="","",'Assessment Matrix'!Z19),IF(INDEX('Old Assessment Matrix'!$A$1:$BZ$2000,$AB71,Z$52)="","",INDEX('Old Assessment Matrix'!$A$1:$BZ$2000,$AB71,Z$52)))</f>
        <v/>
      </c>
      <c r="AB71" s="79" t="str">
        <f>IFERROR(MATCH($A71,'Old Assessment Matrix'!$A:$A,0),"")</f>
        <v/>
      </c>
      <c r="AC71" s="79" t="str">
        <f t="shared" si="1"/>
        <v>3.6</v>
      </c>
    </row>
    <row r="72" spans="1:29" x14ac:dyDescent="0.3">
      <c r="A72" s="19" t="str">
        <f>'Assessment Matrix'!A20</f>
        <v>3.7</v>
      </c>
      <c r="D72" s="79" t="str">
        <f>'Assessment Matrix'!D20</f>
        <v>If deployed in or adjacent to production/OT environments: OT networks and safety functions are segregated, and the system has no unvalidated write path into control systems.</v>
      </c>
      <c r="E72" s="78" t="str">
        <f>IF(OR($AB72="",E$52=""),IF('Assessment Matrix'!E20="","",'Assessment Matrix'!E20),IF(INDEX('Old Assessment Matrix'!$A$1:$BZ$2000,$AB72,E$52)="","",INDEX('Old Assessment Matrix'!$A$1:$BZ$2000,$AB72,E$52)))</f>
        <v>Blocker</v>
      </c>
      <c r="G72" s="78">
        <f>IF(OR($AB72="",G$52=""),IF('Assessment Matrix'!G20="","",'Assessment Matrix'!G20),IF(INDEX('Old Assessment Matrix'!$A$1:$BZ$2000,$AB72,G$52)="","",INDEX('Old Assessment Matrix'!$A$1:$BZ$2000,$AB72,G$52)))</f>
        <v>3</v>
      </c>
      <c r="H72" s="78">
        <f>IF(OR($AB72="",H$52=""),IF('Assessment Matrix'!H20="","",'Assessment Matrix'!H20),IF(INDEX('Old Assessment Matrix'!$A$1:$BZ$2000,$AB72,H$52)="","",INDEX('Old Assessment Matrix'!$A$1:$BZ$2000,$AB72,H$52)))</f>
        <v>5</v>
      </c>
      <c r="J72" s="78" t="str">
        <f>IF(OR($AB72="",J$52=""),IF('Assessment Matrix'!J20="","",'Assessment Matrix'!J20),IF(INDEX('Old Assessment Matrix'!$A$1:$BZ$2000,$AB72,J$52)="","",INDEX('Old Assessment Matrix'!$A$1:$BZ$2000,$AB72,J$52)))</f>
        <v/>
      </c>
      <c r="K72" s="78" t="str">
        <f>IF(OR($AB72="",K$52=""),IF('Assessment Matrix'!K20="","",'Assessment Matrix'!K20),IF(INDEX('Old Assessment Matrix'!$A$1:$BZ$2000,$AB72,K$52)="","",INDEX('Old Assessment Matrix'!$A$1:$BZ$2000,$AB72,K$52)))</f>
        <v/>
      </c>
      <c r="O72" s="78" t="str">
        <f>IF(OR($AB72="",O$52=""),IF('Assessment Matrix'!O20="","",'Assessment Matrix'!O20),IF(INDEX('Old Assessment Matrix'!$A$1:$BZ$2000,$AB72,O$52)="","",INDEX('Old Assessment Matrix'!$A$1:$BZ$2000,$AB72,O$52)))</f>
        <v/>
      </c>
      <c r="P72" s="78" t="str">
        <f>IF(OR($AB72="",P$52=""),IF('Assessment Matrix'!P20="","",'Assessment Matrix'!P20),IF(INDEX('Old Assessment Matrix'!$A$1:$BZ$2000,$AB72,P$52)="","",INDEX('Old Assessment Matrix'!$A$1:$BZ$2000,$AB72,P$52)))</f>
        <v/>
      </c>
      <c r="Q72" s="78" t="str">
        <f>IF(OR($AB72="",Q$52=""),IF('Assessment Matrix'!Q20="","",'Assessment Matrix'!Q20),IF(INDEX('Old Assessment Matrix'!$A$1:$BZ$2000,$AB72,Q$52)="","",INDEX('Old Assessment Matrix'!$A$1:$BZ$2000,$AB72,Q$52)))</f>
        <v/>
      </c>
      <c r="R72" s="80" t="str">
        <f>IF(OR($AB72="",R$52=""),IF('Assessment Matrix'!R20="","",'Assessment Matrix'!R20),IF(INDEX('Old Assessment Matrix'!$A$1:$BZ$2000,$AB72,R$52)="","",INDEX('Old Assessment Matrix'!$A$1:$BZ$2000,$AB72,R$52)))</f>
        <v/>
      </c>
      <c r="S72" s="78" t="str">
        <f>IF(OR($AB72="",S$52=""),IF('Assessment Matrix'!S20="","",'Assessment Matrix'!S20),IF(INDEX('Old Assessment Matrix'!$A$1:$BZ$2000,$AB72,S$52)="","",INDEX('Old Assessment Matrix'!$A$1:$BZ$2000,$AB72,S$52)))</f>
        <v/>
      </c>
      <c r="T72" s="78" t="str">
        <f>IF(OR($AB72="",T$52=""),IF('Assessment Matrix'!T20="","",'Assessment Matrix'!T20),IF(INDEX('Old Assessment Matrix'!$A$1:$BZ$2000,$AB72,T$52)="","",INDEX('Old Assessment Matrix'!$A$1:$BZ$2000,$AB72,T$52)))</f>
        <v/>
      </c>
      <c r="X72" s="78" t="str">
        <f>IF(OR($AB72="",X$52=""),IF('Assessment Matrix'!X20="","",'Assessment Matrix'!X20),IF(INDEX('Old Assessment Matrix'!$A$1:$BZ$2000,$AB72,X$52)="","",INDEX('Old Assessment Matrix'!$A$1:$BZ$2000,$AB72,X$52)))</f>
        <v/>
      </c>
      <c r="Y72" s="78" t="str">
        <f>IF(OR($AB72="",Y$52=""),IF('Assessment Matrix'!Y20="","",'Assessment Matrix'!Y20),IF(INDEX('Old Assessment Matrix'!$A$1:$BZ$2000,$AB72,Y$52)="","",INDEX('Old Assessment Matrix'!$A$1:$BZ$2000,$AB72,Y$52)))</f>
        <v/>
      </c>
      <c r="Z72" s="80" t="str">
        <f>IF(OR($AB72="",Z$52=""),IF('Assessment Matrix'!Z20="","",'Assessment Matrix'!Z20),IF(INDEX('Old Assessment Matrix'!$A$1:$BZ$2000,$AB72,Z$52)="","",INDEX('Old Assessment Matrix'!$A$1:$BZ$2000,$AB72,Z$52)))</f>
        <v/>
      </c>
      <c r="AB72" s="79" t="str">
        <f>IFERROR(MATCH($A72,'Old Assessment Matrix'!$A:$A,0),"")</f>
        <v/>
      </c>
      <c r="AC72" s="79" t="str">
        <f t="shared" si="1"/>
        <v>3.7</v>
      </c>
    </row>
    <row r="73" spans="1:29" x14ac:dyDescent="0.3">
      <c r="A73" s="19" t="str">
        <f>'Assessment Matrix'!A21</f>
        <v>3.8</v>
      </c>
      <c r="D73" s="79" t="str">
        <f>'Assessment Matrix'!D21</f>
        <v>Conversational context and session state are isolated between users, sessions, and tenants; no cross-session leakage of prompts, history, or retrieved content.</v>
      </c>
      <c r="E73" s="78" t="str">
        <f>IF(OR($AB73="",E$52=""),IF('Assessment Matrix'!E21="","",'Assessment Matrix'!E21),IF(INDEX('Old Assessment Matrix'!$A$1:$BZ$2000,$AB73,E$52)="","",INDEX('Old Assessment Matrix'!$A$1:$BZ$2000,$AB73,E$52)))</f>
        <v>Blocker</v>
      </c>
      <c r="G73" s="78">
        <f>IF(OR($AB73="",G$52=""),IF('Assessment Matrix'!G21="","",'Assessment Matrix'!G21),IF(INDEX('Old Assessment Matrix'!$A$1:$BZ$2000,$AB73,G$52)="","",INDEX('Old Assessment Matrix'!$A$1:$BZ$2000,$AB73,G$52)))</f>
        <v>4</v>
      </c>
      <c r="H73" s="78">
        <f>IF(OR($AB73="",H$52=""),IF('Assessment Matrix'!H21="","",'Assessment Matrix'!H21),IF(INDEX('Old Assessment Matrix'!$A$1:$BZ$2000,$AB73,H$52)="","",INDEX('Old Assessment Matrix'!$A$1:$BZ$2000,$AB73,H$52)))</f>
        <v>5</v>
      </c>
      <c r="J73" s="78" t="str">
        <f>IF(OR($AB73="",J$52=""),IF('Assessment Matrix'!J21="","",'Assessment Matrix'!J21),IF(INDEX('Old Assessment Matrix'!$A$1:$BZ$2000,$AB73,J$52)="","",INDEX('Old Assessment Matrix'!$A$1:$BZ$2000,$AB73,J$52)))</f>
        <v/>
      </c>
      <c r="K73" s="78" t="str">
        <f>IF(OR($AB73="",K$52=""),IF('Assessment Matrix'!K21="","",'Assessment Matrix'!K21),IF(INDEX('Old Assessment Matrix'!$A$1:$BZ$2000,$AB73,K$52)="","",INDEX('Old Assessment Matrix'!$A$1:$BZ$2000,$AB73,K$52)))</f>
        <v/>
      </c>
      <c r="O73" s="78" t="str">
        <f>IF(OR($AB73="",O$52=""),IF('Assessment Matrix'!O21="","",'Assessment Matrix'!O21),IF(INDEX('Old Assessment Matrix'!$A$1:$BZ$2000,$AB73,O$52)="","",INDEX('Old Assessment Matrix'!$A$1:$BZ$2000,$AB73,O$52)))</f>
        <v/>
      </c>
      <c r="P73" s="78" t="str">
        <f>IF(OR($AB73="",P$52=""),IF('Assessment Matrix'!P21="","",'Assessment Matrix'!P21),IF(INDEX('Old Assessment Matrix'!$A$1:$BZ$2000,$AB73,P$52)="","",INDEX('Old Assessment Matrix'!$A$1:$BZ$2000,$AB73,P$52)))</f>
        <v/>
      </c>
      <c r="Q73" s="78" t="str">
        <f>IF(OR($AB73="",Q$52=""),IF('Assessment Matrix'!Q21="","",'Assessment Matrix'!Q21),IF(INDEX('Old Assessment Matrix'!$A$1:$BZ$2000,$AB73,Q$52)="","",INDEX('Old Assessment Matrix'!$A$1:$BZ$2000,$AB73,Q$52)))</f>
        <v/>
      </c>
      <c r="R73" s="80" t="str">
        <f>IF(OR($AB73="",R$52=""),IF('Assessment Matrix'!R21="","",'Assessment Matrix'!R21),IF(INDEX('Old Assessment Matrix'!$A$1:$BZ$2000,$AB73,R$52)="","",INDEX('Old Assessment Matrix'!$A$1:$BZ$2000,$AB73,R$52)))</f>
        <v/>
      </c>
      <c r="S73" s="78" t="str">
        <f>IF(OR($AB73="",S$52=""),IF('Assessment Matrix'!S21="","",'Assessment Matrix'!S21),IF(INDEX('Old Assessment Matrix'!$A$1:$BZ$2000,$AB73,S$52)="","",INDEX('Old Assessment Matrix'!$A$1:$BZ$2000,$AB73,S$52)))</f>
        <v/>
      </c>
      <c r="T73" s="78" t="str">
        <f>IF(OR($AB73="",T$52=""),IF('Assessment Matrix'!T21="","",'Assessment Matrix'!T21),IF(INDEX('Old Assessment Matrix'!$A$1:$BZ$2000,$AB73,T$52)="","",INDEX('Old Assessment Matrix'!$A$1:$BZ$2000,$AB73,T$52)))</f>
        <v/>
      </c>
      <c r="X73" s="78" t="str">
        <f>IF(OR($AB73="",X$52=""),IF('Assessment Matrix'!X21="","",'Assessment Matrix'!X21),IF(INDEX('Old Assessment Matrix'!$A$1:$BZ$2000,$AB73,X$52)="","",INDEX('Old Assessment Matrix'!$A$1:$BZ$2000,$AB73,X$52)))</f>
        <v/>
      </c>
      <c r="Y73" s="78" t="str">
        <f>IF(OR($AB73="",Y$52=""),IF('Assessment Matrix'!Y21="","",'Assessment Matrix'!Y21),IF(INDEX('Old Assessment Matrix'!$A$1:$BZ$2000,$AB73,Y$52)="","",INDEX('Old Assessment Matrix'!$A$1:$BZ$2000,$AB73,Y$52)))</f>
        <v/>
      </c>
      <c r="Z73" s="80" t="str">
        <f>IF(OR($AB73="",Z$52=""),IF('Assessment Matrix'!Z21="","",'Assessment Matrix'!Z21),IF(INDEX('Old Assessment Matrix'!$A$1:$BZ$2000,$AB73,Z$52)="","",INDEX('Old Assessment Matrix'!$A$1:$BZ$2000,$AB73,Z$52)))</f>
        <v/>
      </c>
      <c r="AB73" s="79" t="str">
        <f>IFERROR(MATCH($A73,'Old Assessment Matrix'!$A:$A,0),"")</f>
        <v/>
      </c>
      <c r="AC73" s="79" t="str">
        <f t="shared" si="1"/>
        <v>3.8</v>
      </c>
    </row>
    <row r="74" spans="1:29" x14ac:dyDescent="0.3">
      <c r="A74" s="19" t="str">
        <f>'Assessment Matrix'!A22</f>
        <v>3.9</v>
      </c>
      <c r="D74" s="79" t="str">
        <f>'Assessment Matrix'!D22</f>
        <v>Sensitive data is technically redacted, tokenized, or minimized (PII/secret scrubbing, DLP rules) before content leaves the trust boundary toward external providers or tools.</v>
      </c>
      <c r="E74" s="78" t="str">
        <f>IF(OR($AB74="",E$52=""),IF('Assessment Matrix'!E22="","",'Assessment Matrix'!E22),IF(INDEX('Old Assessment Matrix'!$A$1:$BZ$2000,$AB74,E$52)="","",INDEX('Old Assessment Matrix'!$A$1:$BZ$2000,$AB74,E$52)))</f>
        <v>Major</v>
      </c>
      <c r="G74" s="78">
        <f>IF(OR($AB74="",G$52=""),IF('Assessment Matrix'!G22="","",'Assessment Matrix'!G22),IF(INDEX('Old Assessment Matrix'!$A$1:$BZ$2000,$AB74,G$52)="","",INDEX('Old Assessment Matrix'!$A$1:$BZ$2000,$AB74,G$52)))</f>
        <v>3</v>
      </c>
      <c r="H74" s="78">
        <f>IF(OR($AB74="",H$52=""),IF('Assessment Matrix'!H22="","",'Assessment Matrix'!H22),IF(INDEX('Old Assessment Matrix'!$A$1:$BZ$2000,$AB74,H$52)="","",INDEX('Old Assessment Matrix'!$A$1:$BZ$2000,$AB74,H$52)))</f>
        <v>4</v>
      </c>
      <c r="J74" s="78" t="str">
        <f>IF(OR($AB74="",J$52=""),IF('Assessment Matrix'!J22="","",'Assessment Matrix'!J22),IF(INDEX('Old Assessment Matrix'!$A$1:$BZ$2000,$AB74,J$52)="","",INDEX('Old Assessment Matrix'!$A$1:$BZ$2000,$AB74,J$52)))</f>
        <v/>
      </c>
      <c r="K74" s="78" t="str">
        <f>IF(OR($AB74="",K$52=""),IF('Assessment Matrix'!K22="","",'Assessment Matrix'!K22),IF(INDEX('Old Assessment Matrix'!$A$1:$BZ$2000,$AB74,K$52)="","",INDEX('Old Assessment Matrix'!$A$1:$BZ$2000,$AB74,K$52)))</f>
        <v/>
      </c>
      <c r="O74" s="78" t="str">
        <f>IF(OR($AB74="",O$52=""),IF('Assessment Matrix'!O22="","",'Assessment Matrix'!O22),IF(INDEX('Old Assessment Matrix'!$A$1:$BZ$2000,$AB74,O$52)="","",INDEX('Old Assessment Matrix'!$A$1:$BZ$2000,$AB74,O$52)))</f>
        <v/>
      </c>
      <c r="P74" s="78" t="str">
        <f>IF(OR($AB74="",P$52=""),IF('Assessment Matrix'!P22="","",'Assessment Matrix'!P22),IF(INDEX('Old Assessment Matrix'!$A$1:$BZ$2000,$AB74,P$52)="","",INDEX('Old Assessment Matrix'!$A$1:$BZ$2000,$AB74,P$52)))</f>
        <v/>
      </c>
      <c r="Q74" s="78" t="str">
        <f>IF(OR($AB74="",Q$52=""),IF('Assessment Matrix'!Q22="","",'Assessment Matrix'!Q22),IF(INDEX('Old Assessment Matrix'!$A$1:$BZ$2000,$AB74,Q$52)="","",INDEX('Old Assessment Matrix'!$A$1:$BZ$2000,$AB74,Q$52)))</f>
        <v/>
      </c>
      <c r="R74" s="80" t="str">
        <f>IF(OR($AB74="",R$52=""),IF('Assessment Matrix'!R22="","",'Assessment Matrix'!R22),IF(INDEX('Old Assessment Matrix'!$A$1:$BZ$2000,$AB74,R$52)="","",INDEX('Old Assessment Matrix'!$A$1:$BZ$2000,$AB74,R$52)))</f>
        <v/>
      </c>
      <c r="S74" s="78" t="str">
        <f>IF(OR($AB74="",S$52=""),IF('Assessment Matrix'!S22="","",'Assessment Matrix'!S22),IF(INDEX('Old Assessment Matrix'!$A$1:$BZ$2000,$AB74,S$52)="","",INDEX('Old Assessment Matrix'!$A$1:$BZ$2000,$AB74,S$52)))</f>
        <v/>
      </c>
      <c r="T74" s="78" t="str">
        <f>IF(OR($AB74="",T$52=""),IF('Assessment Matrix'!T22="","",'Assessment Matrix'!T22),IF(INDEX('Old Assessment Matrix'!$A$1:$BZ$2000,$AB74,T$52)="","",INDEX('Old Assessment Matrix'!$A$1:$BZ$2000,$AB74,T$52)))</f>
        <v/>
      </c>
      <c r="X74" s="78" t="str">
        <f>IF(OR($AB74="",X$52=""),IF('Assessment Matrix'!X22="","",'Assessment Matrix'!X22),IF(INDEX('Old Assessment Matrix'!$A$1:$BZ$2000,$AB74,X$52)="","",INDEX('Old Assessment Matrix'!$A$1:$BZ$2000,$AB74,X$52)))</f>
        <v/>
      </c>
      <c r="Y74" s="78" t="str">
        <f>IF(OR($AB74="",Y$52=""),IF('Assessment Matrix'!Y22="","",'Assessment Matrix'!Y22),IF(INDEX('Old Assessment Matrix'!$A$1:$BZ$2000,$AB74,Y$52)="","",INDEX('Old Assessment Matrix'!$A$1:$BZ$2000,$AB74,Y$52)))</f>
        <v/>
      </c>
      <c r="Z74" s="80" t="str">
        <f>IF(OR($AB74="",Z$52=""),IF('Assessment Matrix'!Z22="","",'Assessment Matrix'!Z22),IF(INDEX('Old Assessment Matrix'!$A$1:$BZ$2000,$AB74,Z$52)="","",INDEX('Old Assessment Matrix'!$A$1:$BZ$2000,$AB74,Z$52)))</f>
        <v/>
      </c>
      <c r="AB74" s="79" t="str">
        <f>IFERROR(MATCH($A74,'Old Assessment Matrix'!$A:$A,0),"")</f>
        <v/>
      </c>
      <c r="AC74" s="79" t="str">
        <f t="shared" si="1"/>
        <v>3.9</v>
      </c>
    </row>
    <row r="75" spans="1:29" x14ac:dyDescent="0.3">
      <c r="A75" s="19" t="str">
        <f>'Assessment Matrix'!A23</f>
        <v>4.1</v>
      </c>
      <c r="D75" s="79" t="str">
        <f>'Assessment Matrix'!D23</f>
        <v>Prompt injection and jailbreak testing is performed against the actual use case, prompts, tools, and data.</v>
      </c>
      <c r="E75" s="78" t="str">
        <f>IF(OR($AB75="",E$52=""),IF('Assessment Matrix'!E23="","",'Assessment Matrix'!E23),IF(INDEX('Old Assessment Matrix'!$A$1:$BZ$2000,$AB75,E$52)="","",INDEX('Old Assessment Matrix'!$A$1:$BZ$2000,$AB75,E$52)))</f>
        <v>Major</v>
      </c>
      <c r="G75" s="78">
        <f>IF(OR($AB75="",G$52=""),IF('Assessment Matrix'!G23="","",'Assessment Matrix'!G23),IF(INDEX('Old Assessment Matrix'!$A$1:$BZ$2000,$AB75,G$52)="","",INDEX('Old Assessment Matrix'!$A$1:$BZ$2000,$AB75,G$52)))</f>
        <v>4</v>
      </c>
      <c r="H75" s="78">
        <f>IF(OR($AB75="",H$52=""),IF('Assessment Matrix'!H23="","",'Assessment Matrix'!H23),IF(INDEX('Old Assessment Matrix'!$A$1:$BZ$2000,$AB75,H$52)="","",INDEX('Old Assessment Matrix'!$A$1:$BZ$2000,$AB75,H$52)))</f>
        <v>4</v>
      </c>
      <c r="J75" s="78" t="str">
        <f>IF(OR($AB75="",J$52=""),IF('Assessment Matrix'!J23="","",'Assessment Matrix'!J23),IF(INDEX('Old Assessment Matrix'!$A$1:$BZ$2000,$AB75,J$52)="","",INDEX('Old Assessment Matrix'!$A$1:$BZ$2000,$AB75,J$52)))</f>
        <v/>
      </c>
      <c r="K75" s="78" t="str">
        <f>IF(OR($AB75="",K$52=""),IF('Assessment Matrix'!K23="","",'Assessment Matrix'!K23),IF(INDEX('Old Assessment Matrix'!$A$1:$BZ$2000,$AB75,K$52)="","",INDEX('Old Assessment Matrix'!$A$1:$BZ$2000,$AB75,K$52)))</f>
        <v/>
      </c>
      <c r="O75" s="78" t="str">
        <f>IF(OR($AB75="",O$52=""),IF('Assessment Matrix'!O23="","",'Assessment Matrix'!O23),IF(INDEX('Old Assessment Matrix'!$A$1:$BZ$2000,$AB75,O$52)="","",INDEX('Old Assessment Matrix'!$A$1:$BZ$2000,$AB75,O$52)))</f>
        <v/>
      </c>
      <c r="P75" s="78" t="str">
        <f>IF(OR($AB75="",P$52=""),IF('Assessment Matrix'!P23="","",'Assessment Matrix'!P23),IF(INDEX('Old Assessment Matrix'!$A$1:$BZ$2000,$AB75,P$52)="","",INDEX('Old Assessment Matrix'!$A$1:$BZ$2000,$AB75,P$52)))</f>
        <v/>
      </c>
      <c r="Q75" s="78" t="str">
        <f>IF(OR($AB75="",Q$52=""),IF('Assessment Matrix'!Q23="","",'Assessment Matrix'!Q23),IF(INDEX('Old Assessment Matrix'!$A$1:$BZ$2000,$AB75,Q$52)="","",INDEX('Old Assessment Matrix'!$A$1:$BZ$2000,$AB75,Q$52)))</f>
        <v/>
      </c>
      <c r="R75" s="80" t="str">
        <f>IF(OR($AB75="",R$52=""),IF('Assessment Matrix'!R23="","",'Assessment Matrix'!R23),IF(INDEX('Old Assessment Matrix'!$A$1:$BZ$2000,$AB75,R$52)="","",INDEX('Old Assessment Matrix'!$A$1:$BZ$2000,$AB75,R$52)))</f>
        <v/>
      </c>
      <c r="S75" s="78" t="str">
        <f>IF(OR($AB75="",S$52=""),IF('Assessment Matrix'!S23="","",'Assessment Matrix'!S23),IF(INDEX('Old Assessment Matrix'!$A$1:$BZ$2000,$AB75,S$52)="","",INDEX('Old Assessment Matrix'!$A$1:$BZ$2000,$AB75,S$52)))</f>
        <v/>
      </c>
      <c r="T75" s="78" t="str">
        <f>IF(OR($AB75="",T$52=""),IF('Assessment Matrix'!T23="","",'Assessment Matrix'!T23),IF(INDEX('Old Assessment Matrix'!$A$1:$BZ$2000,$AB75,T$52)="","",INDEX('Old Assessment Matrix'!$A$1:$BZ$2000,$AB75,T$52)))</f>
        <v/>
      </c>
      <c r="X75" s="78" t="str">
        <f>IF(OR($AB75="",X$52=""),IF('Assessment Matrix'!X23="","",'Assessment Matrix'!X23),IF(INDEX('Old Assessment Matrix'!$A$1:$BZ$2000,$AB75,X$52)="","",INDEX('Old Assessment Matrix'!$A$1:$BZ$2000,$AB75,X$52)))</f>
        <v/>
      </c>
      <c r="Y75" s="78" t="str">
        <f>IF(OR($AB75="",Y$52=""),IF('Assessment Matrix'!Y23="","",'Assessment Matrix'!Y23),IF(INDEX('Old Assessment Matrix'!$A$1:$BZ$2000,$AB75,Y$52)="","",INDEX('Old Assessment Matrix'!$A$1:$BZ$2000,$AB75,Y$52)))</f>
        <v/>
      </c>
      <c r="Z75" s="80" t="str">
        <f>IF(OR($AB75="",Z$52=""),IF('Assessment Matrix'!Z23="","",'Assessment Matrix'!Z23),IF(INDEX('Old Assessment Matrix'!$A$1:$BZ$2000,$AB75,Z$52)="","",INDEX('Old Assessment Matrix'!$A$1:$BZ$2000,$AB75,Z$52)))</f>
        <v/>
      </c>
      <c r="AB75" s="79" t="str">
        <f>IFERROR(MATCH($A75,'Old Assessment Matrix'!$A:$A,0),"")</f>
        <v/>
      </c>
      <c r="AC75" s="79" t="str">
        <f t="shared" si="1"/>
        <v>4.1</v>
      </c>
    </row>
    <row r="76" spans="1:29" x14ac:dyDescent="0.3">
      <c r="A76" s="19" t="str">
        <f>'Assessment Matrix'!A24</f>
        <v>4.2</v>
      </c>
      <c r="D76" s="79" t="str">
        <f>'Assessment Matrix'!D24</f>
        <v>Insecure output handling controls are implemented for code, markup, links, files, commands, and structured data.</v>
      </c>
      <c r="E76" s="78" t="str">
        <f>IF(OR($AB76="",E$52=""),IF('Assessment Matrix'!E24="","",'Assessment Matrix'!E24),IF(INDEX('Old Assessment Matrix'!$A$1:$BZ$2000,$AB76,E$52)="","",INDEX('Old Assessment Matrix'!$A$1:$BZ$2000,$AB76,E$52)))</f>
        <v>Blocker</v>
      </c>
      <c r="G76" s="78">
        <f>IF(OR($AB76="",G$52=""),IF('Assessment Matrix'!G24="","",'Assessment Matrix'!G24),IF(INDEX('Old Assessment Matrix'!$A$1:$BZ$2000,$AB76,G$52)="","",INDEX('Old Assessment Matrix'!$A$1:$BZ$2000,$AB76,G$52)))</f>
        <v>4</v>
      </c>
      <c r="H76" s="78">
        <f>IF(OR($AB76="",H$52=""),IF('Assessment Matrix'!H24="","",'Assessment Matrix'!H24),IF(INDEX('Old Assessment Matrix'!$A$1:$BZ$2000,$AB76,H$52)="","",INDEX('Old Assessment Matrix'!$A$1:$BZ$2000,$AB76,H$52)))</f>
        <v>5</v>
      </c>
      <c r="J76" s="78" t="str">
        <f>IF(OR($AB76="",J$52=""),IF('Assessment Matrix'!J24="","",'Assessment Matrix'!J24),IF(INDEX('Old Assessment Matrix'!$A$1:$BZ$2000,$AB76,J$52)="","",INDEX('Old Assessment Matrix'!$A$1:$BZ$2000,$AB76,J$52)))</f>
        <v/>
      </c>
      <c r="K76" s="78" t="str">
        <f>IF(OR($AB76="",K$52=""),IF('Assessment Matrix'!K24="","",'Assessment Matrix'!K24),IF(INDEX('Old Assessment Matrix'!$A$1:$BZ$2000,$AB76,K$52)="","",INDEX('Old Assessment Matrix'!$A$1:$BZ$2000,$AB76,K$52)))</f>
        <v/>
      </c>
      <c r="O76" s="78" t="str">
        <f>IF(OR($AB76="",O$52=""),IF('Assessment Matrix'!O24="","",'Assessment Matrix'!O24),IF(INDEX('Old Assessment Matrix'!$A$1:$BZ$2000,$AB76,O$52)="","",INDEX('Old Assessment Matrix'!$A$1:$BZ$2000,$AB76,O$52)))</f>
        <v/>
      </c>
      <c r="P76" s="78" t="str">
        <f>IF(OR($AB76="",P$52=""),IF('Assessment Matrix'!P24="","",'Assessment Matrix'!P24),IF(INDEX('Old Assessment Matrix'!$A$1:$BZ$2000,$AB76,P$52)="","",INDEX('Old Assessment Matrix'!$A$1:$BZ$2000,$AB76,P$52)))</f>
        <v/>
      </c>
      <c r="Q76" s="78" t="str">
        <f>IF(OR($AB76="",Q$52=""),IF('Assessment Matrix'!Q24="","",'Assessment Matrix'!Q24),IF(INDEX('Old Assessment Matrix'!$A$1:$BZ$2000,$AB76,Q$52)="","",INDEX('Old Assessment Matrix'!$A$1:$BZ$2000,$AB76,Q$52)))</f>
        <v/>
      </c>
      <c r="R76" s="80" t="str">
        <f>IF(OR($AB76="",R$52=""),IF('Assessment Matrix'!R24="","",'Assessment Matrix'!R24),IF(INDEX('Old Assessment Matrix'!$A$1:$BZ$2000,$AB76,R$52)="","",INDEX('Old Assessment Matrix'!$A$1:$BZ$2000,$AB76,R$52)))</f>
        <v/>
      </c>
      <c r="S76" s="78" t="str">
        <f>IF(OR($AB76="",S$52=""),IF('Assessment Matrix'!S24="","",'Assessment Matrix'!S24),IF(INDEX('Old Assessment Matrix'!$A$1:$BZ$2000,$AB76,S$52)="","",INDEX('Old Assessment Matrix'!$A$1:$BZ$2000,$AB76,S$52)))</f>
        <v/>
      </c>
      <c r="T76" s="78" t="str">
        <f>IF(OR($AB76="",T$52=""),IF('Assessment Matrix'!T24="","",'Assessment Matrix'!T24),IF(INDEX('Old Assessment Matrix'!$A$1:$BZ$2000,$AB76,T$52)="","",INDEX('Old Assessment Matrix'!$A$1:$BZ$2000,$AB76,T$52)))</f>
        <v/>
      </c>
      <c r="X76" s="78" t="str">
        <f>IF(OR($AB76="",X$52=""),IF('Assessment Matrix'!X24="","",'Assessment Matrix'!X24),IF(INDEX('Old Assessment Matrix'!$A$1:$BZ$2000,$AB76,X$52)="","",INDEX('Old Assessment Matrix'!$A$1:$BZ$2000,$AB76,X$52)))</f>
        <v/>
      </c>
      <c r="Y76" s="78" t="str">
        <f>IF(OR($AB76="",Y$52=""),IF('Assessment Matrix'!Y24="","",'Assessment Matrix'!Y24),IF(INDEX('Old Assessment Matrix'!$A$1:$BZ$2000,$AB76,Y$52)="","",INDEX('Old Assessment Matrix'!$A$1:$BZ$2000,$AB76,Y$52)))</f>
        <v/>
      </c>
      <c r="Z76" s="80" t="str">
        <f>IF(OR($AB76="",Z$52=""),IF('Assessment Matrix'!Z24="","",'Assessment Matrix'!Z24),IF(INDEX('Old Assessment Matrix'!$A$1:$BZ$2000,$AB76,Z$52)="","",INDEX('Old Assessment Matrix'!$A$1:$BZ$2000,$AB76,Z$52)))</f>
        <v/>
      </c>
      <c r="AB76" s="79" t="str">
        <f>IFERROR(MATCH($A76,'Old Assessment Matrix'!$A:$A,0),"")</f>
        <v/>
      </c>
      <c r="AC76" s="79" t="str">
        <f t="shared" si="1"/>
        <v>4.2</v>
      </c>
    </row>
    <row r="77" spans="1:29" x14ac:dyDescent="0.3">
      <c r="A77" s="19" t="str">
        <f>'Assessment Matrix'!A25</f>
        <v>4.3</v>
      </c>
      <c r="D77" s="79" t="str">
        <f>'Assessment Matrix'!D25</f>
        <v>Training, fine-tuning, embedding, and retrieval data poisoning risks are assessed and mitigated.</v>
      </c>
      <c r="E77" s="78" t="str">
        <f>IF(OR($AB77="",E$52=""),IF('Assessment Matrix'!E25="","",'Assessment Matrix'!E25),IF(INDEX('Old Assessment Matrix'!$A$1:$BZ$2000,$AB77,E$52)="","",INDEX('Old Assessment Matrix'!$A$1:$BZ$2000,$AB77,E$52)))</f>
        <v>Major</v>
      </c>
      <c r="G77" s="78">
        <f>IF(OR($AB77="",G$52=""),IF('Assessment Matrix'!G25="","",'Assessment Matrix'!G25),IF(INDEX('Old Assessment Matrix'!$A$1:$BZ$2000,$AB77,G$52)="","",INDEX('Old Assessment Matrix'!$A$1:$BZ$2000,$AB77,G$52)))</f>
        <v>3</v>
      </c>
      <c r="H77" s="78">
        <f>IF(OR($AB77="",H$52=""),IF('Assessment Matrix'!H25="","",'Assessment Matrix'!H25),IF(INDEX('Old Assessment Matrix'!$A$1:$BZ$2000,$AB77,H$52)="","",INDEX('Old Assessment Matrix'!$A$1:$BZ$2000,$AB77,H$52)))</f>
        <v>4</v>
      </c>
      <c r="J77" s="78" t="str">
        <f>IF(OR($AB77="",J$52=""),IF('Assessment Matrix'!J25="","",'Assessment Matrix'!J25),IF(INDEX('Old Assessment Matrix'!$A$1:$BZ$2000,$AB77,J$52)="","",INDEX('Old Assessment Matrix'!$A$1:$BZ$2000,$AB77,J$52)))</f>
        <v/>
      </c>
      <c r="K77" s="78" t="str">
        <f>IF(OR($AB77="",K$52=""),IF('Assessment Matrix'!K25="","",'Assessment Matrix'!K25),IF(INDEX('Old Assessment Matrix'!$A$1:$BZ$2000,$AB77,K$52)="","",INDEX('Old Assessment Matrix'!$A$1:$BZ$2000,$AB77,K$52)))</f>
        <v/>
      </c>
      <c r="O77" s="78" t="str">
        <f>IF(OR($AB77="",O$52=""),IF('Assessment Matrix'!O25="","",'Assessment Matrix'!O25),IF(INDEX('Old Assessment Matrix'!$A$1:$BZ$2000,$AB77,O$52)="","",INDEX('Old Assessment Matrix'!$A$1:$BZ$2000,$AB77,O$52)))</f>
        <v/>
      </c>
      <c r="P77" s="78" t="str">
        <f>IF(OR($AB77="",P$52=""),IF('Assessment Matrix'!P25="","",'Assessment Matrix'!P25),IF(INDEX('Old Assessment Matrix'!$A$1:$BZ$2000,$AB77,P$52)="","",INDEX('Old Assessment Matrix'!$A$1:$BZ$2000,$AB77,P$52)))</f>
        <v/>
      </c>
      <c r="Q77" s="78" t="str">
        <f>IF(OR($AB77="",Q$52=""),IF('Assessment Matrix'!Q25="","",'Assessment Matrix'!Q25),IF(INDEX('Old Assessment Matrix'!$A$1:$BZ$2000,$AB77,Q$52)="","",INDEX('Old Assessment Matrix'!$A$1:$BZ$2000,$AB77,Q$52)))</f>
        <v/>
      </c>
      <c r="R77" s="80" t="str">
        <f>IF(OR($AB77="",R$52=""),IF('Assessment Matrix'!R25="","",'Assessment Matrix'!R25),IF(INDEX('Old Assessment Matrix'!$A$1:$BZ$2000,$AB77,R$52)="","",INDEX('Old Assessment Matrix'!$A$1:$BZ$2000,$AB77,R$52)))</f>
        <v/>
      </c>
      <c r="S77" s="78" t="str">
        <f>IF(OR($AB77="",S$52=""),IF('Assessment Matrix'!S25="","",'Assessment Matrix'!S25),IF(INDEX('Old Assessment Matrix'!$A$1:$BZ$2000,$AB77,S$52)="","",INDEX('Old Assessment Matrix'!$A$1:$BZ$2000,$AB77,S$52)))</f>
        <v/>
      </c>
      <c r="T77" s="78" t="str">
        <f>IF(OR($AB77="",T$52=""),IF('Assessment Matrix'!T25="","",'Assessment Matrix'!T25),IF(INDEX('Old Assessment Matrix'!$A$1:$BZ$2000,$AB77,T$52)="","",INDEX('Old Assessment Matrix'!$A$1:$BZ$2000,$AB77,T$52)))</f>
        <v/>
      </c>
      <c r="X77" s="78" t="str">
        <f>IF(OR($AB77="",X$52=""),IF('Assessment Matrix'!X25="","",'Assessment Matrix'!X25),IF(INDEX('Old Assessment Matrix'!$A$1:$BZ$2000,$AB77,X$52)="","",INDEX('Old Assessment Matrix'!$A$1:$BZ$2000,$AB77,X$52)))</f>
        <v/>
      </c>
      <c r="Y77" s="78" t="str">
        <f>IF(OR($AB77="",Y$52=""),IF('Assessment Matrix'!Y25="","",'Assessment Matrix'!Y25),IF(INDEX('Old Assessment Matrix'!$A$1:$BZ$2000,$AB77,Y$52)="","",INDEX('Old Assessment Matrix'!$A$1:$BZ$2000,$AB77,Y$52)))</f>
        <v/>
      </c>
      <c r="Z77" s="80" t="str">
        <f>IF(OR($AB77="",Z$52=""),IF('Assessment Matrix'!Z25="","",'Assessment Matrix'!Z25),IF(INDEX('Old Assessment Matrix'!$A$1:$BZ$2000,$AB77,Z$52)="","",INDEX('Old Assessment Matrix'!$A$1:$BZ$2000,$AB77,Z$52)))</f>
        <v/>
      </c>
      <c r="AB77" s="79" t="str">
        <f>IFERROR(MATCH($A77,'Old Assessment Matrix'!$A:$A,0),"")</f>
        <v/>
      </c>
      <c r="AC77" s="79" t="str">
        <f t="shared" si="1"/>
        <v>4.3</v>
      </c>
    </row>
    <row r="78" spans="1:29" x14ac:dyDescent="0.3">
      <c r="A78" s="19" t="str">
        <f>'Assessment Matrix'!A26</f>
        <v>4.4</v>
      </c>
      <c r="D78" s="79" t="str">
        <f>'Assessment Matrix'!D26</f>
        <v>Rate limiting, quota, token/cost controls, abuse throttling, and model denial-of-service protections exist.</v>
      </c>
      <c r="E78" s="78" t="str">
        <f>IF(OR($AB78="",E$52=""),IF('Assessment Matrix'!E26="","",'Assessment Matrix'!E26),IF(INDEX('Old Assessment Matrix'!$A$1:$BZ$2000,$AB78,E$52)="","",INDEX('Old Assessment Matrix'!$A$1:$BZ$2000,$AB78,E$52)))</f>
        <v>Major</v>
      </c>
      <c r="G78" s="78">
        <f>IF(OR($AB78="",G$52=""),IF('Assessment Matrix'!G26="","",'Assessment Matrix'!G26),IF(INDEX('Old Assessment Matrix'!$A$1:$BZ$2000,$AB78,G$52)="","",INDEX('Old Assessment Matrix'!$A$1:$BZ$2000,$AB78,G$52)))</f>
        <v>4</v>
      </c>
      <c r="H78" s="78">
        <f>IF(OR($AB78="",H$52=""),IF('Assessment Matrix'!H26="","",'Assessment Matrix'!H26),IF(INDEX('Old Assessment Matrix'!$A$1:$BZ$2000,$AB78,H$52)="","",INDEX('Old Assessment Matrix'!$A$1:$BZ$2000,$AB78,H$52)))</f>
        <v>4</v>
      </c>
      <c r="J78" s="78" t="str">
        <f>IF(OR($AB78="",J$52=""),IF('Assessment Matrix'!J26="","",'Assessment Matrix'!J26),IF(INDEX('Old Assessment Matrix'!$A$1:$BZ$2000,$AB78,J$52)="","",INDEX('Old Assessment Matrix'!$A$1:$BZ$2000,$AB78,J$52)))</f>
        <v/>
      </c>
      <c r="K78" s="78" t="str">
        <f>IF(OR($AB78="",K$52=""),IF('Assessment Matrix'!K26="","",'Assessment Matrix'!K26),IF(INDEX('Old Assessment Matrix'!$A$1:$BZ$2000,$AB78,K$52)="","",INDEX('Old Assessment Matrix'!$A$1:$BZ$2000,$AB78,K$52)))</f>
        <v/>
      </c>
      <c r="O78" s="78" t="str">
        <f>IF(OR($AB78="",O$52=""),IF('Assessment Matrix'!O26="","",'Assessment Matrix'!O26),IF(INDEX('Old Assessment Matrix'!$A$1:$BZ$2000,$AB78,O$52)="","",INDEX('Old Assessment Matrix'!$A$1:$BZ$2000,$AB78,O$52)))</f>
        <v/>
      </c>
      <c r="P78" s="78" t="str">
        <f>IF(OR($AB78="",P$52=""),IF('Assessment Matrix'!P26="","",'Assessment Matrix'!P26),IF(INDEX('Old Assessment Matrix'!$A$1:$BZ$2000,$AB78,P$52)="","",INDEX('Old Assessment Matrix'!$A$1:$BZ$2000,$AB78,P$52)))</f>
        <v/>
      </c>
      <c r="Q78" s="78" t="str">
        <f>IF(OR($AB78="",Q$52=""),IF('Assessment Matrix'!Q26="","",'Assessment Matrix'!Q26),IF(INDEX('Old Assessment Matrix'!$A$1:$BZ$2000,$AB78,Q$52)="","",INDEX('Old Assessment Matrix'!$A$1:$BZ$2000,$AB78,Q$52)))</f>
        <v/>
      </c>
      <c r="R78" s="80" t="str">
        <f>IF(OR($AB78="",R$52=""),IF('Assessment Matrix'!R26="","",'Assessment Matrix'!R26),IF(INDEX('Old Assessment Matrix'!$A$1:$BZ$2000,$AB78,R$52)="","",INDEX('Old Assessment Matrix'!$A$1:$BZ$2000,$AB78,R$52)))</f>
        <v/>
      </c>
      <c r="S78" s="78" t="str">
        <f>IF(OR($AB78="",S$52=""),IF('Assessment Matrix'!S26="","",'Assessment Matrix'!S26),IF(INDEX('Old Assessment Matrix'!$A$1:$BZ$2000,$AB78,S$52)="","",INDEX('Old Assessment Matrix'!$A$1:$BZ$2000,$AB78,S$52)))</f>
        <v/>
      </c>
      <c r="T78" s="78" t="str">
        <f>IF(OR($AB78="",T$52=""),IF('Assessment Matrix'!T26="","",'Assessment Matrix'!T26),IF(INDEX('Old Assessment Matrix'!$A$1:$BZ$2000,$AB78,T$52)="","",INDEX('Old Assessment Matrix'!$A$1:$BZ$2000,$AB78,T$52)))</f>
        <v/>
      </c>
      <c r="X78" s="78" t="str">
        <f>IF(OR($AB78="",X$52=""),IF('Assessment Matrix'!X26="","",'Assessment Matrix'!X26),IF(INDEX('Old Assessment Matrix'!$A$1:$BZ$2000,$AB78,X$52)="","",INDEX('Old Assessment Matrix'!$A$1:$BZ$2000,$AB78,X$52)))</f>
        <v/>
      </c>
      <c r="Y78" s="78" t="str">
        <f>IF(OR($AB78="",Y$52=""),IF('Assessment Matrix'!Y26="","",'Assessment Matrix'!Y26),IF(INDEX('Old Assessment Matrix'!$A$1:$BZ$2000,$AB78,Y$52)="","",INDEX('Old Assessment Matrix'!$A$1:$BZ$2000,$AB78,Y$52)))</f>
        <v/>
      </c>
      <c r="Z78" s="80" t="str">
        <f>IF(OR($AB78="",Z$52=""),IF('Assessment Matrix'!Z26="","",'Assessment Matrix'!Z26),IF(INDEX('Old Assessment Matrix'!$A$1:$BZ$2000,$AB78,Z$52)="","",INDEX('Old Assessment Matrix'!$A$1:$BZ$2000,$AB78,Z$52)))</f>
        <v/>
      </c>
      <c r="AB78" s="79" t="str">
        <f>IFERROR(MATCH($A78,'Old Assessment Matrix'!$A:$A,0),"")</f>
        <v/>
      </c>
      <c r="AC78" s="79" t="str">
        <f t="shared" si="1"/>
        <v>4.4</v>
      </c>
    </row>
    <row r="79" spans="1:29" x14ac:dyDescent="0.3">
      <c r="A79" s="19" t="str">
        <f>'Assessment Matrix'!A27</f>
        <v>4.5</v>
      </c>
      <c r="D79" s="79" t="str">
        <f>'Assessment Matrix'!D27</f>
        <v>Sensitive information disclosure testing covers prompt leakage, training data extraction, RAG leakage, and logs.</v>
      </c>
      <c r="E79" s="78" t="str">
        <f>IF(OR($AB79="",E$52=""),IF('Assessment Matrix'!E27="","",'Assessment Matrix'!E27),IF(INDEX('Old Assessment Matrix'!$A$1:$BZ$2000,$AB79,E$52)="","",INDEX('Old Assessment Matrix'!$A$1:$BZ$2000,$AB79,E$52)))</f>
        <v>Blocker</v>
      </c>
      <c r="G79" s="78">
        <f>IF(OR($AB79="",G$52=""),IF('Assessment Matrix'!G27="","",'Assessment Matrix'!G27),IF(INDEX('Old Assessment Matrix'!$A$1:$BZ$2000,$AB79,G$52)="","",INDEX('Old Assessment Matrix'!$A$1:$BZ$2000,$AB79,G$52)))</f>
        <v>4</v>
      </c>
      <c r="H79" s="78">
        <f>IF(OR($AB79="",H$52=""),IF('Assessment Matrix'!H27="","",'Assessment Matrix'!H27),IF(INDEX('Old Assessment Matrix'!$A$1:$BZ$2000,$AB79,H$52)="","",INDEX('Old Assessment Matrix'!$A$1:$BZ$2000,$AB79,H$52)))</f>
        <v>5</v>
      </c>
      <c r="J79" s="78" t="str">
        <f>IF(OR($AB79="",J$52=""),IF('Assessment Matrix'!J27="","",'Assessment Matrix'!J27),IF(INDEX('Old Assessment Matrix'!$A$1:$BZ$2000,$AB79,J$52)="","",INDEX('Old Assessment Matrix'!$A$1:$BZ$2000,$AB79,J$52)))</f>
        <v/>
      </c>
      <c r="K79" s="78" t="str">
        <f>IF(OR($AB79="",K$52=""),IF('Assessment Matrix'!K27="","",'Assessment Matrix'!K27),IF(INDEX('Old Assessment Matrix'!$A$1:$BZ$2000,$AB79,K$52)="","",INDEX('Old Assessment Matrix'!$A$1:$BZ$2000,$AB79,K$52)))</f>
        <v/>
      </c>
      <c r="O79" s="78" t="str">
        <f>IF(OR($AB79="",O$52=""),IF('Assessment Matrix'!O27="","",'Assessment Matrix'!O27),IF(INDEX('Old Assessment Matrix'!$A$1:$BZ$2000,$AB79,O$52)="","",INDEX('Old Assessment Matrix'!$A$1:$BZ$2000,$AB79,O$52)))</f>
        <v/>
      </c>
      <c r="P79" s="78" t="str">
        <f>IF(OR($AB79="",P$52=""),IF('Assessment Matrix'!P27="","",'Assessment Matrix'!P27),IF(INDEX('Old Assessment Matrix'!$A$1:$BZ$2000,$AB79,P$52)="","",INDEX('Old Assessment Matrix'!$A$1:$BZ$2000,$AB79,P$52)))</f>
        <v/>
      </c>
      <c r="Q79" s="78" t="str">
        <f>IF(OR($AB79="",Q$52=""),IF('Assessment Matrix'!Q27="","",'Assessment Matrix'!Q27),IF(INDEX('Old Assessment Matrix'!$A$1:$BZ$2000,$AB79,Q$52)="","",INDEX('Old Assessment Matrix'!$A$1:$BZ$2000,$AB79,Q$52)))</f>
        <v/>
      </c>
      <c r="R79" s="80" t="str">
        <f>IF(OR($AB79="",R$52=""),IF('Assessment Matrix'!R27="","",'Assessment Matrix'!R27),IF(INDEX('Old Assessment Matrix'!$A$1:$BZ$2000,$AB79,R$52)="","",INDEX('Old Assessment Matrix'!$A$1:$BZ$2000,$AB79,R$52)))</f>
        <v/>
      </c>
      <c r="S79" s="78" t="str">
        <f>IF(OR($AB79="",S$52=""),IF('Assessment Matrix'!S27="","",'Assessment Matrix'!S27),IF(INDEX('Old Assessment Matrix'!$A$1:$BZ$2000,$AB79,S$52)="","",INDEX('Old Assessment Matrix'!$A$1:$BZ$2000,$AB79,S$52)))</f>
        <v/>
      </c>
      <c r="T79" s="78" t="str">
        <f>IF(OR($AB79="",T$52=""),IF('Assessment Matrix'!T27="","",'Assessment Matrix'!T27),IF(INDEX('Old Assessment Matrix'!$A$1:$BZ$2000,$AB79,T$52)="","",INDEX('Old Assessment Matrix'!$A$1:$BZ$2000,$AB79,T$52)))</f>
        <v/>
      </c>
      <c r="X79" s="78" t="str">
        <f>IF(OR($AB79="",X$52=""),IF('Assessment Matrix'!X27="","",'Assessment Matrix'!X27),IF(INDEX('Old Assessment Matrix'!$A$1:$BZ$2000,$AB79,X$52)="","",INDEX('Old Assessment Matrix'!$A$1:$BZ$2000,$AB79,X$52)))</f>
        <v/>
      </c>
      <c r="Y79" s="78" t="str">
        <f>IF(OR($AB79="",Y$52=""),IF('Assessment Matrix'!Y27="","",'Assessment Matrix'!Y27),IF(INDEX('Old Assessment Matrix'!$A$1:$BZ$2000,$AB79,Y$52)="","",INDEX('Old Assessment Matrix'!$A$1:$BZ$2000,$AB79,Y$52)))</f>
        <v/>
      </c>
      <c r="Z79" s="80" t="str">
        <f>IF(OR($AB79="",Z$52=""),IF('Assessment Matrix'!Z27="","",'Assessment Matrix'!Z27),IF(INDEX('Old Assessment Matrix'!$A$1:$BZ$2000,$AB79,Z$52)="","",INDEX('Old Assessment Matrix'!$A$1:$BZ$2000,$AB79,Z$52)))</f>
        <v/>
      </c>
      <c r="AB79" s="79" t="str">
        <f>IFERROR(MATCH($A79,'Old Assessment Matrix'!$A:$A,0),"")</f>
        <v/>
      </c>
      <c r="AC79" s="79" t="str">
        <f t="shared" si="1"/>
        <v>4.5</v>
      </c>
    </row>
    <row r="80" spans="1:29" x14ac:dyDescent="0.3">
      <c r="A80" s="19" t="str">
        <f>'Assessment Matrix'!A28</f>
        <v>4.6</v>
      </c>
      <c r="D80" s="79" t="str">
        <f>'Assessment Matrix'!D28</f>
        <v>Tool and agent actions are constrained, logged, policy-checked, and require confirmation for material actions.</v>
      </c>
      <c r="E80" s="78" t="str">
        <f>IF(OR($AB80="",E$52=""),IF('Assessment Matrix'!E28="","",'Assessment Matrix'!E28),IF(INDEX('Old Assessment Matrix'!$A$1:$BZ$2000,$AB80,E$52)="","",INDEX('Old Assessment Matrix'!$A$1:$BZ$2000,$AB80,E$52)))</f>
        <v>Blocker</v>
      </c>
      <c r="G80" s="78">
        <f>IF(OR($AB80="",G$52=""),IF('Assessment Matrix'!G28="","",'Assessment Matrix'!G28),IF(INDEX('Old Assessment Matrix'!$A$1:$BZ$2000,$AB80,G$52)="","",INDEX('Old Assessment Matrix'!$A$1:$BZ$2000,$AB80,G$52)))</f>
        <v>4</v>
      </c>
      <c r="H80" s="78">
        <f>IF(OR($AB80="",H$52=""),IF('Assessment Matrix'!H28="","",'Assessment Matrix'!H28),IF(INDEX('Old Assessment Matrix'!$A$1:$BZ$2000,$AB80,H$52)="","",INDEX('Old Assessment Matrix'!$A$1:$BZ$2000,$AB80,H$52)))</f>
        <v>5</v>
      </c>
      <c r="J80" s="78" t="str">
        <f>IF(OR($AB80="",J$52=""),IF('Assessment Matrix'!J28="","",'Assessment Matrix'!J28),IF(INDEX('Old Assessment Matrix'!$A$1:$BZ$2000,$AB80,J$52)="","",INDEX('Old Assessment Matrix'!$A$1:$BZ$2000,$AB80,J$52)))</f>
        <v/>
      </c>
      <c r="K80" s="78" t="str">
        <f>IF(OR($AB80="",K$52=""),IF('Assessment Matrix'!K28="","",'Assessment Matrix'!K28),IF(INDEX('Old Assessment Matrix'!$A$1:$BZ$2000,$AB80,K$52)="","",INDEX('Old Assessment Matrix'!$A$1:$BZ$2000,$AB80,K$52)))</f>
        <v/>
      </c>
      <c r="O80" s="78" t="str">
        <f>IF(OR($AB80="",O$52=""),IF('Assessment Matrix'!O28="","",'Assessment Matrix'!O28),IF(INDEX('Old Assessment Matrix'!$A$1:$BZ$2000,$AB80,O$52)="","",INDEX('Old Assessment Matrix'!$A$1:$BZ$2000,$AB80,O$52)))</f>
        <v/>
      </c>
      <c r="P80" s="78" t="str">
        <f>IF(OR($AB80="",P$52=""),IF('Assessment Matrix'!P28="","",'Assessment Matrix'!P28),IF(INDEX('Old Assessment Matrix'!$A$1:$BZ$2000,$AB80,P$52)="","",INDEX('Old Assessment Matrix'!$A$1:$BZ$2000,$AB80,P$52)))</f>
        <v/>
      </c>
      <c r="Q80" s="78" t="str">
        <f>IF(OR($AB80="",Q$52=""),IF('Assessment Matrix'!Q28="","",'Assessment Matrix'!Q28),IF(INDEX('Old Assessment Matrix'!$A$1:$BZ$2000,$AB80,Q$52)="","",INDEX('Old Assessment Matrix'!$A$1:$BZ$2000,$AB80,Q$52)))</f>
        <v/>
      </c>
      <c r="R80" s="80" t="str">
        <f>IF(OR($AB80="",R$52=""),IF('Assessment Matrix'!R28="","",'Assessment Matrix'!R28),IF(INDEX('Old Assessment Matrix'!$A$1:$BZ$2000,$AB80,R$52)="","",INDEX('Old Assessment Matrix'!$A$1:$BZ$2000,$AB80,R$52)))</f>
        <v/>
      </c>
      <c r="S80" s="78" t="str">
        <f>IF(OR($AB80="",S$52=""),IF('Assessment Matrix'!S28="","",'Assessment Matrix'!S28),IF(INDEX('Old Assessment Matrix'!$A$1:$BZ$2000,$AB80,S$52)="","",INDEX('Old Assessment Matrix'!$A$1:$BZ$2000,$AB80,S$52)))</f>
        <v/>
      </c>
      <c r="T80" s="78" t="str">
        <f>IF(OR($AB80="",T$52=""),IF('Assessment Matrix'!T28="","",'Assessment Matrix'!T28),IF(INDEX('Old Assessment Matrix'!$A$1:$BZ$2000,$AB80,T$52)="","",INDEX('Old Assessment Matrix'!$A$1:$BZ$2000,$AB80,T$52)))</f>
        <v/>
      </c>
      <c r="X80" s="78" t="str">
        <f>IF(OR($AB80="",X$52=""),IF('Assessment Matrix'!X28="","",'Assessment Matrix'!X28),IF(INDEX('Old Assessment Matrix'!$A$1:$BZ$2000,$AB80,X$52)="","",INDEX('Old Assessment Matrix'!$A$1:$BZ$2000,$AB80,X$52)))</f>
        <v/>
      </c>
      <c r="Y80" s="78" t="str">
        <f>IF(OR($AB80="",Y$52=""),IF('Assessment Matrix'!Y28="","",'Assessment Matrix'!Y28),IF(INDEX('Old Assessment Matrix'!$A$1:$BZ$2000,$AB80,Y$52)="","",INDEX('Old Assessment Matrix'!$A$1:$BZ$2000,$AB80,Y$52)))</f>
        <v/>
      </c>
      <c r="Z80" s="80" t="str">
        <f>IF(OR($AB80="",Z$52=""),IF('Assessment Matrix'!Z28="","",'Assessment Matrix'!Z28),IF(INDEX('Old Assessment Matrix'!$A$1:$BZ$2000,$AB80,Z$52)="","",INDEX('Old Assessment Matrix'!$A$1:$BZ$2000,$AB80,Z$52)))</f>
        <v/>
      </c>
      <c r="AB80" s="79" t="str">
        <f>IFERROR(MATCH($A80,'Old Assessment Matrix'!$A:$A,0),"")</f>
        <v/>
      </c>
      <c r="AC80" s="79" t="str">
        <f t="shared" si="1"/>
        <v>4.6</v>
      </c>
    </row>
    <row r="81" spans="1:29" x14ac:dyDescent="0.3">
      <c r="A81" s="19" t="str">
        <f>'Assessment Matrix'!A29</f>
        <v>4.7</v>
      </c>
      <c r="D81" s="79" t="str">
        <f>'Assessment Matrix'!D29</f>
        <v>Quality and safety evaluations cover hallucination, prohibited content, bias/fairness where relevant, and domain accuracy.</v>
      </c>
      <c r="E81" s="78" t="str">
        <f>IF(OR($AB81="",E$52=""),IF('Assessment Matrix'!E29="","",'Assessment Matrix'!E29),IF(INDEX('Old Assessment Matrix'!$A$1:$BZ$2000,$AB81,E$52)="","",INDEX('Old Assessment Matrix'!$A$1:$BZ$2000,$AB81,E$52)))</f>
        <v>Major</v>
      </c>
      <c r="G81" s="78">
        <f>IF(OR($AB81="",G$52=""),IF('Assessment Matrix'!G29="","",'Assessment Matrix'!G29),IF(INDEX('Old Assessment Matrix'!$A$1:$BZ$2000,$AB81,G$52)="","",INDEX('Old Assessment Matrix'!$A$1:$BZ$2000,$AB81,G$52)))</f>
        <v>3</v>
      </c>
      <c r="H81" s="78">
        <f>IF(OR($AB81="",H$52=""),IF('Assessment Matrix'!H29="","",'Assessment Matrix'!H29),IF(INDEX('Old Assessment Matrix'!$A$1:$BZ$2000,$AB81,H$52)="","",INDEX('Old Assessment Matrix'!$A$1:$BZ$2000,$AB81,H$52)))</f>
        <v>4</v>
      </c>
      <c r="J81" s="78" t="str">
        <f>IF(OR($AB81="",J$52=""),IF('Assessment Matrix'!J29="","",'Assessment Matrix'!J29),IF(INDEX('Old Assessment Matrix'!$A$1:$BZ$2000,$AB81,J$52)="","",INDEX('Old Assessment Matrix'!$A$1:$BZ$2000,$AB81,J$52)))</f>
        <v/>
      </c>
      <c r="K81" s="78" t="str">
        <f>IF(OR($AB81="",K$52=""),IF('Assessment Matrix'!K29="","",'Assessment Matrix'!K29),IF(INDEX('Old Assessment Matrix'!$A$1:$BZ$2000,$AB81,K$52)="","",INDEX('Old Assessment Matrix'!$A$1:$BZ$2000,$AB81,K$52)))</f>
        <v/>
      </c>
      <c r="O81" s="78" t="str">
        <f>IF(OR($AB81="",O$52=""),IF('Assessment Matrix'!O29="","",'Assessment Matrix'!O29),IF(INDEX('Old Assessment Matrix'!$A$1:$BZ$2000,$AB81,O$52)="","",INDEX('Old Assessment Matrix'!$A$1:$BZ$2000,$AB81,O$52)))</f>
        <v/>
      </c>
      <c r="P81" s="78" t="str">
        <f>IF(OR($AB81="",P$52=""),IF('Assessment Matrix'!P29="","",'Assessment Matrix'!P29),IF(INDEX('Old Assessment Matrix'!$A$1:$BZ$2000,$AB81,P$52)="","",INDEX('Old Assessment Matrix'!$A$1:$BZ$2000,$AB81,P$52)))</f>
        <v/>
      </c>
      <c r="Q81" s="78" t="str">
        <f>IF(OR($AB81="",Q$52=""),IF('Assessment Matrix'!Q29="","",'Assessment Matrix'!Q29),IF(INDEX('Old Assessment Matrix'!$A$1:$BZ$2000,$AB81,Q$52)="","",INDEX('Old Assessment Matrix'!$A$1:$BZ$2000,$AB81,Q$52)))</f>
        <v/>
      </c>
      <c r="R81" s="80" t="str">
        <f>IF(OR($AB81="",R$52=""),IF('Assessment Matrix'!R29="","",'Assessment Matrix'!R29),IF(INDEX('Old Assessment Matrix'!$A$1:$BZ$2000,$AB81,R$52)="","",INDEX('Old Assessment Matrix'!$A$1:$BZ$2000,$AB81,R$52)))</f>
        <v/>
      </c>
      <c r="S81" s="78" t="str">
        <f>IF(OR($AB81="",S$52=""),IF('Assessment Matrix'!S29="","",'Assessment Matrix'!S29),IF(INDEX('Old Assessment Matrix'!$A$1:$BZ$2000,$AB81,S$52)="","",INDEX('Old Assessment Matrix'!$A$1:$BZ$2000,$AB81,S$52)))</f>
        <v/>
      </c>
      <c r="T81" s="78" t="str">
        <f>IF(OR($AB81="",T$52=""),IF('Assessment Matrix'!T29="","",'Assessment Matrix'!T29),IF(INDEX('Old Assessment Matrix'!$A$1:$BZ$2000,$AB81,T$52)="","",INDEX('Old Assessment Matrix'!$A$1:$BZ$2000,$AB81,T$52)))</f>
        <v/>
      </c>
      <c r="X81" s="78" t="str">
        <f>IF(OR($AB81="",X$52=""),IF('Assessment Matrix'!X29="","",'Assessment Matrix'!X29),IF(INDEX('Old Assessment Matrix'!$A$1:$BZ$2000,$AB81,X$52)="","",INDEX('Old Assessment Matrix'!$A$1:$BZ$2000,$AB81,X$52)))</f>
        <v/>
      </c>
      <c r="Y81" s="78" t="str">
        <f>IF(OR($AB81="",Y$52=""),IF('Assessment Matrix'!Y29="","",'Assessment Matrix'!Y29),IF(INDEX('Old Assessment Matrix'!$A$1:$BZ$2000,$AB81,Y$52)="","",INDEX('Old Assessment Matrix'!$A$1:$BZ$2000,$AB81,Y$52)))</f>
        <v/>
      </c>
      <c r="Z81" s="80" t="str">
        <f>IF(OR($AB81="",Z$52=""),IF('Assessment Matrix'!Z29="","",'Assessment Matrix'!Z29),IF(INDEX('Old Assessment Matrix'!$A$1:$BZ$2000,$AB81,Z$52)="","",INDEX('Old Assessment Matrix'!$A$1:$BZ$2000,$AB81,Z$52)))</f>
        <v/>
      </c>
      <c r="AB81" s="79" t="str">
        <f>IFERROR(MATCH($A81,'Old Assessment Matrix'!$A:$A,0),"")</f>
        <v/>
      </c>
      <c r="AC81" s="79" t="str">
        <f t="shared" si="1"/>
        <v>4.7</v>
      </c>
    </row>
    <row r="82" spans="1:29" x14ac:dyDescent="0.3">
      <c r="A82" s="19" t="str">
        <f>'Assessment Matrix'!A30</f>
        <v>4.8</v>
      </c>
      <c r="D82" s="79" t="str">
        <f>'Assessment Matrix'!D30</f>
        <v>Adversarial testing covers transformations that may bypass policy controls wherever guardrails or content filters are relied upon: encoding and obfuscation, Unicode and homoglyphs, multilingual reformulation, canonicalization and tokenization effects.</v>
      </c>
      <c r="E82" s="78" t="str">
        <f>IF(OR($AB82="",E$52=""),IF('Assessment Matrix'!E30="","",'Assessment Matrix'!E30),IF(INDEX('Old Assessment Matrix'!$A$1:$BZ$2000,$AB82,E$52)="","",INDEX('Old Assessment Matrix'!$A$1:$BZ$2000,$AB82,E$52)))</f>
        <v>Major</v>
      </c>
      <c r="G82" s="78">
        <f>IF(OR($AB82="",G$52=""),IF('Assessment Matrix'!G30="","",'Assessment Matrix'!G30),IF(INDEX('Old Assessment Matrix'!$A$1:$BZ$2000,$AB82,G$52)="","",INDEX('Old Assessment Matrix'!$A$1:$BZ$2000,$AB82,G$52)))</f>
        <v>3</v>
      </c>
      <c r="H82" s="78">
        <f>IF(OR($AB82="",H$52=""),IF('Assessment Matrix'!H30="","",'Assessment Matrix'!H30),IF(INDEX('Old Assessment Matrix'!$A$1:$BZ$2000,$AB82,H$52)="","",INDEX('Old Assessment Matrix'!$A$1:$BZ$2000,$AB82,H$52)))</f>
        <v>4</v>
      </c>
      <c r="J82" s="78" t="str">
        <f>IF(OR($AB82="",J$52=""),IF('Assessment Matrix'!J30="","",'Assessment Matrix'!J30),IF(INDEX('Old Assessment Matrix'!$A$1:$BZ$2000,$AB82,J$52)="","",INDEX('Old Assessment Matrix'!$A$1:$BZ$2000,$AB82,J$52)))</f>
        <v/>
      </c>
      <c r="K82" s="78" t="str">
        <f>IF(OR($AB82="",K$52=""),IF('Assessment Matrix'!K30="","",'Assessment Matrix'!K30),IF(INDEX('Old Assessment Matrix'!$A$1:$BZ$2000,$AB82,K$52)="","",INDEX('Old Assessment Matrix'!$A$1:$BZ$2000,$AB82,K$52)))</f>
        <v/>
      </c>
      <c r="O82" s="78" t="str">
        <f>IF(OR($AB82="",O$52=""),IF('Assessment Matrix'!O30="","",'Assessment Matrix'!O30),IF(INDEX('Old Assessment Matrix'!$A$1:$BZ$2000,$AB82,O$52)="","",INDEX('Old Assessment Matrix'!$A$1:$BZ$2000,$AB82,O$52)))</f>
        <v/>
      </c>
      <c r="P82" s="78" t="str">
        <f>IF(OR($AB82="",P$52=""),IF('Assessment Matrix'!P30="","",'Assessment Matrix'!P30),IF(INDEX('Old Assessment Matrix'!$A$1:$BZ$2000,$AB82,P$52)="","",INDEX('Old Assessment Matrix'!$A$1:$BZ$2000,$AB82,P$52)))</f>
        <v/>
      </c>
      <c r="Q82" s="78" t="str">
        <f>IF(OR($AB82="",Q$52=""),IF('Assessment Matrix'!Q30="","",'Assessment Matrix'!Q30),IF(INDEX('Old Assessment Matrix'!$A$1:$BZ$2000,$AB82,Q$52)="","",INDEX('Old Assessment Matrix'!$A$1:$BZ$2000,$AB82,Q$52)))</f>
        <v/>
      </c>
      <c r="R82" s="80" t="str">
        <f>IF(OR($AB82="",R$52=""),IF('Assessment Matrix'!R30="","",'Assessment Matrix'!R30),IF(INDEX('Old Assessment Matrix'!$A$1:$BZ$2000,$AB82,R$52)="","",INDEX('Old Assessment Matrix'!$A$1:$BZ$2000,$AB82,R$52)))</f>
        <v/>
      </c>
      <c r="S82" s="78" t="str">
        <f>IF(OR($AB82="",S$52=""),IF('Assessment Matrix'!S30="","",'Assessment Matrix'!S30),IF(INDEX('Old Assessment Matrix'!$A$1:$BZ$2000,$AB82,S$52)="","",INDEX('Old Assessment Matrix'!$A$1:$BZ$2000,$AB82,S$52)))</f>
        <v/>
      </c>
      <c r="T82" s="78" t="str">
        <f>IF(OR($AB82="",T$52=""),IF('Assessment Matrix'!T30="","",'Assessment Matrix'!T30),IF(INDEX('Old Assessment Matrix'!$A$1:$BZ$2000,$AB82,T$52)="","",INDEX('Old Assessment Matrix'!$A$1:$BZ$2000,$AB82,T$52)))</f>
        <v/>
      </c>
      <c r="X82" s="78" t="str">
        <f>IF(OR($AB82="",X$52=""),IF('Assessment Matrix'!X30="","",'Assessment Matrix'!X30),IF(INDEX('Old Assessment Matrix'!$A$1:$BZ$2000,$AB82,X$52)="","",INDEX('Old Assessment Matrix'!$A$1:$BZ$2000,$AB82,X$52)))</f>
        <v/>
      </c>
      <c r="Y82" s="78" t="str">
        <f>IF(OR($AB82="",Y$52=""),IF('Assessment Matrix'!Y30="","",'Assessment Matrix'!Y30),IF(INDEX('Old Assessment Matrix'!$A$1:$BZ$2000,$AB82,Y$52)="","",INDEX('Old Assessment Matrix'!$A$1:$BZ$2000,$AB82,Y$52)))</f>
        <v/>
      </c>
      <c r="Z82" s="80" t="str">
        <f>IF(OR($AB82="",Z$52=""),IF('Assessment Matrix'!Z30="","",'Assessment Matrix'!Z30),IF(INDEX('Old Assessment Matrix'!$A$1:$BZ$2000,$AB82,Z$52)="","",INDEX('Old Assessment Matrix'!$A$1:$BZ$2000,$AB82,Z$52)))</f>
        <v/>
      </c>
      <c r="AB82" s="79" t="str">
        <f>IFERROR(MATCH($A82,'Old Assessment Matrix'!$A:$A,0),"")</f>
        <v/>
      </c>
      <c r="AC82" s="79" t="str">
        <f t="shared" si="1"/>
        <v>4.8</v>
      </c>
    </row>
    <row r="83" spans="1:29" x14ac:dyDescent="0.3">
      <c r="A83" s="19" t="str">
        <f>'Assessment Matrix'!A31</f>
        <v>4.9</v>
      </c>
      <c r="D83" s="79" t="str">
        <f>'Assessment Matrix'!D31</f>
        <v>Generated code, package names, dependencies, build instructions, and configuration are treated as untrusted and checked against approved registries, provenance information, license policy, and security tooling before use.</v>
      </c>
      <c r="E83" s="78" t="str">
        <f>IF(OR($AB83="",E$52=""),IF('Assessment Matrix'!E31="","",'Assessment Matrix'!E31),IF(INDEX('Old Assessment Matrix'!$A$1:$BZ$2000,$AB83,E$52)="","",INDEX('Old Assessment Matrix'!$A$1:$BZ$2000,$AB83,E$52)))</f>
        <v>Major</v>
      </c>
      <c r="G83" s="78">
        <f>IF(OR($AB83="",G$52=""),IF('Assessment Matrix'!G31="","",'Assessment Matrix'!G31),IF(INDEX('Old Assessment Matrix'!$A$1:$BZ$2000,$AB83,G$52)="","",INDEX('Old Assessment Matrix'!$A$1:$BZ$2000,$AB83,G$52)))</f>
        <v>3</v>
      </c>
      <c r="H83" s="78">
        <f>IF(OR($AB83="",H$52=""),IF('Assessment Matrix'!H31="","",'Assessment Matrix'!H31),IF(INDEX('Old Assessment Matrix'!$A$1:$BZ$2000,$AB83,H$52)="","",INDEX('Old Assessment Matrix'!$A$1:$BZ$2000,$AB83,H$52)))</f>
        <v>4</v>
      </c>
      <c r="J83" s="78" t="str">
        <f>IF(OR($AB83="",J$52=""),IF('Assessment Matrix'!J31="","",'Assessment Matrix'!J31),IF(INDEX('Old Assessment Matrix'!$A$1:$BZ$2000,$AB83,J$52)="","",INDEX('Old Assessment Matrix'!$A$1:$BZ$2000,$AB83,J$52)))</f>
        <v/>
      </c>
      <c r="K83" s="78" t="str">
        <f>IF(OR($AB83="",K$52=""),IF('Assessment Matrix'!K31="","",'Assessment Matrix'!K31),IF(INDEX('Old Assessment Matrix'!$A$1:$BZ$2000,$AB83,K$52)="","",INDEX('Old Assessment Matrix'!$A$1:$BZ$2000,$AB83,K$52)))</f>
        <v/>
      </c>
      <c r="O83" s="78" t="str">
        <f>IF(OR($AB83="",O$52=""),IF('Assessment Matrix'!O31="","",'Assessment Matrix'!O31),IF(INDEX('Old Assessment Matrix'!$A$1:$BZ$2000,$AB83,O$52)="","",INDEX('Old Assessment Matrix'!$A$1:$BZ$2000,$AB83,O$52)))</f>
        <v/>
      </c>
      <c r="P83" s="78" t="str">
        <f>IF(OR($AB83="",P$52=""),IF('Assessment Matrix'!P31="","",'Assessment Matrix'!P31),IF(INDEX('Old Assessment Matrix'!$A$1:$BZ$2000,$AB83,P$52)="","",INDEX('Old Assessment Matrix'!$A$1:$BZ$2000,$AB83,P$52)))</f>
        <v/>
      </c>
      <c r="Q83" s="78" t="str">
        <f>IF(OR($AB83="",Q$52=""),IF('Assessment Matrix'!Q31="","",'Assessment Matrix'!Q31),IF(INDEX('Old Assessment Matrix'!$A$1:$BZ$2000,$AB83,Q$52)="","",INDEX('Old Assessment Matrix'!$A$1:$BZ$2000,$AB83,Q$52)))</f>
        <v/>
      </c>
      <c r="R83" s="80" t="str">
        <f>IF(OR($AB83="",R$52=""),IF('Assessment Matrix'!R31="","",'Assessment Matrix'!R31),IF(INDEX('Old Assessment Matrix'!$A$1:$BZ$2000,$AB83,R$52)="","",INDEX('Old Assessment Matrix'!$A$1:$BZ$2000,$AB83,R$52)))</f>
        <v/>
      </c>
      <c r="S83" s="78" t="str">
        <f>IF(OR($AB83="",S$52=""),IF('Assessment Matrix'!S31="","",'Assessment Matrix'!S31),IF(INDEX('Old Assessment Matrix'!$A$1:$BZ$2000,$AB83,S$52)="","",INDEX('Old Assessment Matrix'!$A$1:$BZ$2000,$AB83,S$52)))</f>
        <v/>
      </c>
      <c r="T83" s="78" t="str">
        <f>IF(OR($AB83="",T$52=""),IF('Assessment Matrix'!T31="","",'Assessment Matrix'!T31),IF(INDEX('Old Assessment Matrix'!$A$1:$BZ$2000,$AB83,T$52)="","",INDEX('Old Assessment Matrix'!$A$1:$BZ$2000,$AB83,T$52)))</f>
        <v/>
      </c>
      <c r="X83" s="78" t="str">
        <f>IF(OR($AB83="",X$52=""),IF('Assessment Matrix'!X31="","",'Assessment Matrix'!X31),IF(INDEX('Old Assessment Matrix'!$A$1:$BZ$2000,$AB83,X$52)="","",INDEX('Old Assessment Matrix'!$A$1:$BZ$2000,$AB83,X$52)))</f>
        <v/>
      </c>
      <c r="Y83" s="78" t="str">
        <f>IF(OR($AB83="",Y$52=""),IF('Assessment Matrix'!Y31="","",'Assessment Matrix'!Y31),IF(INDEX('Old Assessment Matrix'!$A$1:$BZ$2000,$AB83,Y$52)="","",INDEX('Old Assessment Matrix'!$A$1:$BZ$2000,$AB83,Y$52)))</f>
        <v/>
      </c>
      <c r="Z83" s="80" t="str">
        <f>IF(OR($AB83="",Z$52=""),IF('Assessment Matrix'!Z31="","",'Assessment Matrix'!Z31),IF(INDEX('Old Assessment Matrix'!$A$1:$BZ$2000,$AB83,Z$52)="","",INDEX('Old Assessment Matrix'!$A$1:$BZ$2000,$AB83,Z$52)))</f>
        <v/>
      </c>
      <c r="AB83" s="79" t="str">
        <f>IFERROR(MATCH($A83,'Old Assessment Matrix'!$A:$A,0),"")</f>
        <v/>
      </c>
      <c r="AC83" s="79" t="str">
        <f t="shared" si="1"/>
        <v>4.9</v>
      </c>
    </row>
    <row r="84" spans="1:29" x14ac:dyDescent="0.3">
      <c r="A84" s="19" t="str">
        <f>'Assessment Matrix'!A32</f>
        <v>4.10</v>
      </c>
      <c r="D84" s="79" t="str">
        <f>'Assessment Matrix'!D32</f>
        <v>A versioned regression suite (prompt set, guardrail bypass attempts, safety and quality evals) is rerun on every model, prompt, retrieval, or guardrail change; failures block rollout.</v>
      </c>
      <c r="E84" s="78" t="str">
        <f>IF(OR($AB84="",E$52=""),IF('Assessment Matrix'!E32="","",'Assessment Matrix'!E32),IF(INDEX('Old Assessment Matrix'!$A$1:$BZ$2000,$AB84,E$52)="","",INDEX('Old Assessment Matrix'!$A$1:$BZ$2000,$AB84,E$52)))</f>
        <v>Major</v>
      </c>
      <c r="G84" s="78">
        <f>IF(OR($AB84="",G$52=""),IF('Assessment Matrix'!G32="","",'Assessment Matrix'!G32),IF(INDEX('Old Assessment Matrix'!$A$1:$BZ$2000,$AB84,G$52)="","",INDEX('Old Assessment Matrix'!$A$1:$BZ$2000,$AB84,G$52)))</f>
        <v>3</v>
      </c>
      <c r="H84" s="78">
        <f>IF(OR($AB84="",H$52=""),IF('Assessment Matrix'!H32="","",'Assessment Matrix'!H32),IF(INDEX('Old Assessment Matrix'!$A$1:$BZ$2000,$AB84,H$52)="","",INDEX('Old Assessment Matrix'!$A$1:$BZ$2000,$AB84,H$52)))</f>
        <v>4</v>
      </c>
      <c r="J84" s="78" t="str">
        <f>IF(OR($AB84="",J$52=""),IF('Assessment Matrix'!J32="","",'Assessment Matrix'!J32),IF(INDEX('Old Assessment Matrix'!$A$1:$BZ$2000,$AB84,J$52)="","",INDEX('Old Assessment Matrix'!$A$1:$BZ$2000,$AB84,J$52)))</f>
        <v/>
      </c>
      <c r="K84" s="78" t="str">
        <f>IF(OR($AB84="",K$52=""),IF('Assessment Matrix'!K32="","",'Assessment Matrix'!K32),IF(INDEX('Old Assessment Matrix'!$A$1:$BZ$2000,$AB84,K$52)="","",INDEX('Old Assessment Matrix'!$A$1:$BZ$2000,$AB84,K$52)))</f>
        <v/>
      </c>
      <c r="O84" s="78" t="str">
        <f>IF(OR($AB84="",O$52=""),IF('Assessment Matrix'!O32="","",'Assessment Matrix'!O32),IF(INDEX('Old Assessment Matrix'!$A$1:$BZ$2000,$AB84,O$52)="","",INDEX('Old Assessment Matrix'!$A$1:$BZ$2000,$AB84,O$52)))</f>
        <v/>
      </c>
      <c r="P84" s="78" t="str">
        <f>IF(OR($AB84="",P$52=""),IF('Assessment Matrix'!P32="","",'Assessment Matrix'!P32),IF(INDEX('Old Assessment Matrix'!$A$1:$BZ$2000,$AB84,P$52)="","",INDEX('Old Assessment Matrix'!$A$1:$BZ$2000,$AB84,P$52)))</f>
        <v/>
      </c>
      <c r="Q84" s="78" t="str">
        <f>IF(OR($AB84="",Q$52=""),IF('Assessment Matrix'!Q32="","",'Assessment Matrix'!Q32),IF(INDEX('Old Assessment Matrix'!$A$1:$BZ$2000,$AB84,Q$52)="","",INDEX('Old Assessment Matrix'!$A$1:$BZ$2000,$AB84,Q$52)))</f>
        <v/>
      </c>
      <c r="R84" s="80" t="str">
        <f>IF(OR($AB84="",R$52=""),IF('Assessment Matrix'!R32="","",'Assessment Matrix'!R32),IF(INDEX('Old Assessment Matrix'!$A$1:$BZ$2000,$AB84,R$52)="","",INDEX('Old Assessment Matrix'!$A$1:$BZ$2000,$AB84,R$52)))</f>
        <v/>
      </c>
      <c r="S84" s="78" t="str">
        <f>IF(OR($AB84="",S$52=""),IF('Assessment Matrix'!S32="","",'Assessment Matrix'!S32),IF(INDEX('Old Assessment Matrix'!$A$1:$BZ$2000,$AB84,S$52)="","",INDEX('Old Assessment Matrix'!$A$1:$BZ$2000,$AB84,S$52)))</f>
        <v/>
      </c>
      <c r="T84" s="78" t="str">
        <f>IF(OR($AB84="",T$52=""),IF('Assessment Matrix'!T32="","",'Assessment Matrix'!T32),IF(INDEX('Old Assessment Matrix'!$A$1:$BZ$2000,$AB84,T$52)="","",INDEX('Old Assessment Matrix'!$A$1:$BZ$2000,$AB84,T$52)))</f>
        <v/>
      </c>
      <c r="X84" s="78" t="str">
        <f>IF(OR($AB84="",X$52=""),IF('Assessment Matrix'!X32="","",'Assessment Matrix'!X32),IF(INDEX('Old Assessment Matrix'!$A$1:$BZ$2000,$AB84,X$52)="","",INDEX('Old Assessment Matrix'!$A$1:$BZ$2000,$AB84,X$52)))</f>
        <v/>
      </c>
      <c r="Y84" s="78" t="str">
        <f>IF(OR($AB84="",Y$52=""),IF('Assessment Matrix'!Y32="","",'Assessment Matrix'!Y32),IF(INDEX('Old Assessment Matrix'!$A$1:$BZ$2000,$AB84,Y$52)="","",INDEX('Old Assessment Matrix'!$A$1:$BZ$2000,$AB84,Y$52)))</f>
        <v/>
      </c>
      <c r="Z84" s="80" t="str">
        <f>IF(OR($AB84="",Z$52=""),IF('Assessment Matrix'!Z32="","",'Assessment Matrix'!Z32),IF(INDEX('Old Assessment Matrix'!$A$1:$BZ$2000,$AB84,Z$52)="","",INDEX('Old Assessment Matrix'!$A$1:$BZ$2000,$AB84,Z$52)))</f>
        <v/>
      </c>
      <c r="AB84" s="79" t="str">
        <f>IFERROR(MATCH($A84,'Old Assessment Matrix'!$A:$A,0),"")</f>
        <v/>
      </c>
      <c r="AC84" s="79" t="str">
        <f t="shared" si="1"/>
        <v>4.10</v>
      </c>
    </row>
    <row r="85" spans="1:29" x14ac:dyDescent="0.3">
      <c r="A85" s="19" t="str">
        <f>'Assessment Matrix'!A33</f>
        <v>5.1</v>
      </c>
      <c r="D85" s="79" t="str">
        <f>'Assessment Matrix'!D33</f>
        <v>AI BOM / ML-BOM / SBOM covers model, datasets, dependencies, containers, prompts, plugins/tools, APIs, and licenses.</v>
      </c>
      <c r="E85" s="78" t="str">
        <f>IF(OR($AB85="",E$52=""),IF('Assessment Matrix'!E33="","",'Assessment Matrix'!E33),IF(INDEX('Old Assessment Matrix'!$A$1:$BZ$2000,$AB85,E$52)="","",INDEX('Old Assessment Matrix'!$A$1:$BZ$2000,$AB85,E$52)))</f>
        <v>Major</v>
      </c>
      <c r="G85" s="78">
        <f>IF(OR($AB85="",G$52=""),IF('Assessment Matrix'!G33="","",'Assessment Matrix'!G33),IF(INDEX('Old Assessment Matrix'!$A$1:$BZ$2000,$AB85,G$52)="","",INDEX('Old Assessment Matrix'!$A$1:$BZ$2000,$AB85,G$52)))</f>
        <v>4</v>
      </c>
      <c r="H85" s="78">
        <f>IF(OR($AB85="",H$52=""),IF('Assessment Matrix'!H33="","",'Assessment Matrix'!H33),IF(INDEX('Old Assessment Matrix'!$A$1:$BZ$2000,$AB85,H$52)="","",INDEX('Old Assessment Matrix'!$A$1:$BZ$2000,$AB85,H$52)))</f>
        <v>4</v>
      </c>
      <c r="J85" s="78" t="str">
        <f>IF(OR($AB85="",J$52=""),IF('Assessment Matrix'!J33="","",'Assessment Matrix'!J33),IF(INDEX('Old Assessment Matrix'!$A$1:$BZ$2000,$AB85,J$52)="","",INDEX('Old Assessment Matrix'!$A$1:$BZ$2000,$AB85,J$52)))</f>
        <v/>
      </c>
      <c r="K85" s="78" t="str">
        <f>IF(OR($AB85="",K$52=""),IF('Assessment Matrix'!K33="","",'Assessment Matrix'!K33),IF(INDEX('Old Assessment Matrix'!$A$1:$BZ$2000,$AB85,K$52)="","",INDEX('Old Assessment Matrix'!$A$1:$BZ$2000,$AB85,K$52)))</f>
        <v/>
      </c>
      <c r="O85" s="78" t="str">
        <f>IF(OR($AB85="",O$52=""),IF('Assessment Matrix'!O33="","",'Assessment Matrix'!O33),IF(INDEX('Old Assessment Matrix'!$A$1:$BZ$2000,$AB85,O$52)="","",INDEX('Old Assessment Matrix'!$A$1:$BZ$2000,$AB85,O$52)))</f>
        <v/>
      </c>
      <c r="P85" s="78" t="str">
        <f>IF(OR($AB85="",P$52=""),IF('Assessment Matrix'!P33="","",'Assessment Matrix'!P33),IF(INDEX('Old Assessment Matrix'!$A$1:$BZ$2000,$AB85,P$52)="","",INDEX('Old Assessment Matrix'!$A$1:$BZ$2000,$AB85,P$52)))</f>
        <v/>
      </c>
      <c r="Q85" s="78" t="str">
        <f>IF(OR($AB85="",Q$52=""),IF('Assessment Matrix'!Q33="","",'Assessment Matrix'!Q33),IF(INDEX('Old Assessment Matrix'!$A$1:$BZ$2000,$AB85,Q$52)="","",INDEX('Old Assessment Matrix'!$A$1:$BZ$2000,$AB85,Q$52)))</f>
        <v/>
      </c>
      <c r="R85" s="80" t="str">
        <f>IF(OR($AB85="",R$52=""),IF('Assessment Matrix'!R33="","",'Assessment Matrix'!R33),IF(INDEX('Old Assessment Matrix'!$A$1:$BZ$2000,$AB85,R$52)="","",INDEX('Old Assessment Matrix'!$A$1:$BZ$2000,$AB85,R$52)))</f>
        <v/>
      </c>
      <c r="S85" s="78" t="str">
        <f>IF(OR($AB85="",S$52=""),IF('Assessment Matrix'!S33="","",'Assessment Matrix'!S33),IF(INDEX('Old Assessment Matrix'!$A$1:$BZ$2000,$AB85,S$52)="","",INDEX('Old Assessment Matrix'!$A$1:$BZ$2000,$AB85,S$52)))</f>
        <v/>
      </c>
      <c r="T85" s="78" t="str">
        <f>IF(OR($AB85="",T$52=""),IF('Assessment Matrix'!T33="","",'Assessment Matrix'!T33),IF(INDEX('Old Assessment Matrix'!$A$1:$BZ$2000,$AB85,T$52)="","",INDEX('Old Assessment Matrix'!$A$1:$BZ$2000,$AB85,T$52)))</f>
        <v/>
      </c>
      <c r="X85" s="78" t="str">
        <f>IF(OR($AB85="",X$52=""),IF('Assessment Matrix'!X33="","",'Assessment Matrix'!X33),IF(INDEX('Old Assessment Matrix'!$A$1:$BZ$2000,$AB85,X$52)="","",INDEX('Old Assessment Matrix'!$A$1:$BZ$2000,$AB85,X$52)))</f>
        <v/>
      </c>
      <c r="Y85" s="78" t="str">
        <f>IF(OR($AB85="",Y$52=""),IF('Assessment Matrix'!Y33="","",'Assessment Matrix'!Y33),IF(INDEX('Old Assessment Matrix'!$A$1:$BZ$2000,$AB85,Y$52)="","",INDEX('Old Assessment Matrix'!$A$1:$BZ$2000,$AB85,Y$52)))</f>
        <v/>
      </c>
      <c r="Z85" s="80" t="str">
        <f>IF(OR($AB85="",Z$52=""),IF('Assessment Matrix'!Z33="","",'Assessment Matrix'!Z33),IF(INDEX('Old Assessment Matrix'!$A$1:$BZ$2000,$AB85,Z$52)="","",INDEX('Old Assessment Matrix'!$A$1:$BZ$2000,$AB85,Z$52)))</f>
        <v/>
      </c>
      <c r="AB85" s="79" t="str">
        <f>IFERROR(MATCH($A85,'Old Assessment Matrix'!$A:$A,0),"")</f>
        <v/>
      </c>
      <c r="AC85" s="79" t="str">
        <f t="shared" si="1"/>
        <v>5.1</v>
      </c>
    </row>
    <row r="86" spans="1:29" x14ac:dyDescent="0.3">
      <c r="A86" s="19" t="str">
        <f>'Assessment Matrix'!A34</f>
        <v>5.2</v>
      </c>
      <c r="D86" s="79" t="str">
        <f>'Assessment Matrix'!D34</f>
        <v>Artifacts are verifiable: signed containers, checksums, provenance, reproducible release process, or trusted registry.</v>
      </c>
      <c r="E86" s="78" t="str">
        <f>IF(OR($AB86="",E$52=""),IF('Assessment Matrix'!E34="","",'Assessment Matrix'!E34),IF(INDEX('Old Assessment Matrix'!$A$1:$BZ$2000,$AB86,E$52)="","",INDEX('Old Assessment Matrix'!$A$1:$BZ$2000,$AB86,E$52)))</f>
        <v>Major</v>
      </c>
      <c r="G86" s="78">
        <f>IF(OR($AB86="",G$52=""),IF('Assessment Matrix'!G34="","",'Assessment Matrix'!G34),IF(INDEX('Old Assessment Matrix'!$A$1:$BZ$2000,$AB86,G$52)="","",INDEX('Old Assessment Matrix'!$A$1:$BZ$2000,$AB86,G$52)))</f>
        <v>3</v>
      </c>
      <c r="H86" s="78">
        <f>IF(OR($AB86="",H$52=""),IF('Assessment Matrix'!H34="","",'Assessment Matrix'!H34),IF(INDEX('Old Assessment Matrix'!$A$1:$BZ$2000,$AB86,H$52)="","",INDEX('Old Assessment Matrix'!$A$1:$BZ$2000,$AB86,H$52)))</f>
        <v>4</v>
      </c>
      <c r="J86" s="78" t="str">
        <f>IF(OR($AB86="",J$52=""),IF('Assessment Matrix'!J34="","",'Assessment Matrix'!J34),IF(INDEX('Old Assessment Matrix'!$A$1:$BZ$2000,$AB86,J$52)="","",INDEX('Old Assessment Matrix'!$A$1:$BZ$2000,$AB86,J$52)))</f>
        <v/>
      </c>
      <c r="K86" s="78" t="str">
        <f>IF(OR($AB86="",K$52=""),IF('Assessment Matrix'!K34="","",'Assessment Matrix'!K34),IF(INDEX('Old Assessment Matrix'!$A$1:$BZ$2000,$AB86,K$52)="","",INDEX('Old Assessment Matrix'!$A$1:$BZ$2000,$AB86,K$52)))</f>
        <v/>
      </c>
      <c r="O86" s="78" t="str">
        <f>IF(OR($AB86="",O$52=""),IF('Assessment Matrix'!O34="","",'Assessment Matrix'!O34),IF(INDEX('Old Assessment Matrix'!$A$1:$BZ$2000,$AB86,O$52)="","",INDEX('Old Assessment Matrix'!$A$1:$BZ$2000,$AB86,O$52)))</f>
        <v/>
      </c>
      <c r="P86" s="78" t="str">
        <f>IF(OR($AB86="",P$52=""),IF('Assessment Matrix'!P34="","",'Assessment Matrix'!P34),IF(INDEX('Old Assessment Matrix'!$A$1:$BZ$2000,$AB86,P$52)="","",INDEX('Old Assessment Matrix'!$A$1:$BZ$2000,$AB86,P$52)))</f>
        <v/>
      </c>
      <c r="Q86" s="78" t="str">
        <f>IF(OR($AB86="",Q$52=""),IF('Assessment Matrix'!Q34="","",'Assessment Matrix'!Q34),IF(INDEX('Old Assessment Matrix'!$A$1:$BZ$2000,$AB86,Q$52)="","",INDEX('Old Assessment Matrix'!$A$1:$BZ$2000,$AB86,Q$52)))</f>
        <v/>
      </c>
      <c r="R86" s="80" t="str">
        <f>IF(OR($AB86="",R$52=""),IF('Assessment Matrix'!R34="","",'Assessment Matrix'!R34),IF(INDEX('Old Assessment Matrix'!$A$1:$BZ$2000,$AB86,R$52)="","",INDEX('Old Assessment Matrix'!$A$1:$BZ$2000,$AB86,R$52)))</f>
        <v/>
      </c>
      <c r="S86" s="78" t="str">
        <f>IF(OR($AB86="",S$52=""),IF('Assessment Matrix'!S34="","",'Assessment Matrix'!S34),IF(INDEX('Old Assessment Matrix'!$A$1:$BZ$2000,$AB86,S$52)="","",INDEX('Old Assessment Matrix'!$A$1:$BZ$2000,$AB86,S$52)))</f>
        <v/>
      </c>
      <c r="T86" s="78" t="str">
        <f>IF(OR($AB86="",T$52=""),IF('Assessment Matrix'!T34="","",'Assessment Matrix'!T34),IF(INDEX('Old Assessment Matrix'!$A$1:$BZ$2000,$AB86,T$52)="","",INDEX('Old Assessment Matrix'!$A$1:$BZ$2000,$AB86,T$52)))</f>
        <v/>
      </c>
      <c r="X86" s="78" t="str">
        <f>IF(OR($AB86="",X$52=""),IF('Assessment Matrix'!X34="","",'Assessment Matrix'!X34),IF(INDEX('Old Assessment Matrix'!$A$1:$BZ$2000,$AB86,X$52)="","",INDEX('Old Assessment Matrix'!$A$1:$BZ$2000,$AB86,X$52)))</f>
        <v/>
      </c>
      <c r="Y86" s="78" t="str">
        <f>IF(OR($AB86="",Y$52=""),IF('Assessment Matrix'!Y34="","",'Assessment Matrix'!Y34),IF(INDEX('Old Assessment Matrix'!$A$1:$BZ$2000,$AB86,Y$52)="","",INDEX('Old Assessment Matrix'!$A$1:$BZ$2000,$AB86,Y$52)))</f>
        <v/>
      </c>
      <c r="Z86" s="80" t="str">
        <f>IF(OR($AB86="",Z$52=""),IF('Assessment Matrix'!Z34="","",'Assessment Matrix'!Z34),IF(INDEX('Old Assessment Matrix'!$A$1:$BZ$2000,$AB86,Z$52)="","",INDEX('Old Assessment Matrix'!$A$1:$BZ$2000,$AB86,Z$52)))</f>
        <v/>
      </c>
      <c r="AB86" s="79" t="str">
        <f>IFERROR(MATCH($A86,'Old Assessment Matrix'!$A:$A,0),"")</f>
        <v/>
      </c>
      <c r="AC86" s="79" t="str">
        <f t="shared" ref="AC86:AC121" si="2">IF(AND($A86&lt;&gt;"",$AB86=""),$A86,"")</f>
        <v>5.2</v>
      </c>
    </row>
    <row r="87" spans="1:29" x14ac:dyDescent="0.3">
      <c r="A87" s="19" t="str">
        <f>'Assessment Matrix'!A35</f>
        <v>5.3</v>
      </c>
      <c r="D87" s="79" t="str">
        <f>'Assessment Matrix'!D35</f>
        <v>Critical/high vulnerabilities in model-serving stack, containers, dependencies, and integrations are remediated or risk-accepted.</v>
      </c>
      <c r="E87" s="78" t="str">
        <f>IF(OR($AB87="",E$52=""),IF('Assessment Matrix'!E35="","",'Assessment Matrix'!E35),IF(INDEX('Old Assessment Matrix'!$A$1:$BZ$2000,$AB87,E$52)="","",INDEX('Old Assessment Matrix'!$A$1:$BZ$2000,$AB87,E$52)))</f>
        <v>Blocker</v>
      </c>
      <c r="G87" s="78">
        <f>IF(OR($AB87="",G$52=""),IF('Assessment Matrix'!G35="","",'Assessment Matrix'!G35),IF(INDEX('Old Assessment Matrix'!$A$1:$BZ$2000,$AB87,G$52)="","",INDEX('Old Assessment Matrix'!$A$1:$BZ$2000,$AB87,G$52)))</f>
        <v>4</v>
      </c>
      <c r="H87" s="78">
        <f>IF(OR($AB87="",H$52=""),IF('Assessment Matrix'!H35="","",'Assessment Matrix'!H35),IF(INDEX('Old Assessment Matrix'!$A$1:$BZ$2000,$AB87,H$52)="","",INDEX('Old Assessment Matrix'!$A$1:$BZ$2000,$AB87,H$52)))</f>
        <v>5</v>
      </c>
      <c r="J87" s="78" t="str">
        <f>IF(OR($AB87="",J$52=""),IF('Assessment Matrix'!J35="","",'Assessment Matrix'!J35),IF(INDEX('Old Assessment Matrix'!$A$1:$BZ$2000,$AB87,J$52)="","",INDEX('Old Assessment Matrix'!$A$1:$BZ$2000,$AB87,J$52)))</f>
        <v/>
      </c>
      <c r="K87" s="78" t="str">
        <f>IF(OR($AB87="",K$52=""),IF('Assessment Matrix'!K35="","",'Assessment Matrix'!K35),IF(INDEX('Old Assessment Matrix'!$A$1:$BZ$2000,$AB87,K$52)="","",INDEX('Old Assessment Matrix'!$A$1:$BZ$2000,$AB87,K$52)))</f>
        <v/>
      </c>
      <c r="O87" s="78" t="str">
        <f>IF(OR($AB87="",O$52=""),IF('Assessment Matrix'!O35="","",'Assessment Matrix'!O35),IF(INDEX('Old Assessment Matrix'!$A$1:$BZ$2000,$AB87,O$52)="","",INDEX('Old Assessment Matrix'!$A$1:$BZ$2000,$AB87,O$52)))</f>
        <v/>
      </c>
      <c r="P87" s="78" t="str">
        <f>IF(OR($AB87="",P$52=""),IF('Assessment Matrix'!P35="","",'Assessment Matrix'!P35),IF(INDEX('Old Assessment Matrix'!$A$1:$BZ$2000,$AB87,P$52)="","",INDEX('Old Assessment Matrix'!$A$1:$BZ$2000,$AB87,P$52)))</f>
        <v/>
      </c>
      <c r="Q87" s="78" t="str">
        <f>IF(OR($AB87="",Q$52=""),IF('Assessment Matrix'!Q35="","",'Assessment Matrix'!Q35),IF(INDEX('Old Assessment Matrix'!$A$1:$BZ$2000,$AB87,Q$52)="","",INDEX('Old Assessment Matrix'!$A$1:$BZ$2000,$AB87,Q$52)))</f>
        <v/>
      </c>
      <c r="R87" s="80" t="str">
        <f>IF(OR($AB87="",R$52=""),IF('Assessment Matrix'!R35="","",'Assessment Matrix'!R35),IF(INDEX('Old Assessment Matrix'!$A$1:$BZ$2000,$AB87,R$52)="","",INDEX('Old Assessment Matrix'!$A$1:$BZ$2000,$AB87,R$52)))</f>
        <v/>
      </c>
      <c r="S87" s="78" t="str">
        <f>IF(OR($AB87="",S$52=""),IF('Assessment Matrix'!S35="","",'Assessment Matrix'!S35),IF(INDEX('Old Assessment Matrix'!$A$1:$BZ$2000,$AB87,S$52)="","",INDEX('Old Assessment Matrix'!$A$1:$BZ$2000,$AB87,S$52)))</f>
        <v/>
      </c>
      <c r="T87" s="78" t="str">
        <f>IF(OR($AB87="",T$52=""),IF('Assessment Matrix'!T35="","",'Assessment Matrix'!T35),IF(INDEX('Old Assessment Matrix'!$A$1:$BZ$2000,$AB87,T$52)="","",INDEX('Old Assessment Matrix'!$A$1:$BZ$2000,$AB87,T$52)))</f>
        <v/>
      </c>
      <c r="X87" s="78" t="str">
        <f>IF(OR($AB87="",X$52=""),IF('Assessment Matrix'!X35="","",'Assessment Matrix'!X35),IF(INDEX('Old Assessment Matrix'!$A$1:$BZ$2000,$AB87,X$52)="","",INDEX('Old Assessment Matrix'!$A$1:$BZ$2000,$AB87,X$52)))</f>
        <v/>
      </c>
      <c r="Y87" s="78" t="str">
        <f>IF(OR($AB87="",Y$52=""),IF('Assessment Matrix'!Y35="","",'Assessment Matrix'!Y35),IF(INDEX('Old Assessment Matrix'!$A$1:$BZ$2000,$AB87,Y$52)="","",INDEX('Old Assessment Matrix'!$A$1:$BZ$2000,$AB87,Y$52)))</f>
        <v/>
      </c>
      <c r="Z87" s="80" t="str">
        <f>IF(OR($AB87="",Z$52=""),IF('Assessment Matrix'!Z35="","",'Assessment Matrix'!Z35),IF(INDEX('Old Assessment Matrix'!$A$1:$BZ$2000,$AB87,Z$52)="","",INDEX('Old Assessment Matrix'!$A$1:$BZ$2000,$AB87,Z$52)))</f>
        <v/>
      </c>
      <c r="AB87" s="79" t="str">
        <f>IFERROR(MATCH($A87,'Old Assessment Matrix'!$A:$A,0),"")</f>
        <v/>
      </c>
      <c r="AC87" s="79" t="str">
        <f t="shared" si="2"/>
        <v>5.3</v>
      </c>
    </row>
    <row r="88" spans="1:29" x14ac:dyDescent="0.3">
      <c r="A88" s="19" t="str">
        <f>'Assessment Matrix'!A36</f>
        <v>5.4</v>
      </c>
      <c r="D88" s="79" t="str">
        <f>'Assessment Matrix'!D36</f>
        <v>License review covers model license, code license, dataset license, usage restrictions, redistribution, copyright, and attribution.</v>
      </c>
      <c r="E88" s="78" t="str">
        <f>IF(OR($AB88="",E$52=""),IF('Assessment Matrix'!E36="","",'Assessment Matrix'!E36),IF(INDEX('Old Assessment Matrix'!$A$1:$BZ$2000,$AB88,E$52)="","",INDEX('Old Assessment Matrix'!$A$1:$BZ$2000,$AB88,E$52)))</f>
        <v>Major</v>
      </c>
      <c r="G88" s="78">
        <f>IF(OR($AB88="",G$52=""),IF('Assessment Matrix'!G36="","",'Assessment Matrix'!G36),IF(INDEX('Old Assessment Matrix'!$A$1:$BZ$2000,$AB88,G$52)="","",INDEX('Old Assessment Matrix'!$A$1:$BZ$2000,$AB88,G$52)))</f>
        <v>3</v>
      </c>
      <c r="H88" s="78">
        <f>IF(OR($AB88="",H$52=""),IF('Assessment Matrix'!H36="","",'Assessment Matrix'!H36),IF(INDEX('Old Assessment Matrix'!$A$1:$BZ$2000,$AB88,H$52)="","",INDEX('Old Assessment Matrix'!$A$1:$BZ$2000,$AB88,H$52)))</f>
        <v>4</v>
      </c>
      <c r="J88" s="78" t="str">
        <f>IF(OR($AB88="",J$52=""),IF('Assessment Matrix'!J36="","",'Assessment Matrix'!J36),IF(INDEX('Old Assessment Matrix'!$A$1:$BZ$2000,$AB88,J$52)="","",INDEX('Old Assessment Matrix'!$A$1:$BZ$2000,$AB88,J$52)))</f>
        <v/>
      </c>
      <c r="K88" s="78" t="str">
        <f>IF(OR($AB88="",K$52=""),IF('Assessment Matrix'!K36="","",'Assessment Matrix'!K36),IF(INDEX('Old Assessment Matrix'!$A$1:$BZ$2000,$AB88,K$52)="","",INDEX('Old Assessment Matrix'!$A$1:$BZ$2000,$AB88,K$52)))</f>
        <v/>
      </c>
      <c r="O88" s="78" t="str">
        <f>IF(OR($AB88="",O$52=""),IF('Assessment Matrix'!O36="","",'Assessment Matrix'!O36),IF(INDEX('Old Assessment Matrix'!$A$1:$BZ$2000,$AB88,O$52)="","",INDEX('Old Assessment Matrix'!$A$1:$BZ$2000,$AB88,O$52)))</f>
        <v/>
      </c>
      <c r="P88" s="78" t="str">
        <f>IF(OR($AB88="",P$52=""),IF('Assessment Matrix'!P36="","",'Assessment Matrix'!P36),IF(INDEX('Old Assessment Matrix'!$A$1:$BZ$2000,$AB88,P$52)="","",INDEX('Old Assessment Matrix'!$A$1:$BZ$2000,$AB88,P$52)))</f>
        <v/>
      </c>
      <c r="Q88" s="78" t="str">
        <f>IF(OR($AB88="",Q$52=""),IF('Assessment Matrix'!Q36="","",'Assessment Matrix'!Q36),IF(INDEX('Old Assessment Matrix'!$A$1:$BZ$2000,$AB88,Q$52)="","",INDEX('Old Assessment Matrix'!$A$1:$BZ$2000,$AB88,Q$52)))</f>
        <v/>
      </c>
      <c r="R88" s="80" t="str">
        <f>IF(OR($AB88="",R$52=""),IF('Assessment Matrix'!R36="","",'Assessment Matrix'!R36),IF(INDEX('Old Assessment Matrix'!$A$1:$BZ$2000,$AB88,R$52)="","",INDEX('Old Assessment Matrix'!$A$1:$BZ$2000,$AB88,R$52)))</f>
        <v/>
      </c>
      <c r="S88" s="78" t="str">
        <f>IF(OR($AB88="",S$52=""),IF('Assessment Matrix'!S36="","",'Assessment Matrix'!S36),IF(INDEX('Old Assessment Matrix'!$A$1:$BZ$2000,$AB88,S$52)="","",INDEX('Old Assessment Matrix'!$A$1:$BZ$2000,$AB88,S$52)))</f>
        <v/>
      </c>
      <c r="T88" s="78" t="str">
        <f>IF(OR($AB88="",T$52=""),IF('Assessment Matrix'!T36="","",'Assessment Matrix'!T36),IF(INDEX('Old Assessment Matrix'!$A$1:$BZ$2000,$AB88,T$52)="","",INDEX('Old Assessment Matrix'!$A$1:$BZ$2000,$AB88,T$52)))</f>
        <v/>
      </c>
      <c r="X88" s="78" t="str">
        <f>IF(OR($AB88="",X$52=""),IF('Assessment Matrix'!X36="","",'Assessment Matrix'!X36),IF(INDEX('Old Assessment Matrix'!$A$1:$BZ$2000,$AB88,X$52)="","",INDEX('Old Assessment Matrix'!$A$1:$BZ$2000,$AB88,X$52)))</f>
        <v/>
      </c>
      <c r="Y88" s="78" t="str">
        <f>IF(OR($AB88="",Y$52=""),IF('Assessment Matrix'!Y36="","",'Assessment Matrix'!Y36),IF(INDEX('Old Assessment Matrix'!$A$1:$BZ$2000,$AB88,Y$52)="","",INDEX('Old Assessment Matrix'!$A$1:$BZ$2000,$AB88,Y$52)))</f>
        <v/>
      </c>
      <c r="Z88" s="80" t="str">
        <f>IF(OR($AB88="",Z$52=""),IF('Assessment Matrix'!Z36="","",'Assessment Matrix'!Z36),IF(INDEX('Old Assessment Matrix'!$A$1:$BZ$2000,$AB88,Z$52)="","",INDEX('Old Assessment Matrix'!$A$1:$BZ$2000,$AB88,Z$52)))</f>
        <v/>
      </c>
      <c r="AB88" s="79" t="str">
        <f>IFERROR(MATCH($A88,'Old Assessment Matrix'!$A:$A,0),"")</f>
        <v/>
      </c>
      <c r="AC88" s="79" t="str">
        <f t="shared" si="2"/>
        <v>5.4</v>
      </c>
    </row>
    <row r="89" spans="1:29" x14ac:dyDescent="0.3">
      <c r="A89" s="19" t="str">
        <f>'Assessment Matrix'!A37</f>
        <v>5.5</v>
      </c>
      <c r="D89" s="79" t="str">
        <f>'Assessment Matrix'!D37</f>
        <v>Third-party fine-tunes, datasets, embeddings, and community artifacts are provenance-checked and malware/scanning controls are applied.</v>
      </c>
      <c r="E89" s="78" t="str">
        <f>IF(OR($AB89="",E$52=""),IF('Assessment Matrix'!E37="","",'Assessment Matrix'!E37),IF(INDEX('Old Assessment Matrix'!$A$1:$BZ$2000,$AB89,E$52)="","",INDEX('Old Assessment Matrix'!$A$1:$BZ$2000,$AB89,E$52)))</f>
        <v>Major</v>
      </c>
      <c r="G89" s="78">
        <f>IF(OR($AB89="",G$52=""),IF('Assessment Matrix'!G37="","",'Assessment Matrix'!G37),IF(INDEX('Old Assessment Matrix'!$A$1:$BZ$2000,$AB89,G$52)="","",INDEX('Old Assessment Matrix'!$A$1:$BZ$2000,$AB89,G$52)))</f>
        <v>3</v>
      </c>
      <c r="H89" s="78">
        <f>IF(OR($AB89="",H$52=""),IF('Assessment Matrix'!H37="","",'Assessment Matrix'!H37),IF(INDEX('Old Assessment Matrix'!$A$1:$BZ$2000,$AB89,H$52)="","",INDEX('Old Assessment Matrix'!$A$1:$BZ$2000,$AB89,H$52)))</f>
        <v>4</v>
      </c>
      <c r="J89" s="78" t="str">
        <f>IF(OR($AB89="",J$52=""),IF('Assessment Matrix'!J37="","",'Assessment Matrix'!J37),IF(INDEX('Old Assessment Matrix'!$A$1:$BZ$2000,$AB89,J$52)="","",INDEX('Old Assessment Matrix'!$A$1:$BZ$2000,$AB89,J$52)))</f>
        <v/>
      </c>
      <c r="K89" s="78" t="str">
        <f>IF(OR($AB89="",K$52=""),IF('Assessment Matrix'!K37="","",'Assessment Matrix'!K37),IF(INDEX('Old Assessment Matrix'!$A$1:$BZ$2000,$AB89,K$52)="","",INDEX('Old Assessment Matrix'!$A$1:$BZ$2000,$AB89,K$52)))</f>
        <v/>
      </c>
      <c r="O89" s="78" t="str">
        <f>IF(OR($AB89="",O$52=""),IF('Assessment Matrix'!O37="","",'Assessment Matrix'!O37),IF(INDEX('Old Assessment Matrix'!$A$1:$BZ$2000,$AB89,O$52)="","",INDEX('Old Assessment Matrix'!$A$1:$BZ$2000,$AB89,O$52)))</f>
        <v/>
      </c>
      <c r="P89" s="78" t="str">
        <f>IF(OR($AB89="",P$52=""),IF('Assessment Matrix'!P37="","",'Assessment Matrix'!P37),IF(INDEX('Old Assessment Matrix'!$A$1:$BZ$2000,$AB89,P$52)="","",INDEX('Old Assessment Matrix'!$A$1:$BZ$2000,$AB89,P$52)))</f>
        <v/>
      </c>
      <c r="Q89" s="78" t="str">
        <f>IF(OR($AB89="",Q$52=""),IF('Assessment Matrix'!Q37="","",'Assessment Matrix'!Q37),IF(INDEX('Old Assessment Matrix'!$A$1:$BZ$2000,$AB89,Q$52)="","",INDEX('Old Assessment Matrix'!$A$1:$BZ$2000,$AB89,Q$52)))</f>
        <v/>
      </c>
      <c r="R89" s="80" t="str">
        <f>IF(OR($AB89="",R$52=""),IF('Assessment Matrix'!R37="","",'Assessment Matrix'!R37),IF(INDEX('Old Assessment Matrix'!$A$1:$BZ$2000,$AB89,R$52)="","",INDEX('Old Assessment Matrix'!$A$1:$BZ$2000,$AB89,R$52)))</f>
        <v/>
      </c>
      <c r="S89" s="78" t="str">
        <f>IF(OR($AB89="",S$52=""),IF('Assessment Matrix'!S37="","",'Assessment Matrix'!S37),IF(INDEX('Old Assessment Matrix'!$A$1:$BZ$2000,$AB89,S$52)="","",INDEX('Old Assessment Matrix'!$A$1:$BZ$2000,$AB89,S$52)))</f>
        <v/>
      </c>
      <c r="T89" s="78" t="str">
        <f>IF(OR($AB89="",T$52=""),IF('Assessment Matrix'!T37="","",'Assessment Matrix'!T37),IF(INDEX('Old Assessment Matrix'!$A$1:$BZ$2000,$AB89,T$52)="","",INDEX('Old Assessment Matrix'!$A$1:$BZ$2000,$AB89,T$52)))</f>
        <v/>
      </c>
      <c r="X89" s="78" t="str">
        <f>IF(OR($AB89="",X$52=""),IF('Assessment Matrix'!X37="","",'Assessment Matrix'!X37),IF(INDEX('Old Assessment Matrix'!$A$1:$BZ$2000,$AB89,X$52)="","",INDEX('Old Assessment Matrix'!$A$1:$BZ$2000,$AB89,X$52)))</f>
        <v/>
      </c>
      <c r="Y89" s="78" t="str">
        <f>IF(OR($AB89="",Y$52=""),IF('Assessment Matrix'!Y37="","",'Assessment Matrix'!Y37),IF(INDEX('Old Assessment Matrix'!$A$1:$BZ$2000,$AB89,Y$52)="","",INDEX('Old Assessment Matrix'!$A$1:$BZ$2000,$AB89,Y$52)))</f>
        <v/>
      </c>
      <c r="Z89" s="80" t="str">
        <f>IF(OR($AB89="",Z$52=""),IF('Assessment Matrix'!Z37="","",'Assessment Matrix'!Z37),IF(INDEX('Old Assessment Matrix'!$A$1:$BZ$2000,$AB89,Z$52)="","",INDEX('Old Assessment Matrix'!$A$1:$BZ$2000,$AB89,Z$52)))</f>
        <v/>
      </c>
      <c r="AB89" s="79" t="str">
        <f>IFERROR(MATCH($A89,'Old Assessment Matrix'!$A:$A,0),"")</f>
        <v/>
      </c>
      <c r="AC89" s="79" t="str">
        <f t="shared" si="2"/>
        <v>5.5</v>
      </c>
    </row>
    <row r="90" spans="1:29" x14ac:dyDescent="0.3">
      <c r="A90" s="19" t="str">
        <f>'Assessment Matrix'!A38</f>
        <v>5.6</v>
      </c>
      <c r="D90" s="79" t="str">
        <f>'Assessment Matrix'!D38</f>
        <v>Container/image scanning, hardened base images, patch cadence, and vulnerability SLAs are implemented.</v>
      </c>
      <c r="E90" s="78" t="str">
        <f>IF(OR($AB90="",E$52=""),IF('Assessment Matrix'!E38="","",'Assessment Matrix'!E38),IF(INDEX('Old Assessment Matrix'!$A$1:$BZ$2000,$AB90,E$52)="","",INDEX('Old Assessment Matrix'!$A$1:$BZ$2000,$AB90,E$52)))</f>
        <v>Major</v>
      </c>
      <c r="G90" s="78">
        <f>IF(OR($AB90="",G$52=""),IF('Assessment Matrix'!G38="","",'Assessment Matrix'!G38),IF(INDEX('Old Assessment Matrix'!$A$1:$BZ$2000,$AB90,G$52)="","",INDEX('Old Assessment Matrix'!$A$1:$BZ$2000,$AB90,G$52)))</f>
        <v>4</v>
      </c>
      <c r="H90" s="78">
        <f>IF(OR($AB90="",H$52=""),IF('Assessment Matrix'!H38="","",'Assessment Matrix'!H38),IF(INDEX('Old Assessment Matrix'!$A$1:$BZ$2000,$AB90,H$52)="","",INDEX('Old Assessment Matrix'!$A$1:$BZ$2000,$AB90,H$52)))</f>
        <v>4</v>
      </c>
      <c r="J90" s="78" t="str">
        <f>IF(OR($AB90="",J$52=""),IF('Assessment Matrix'!J38="","",'Assessment Matrix'!J38),IF(INDEX('Old Assessment Matrix'!$A$1:$BZ$2000,$AB90,J$52)="","",INDEX('Old Assessment Matrix'!$A$1:$BZ$2000,$AB90,J$52)))</f>
        <v/>
      </c>
      <c r="K90" s="78" t="str">
        <f>IF(OR($AB90="",K$52=""),IF('Assessment Matrix'!K38="","",'Assessment Matrix'!K38),IF(INDEX('Old Assessment Matrix'!$A$1:$BZ$2000,$AB90,K$52)="","",INDEX('Old Assessment Matrix'!$A$1:$BZ$2000,$AB90,K$52)))</f>
        <v/>
      </c>
      <c r="O90" s="78" t="str">
        <f>IF(OR($AB90="",O$52=""),IF('Assessment Matrix'!O38="","",'Assessment Matrix'!O38),IF(INDEX('Old Assessment Matrix'!$A$1:$BZ$2000,$AB90,O$52)="","",INDEX('Old Assessment Matrix'!$A$1:$BZ$2000,$AB90,O$52)))</f>
        <v/>
      </c>
      <c r="P90" s="78" t="str">
        <f>IF(OR($AB90="",P$52=""),IF('Assessment Matrix'!P38="","",'Assessment Matrix'!P38),IF(INDEX('Old Assessment Matrix'!$A$1:$BZ$2000,$AB90,P$52)="","",INDEX('Old Assessment Matrix'!$A$1:$BZ$2000,$AB90,P$52)))</f>
        <v/>
      </c>
      <c r="Q90" s="78" t="str">
        <f>IF(OR($AB90="",Q$52=""),IF('Assessment Matrix'!Q38="","",'Assessment Matrix'!Q38),IF(INDEX('Old Assessment Matrix'!$A$1:$BZ$2000,$AB90,Q$52)="","",INDEX('Old Assessment Matrix'!$A$1:$BZ$2000,$AB90,Q$52)))</f>
        <v/>
      </c>
      <c r="R90" s="80" t="str">
        <f>IF(OR($AB90="",R$52=""),IF('Assessment Matrix'!R38="","",'Assessment Matrix'!R38),IF(INDEX('Old Assessment Matrix'!$A$1:$BZ$2000,$AB90,R$52)="","",INDEX('Old Assessment Matrix'!$A$1:$BZ$2000,$AB90,R$52)))</f>
        <v/>
      </c>
      <c r="S90" s="78" t="str">
        <f>IF(OR($AB90="",S$52=""),IF('Assessment Matrix'!S38="","",'Assessment Matrix'!S38),IF(INDEX('Old Assessment Matrix'!$A$1:$BZ$2000,$AB90,S$52)="","",INDEX('Old Assessment Matrix'!$A$1:$BZ$2000,$AB90,S$52)))</f>
        <v/>
      </c>
      <c r="T90" s="78" t="str">
        <f>IF(OR($AB90="",T$52=""),IF('Assessment Matrix'!T38="","",'Assessment Matrix'!T38),IF(INDEX('Old Assessment Matrix'!$A$1:$BZ$2000,$AB90,T$52)="","",INDEX('Old Assessment Matrix'!$A$1:$BZ$2000,$AB90,T$52)))</f>
        <v/>
      </c>
      <c r="X90" s="78" t="str">
        <f>IF(OR($AB90="",X$52=""),IF('Assessment Matrix'!X38="","",'Assessment Matrix'!X38),IF(INDEX('Old Assessment Matrix'!$A$1:$BZ$2000,$AB90,X$52)="","",INDEX('Old Assessment Matrix'!$A$1:$BZ$2000,$AB90,X$52)))</f>
        <v/>
      </c>
      <c r="Y90" s="78" t="str">
        <f>IF(OR($AB90="",Y$52=""),IF('Assessment Matrix'!Y38="","",'Assessment Matrix'!Y38),IF(INDEX('Old Assessment Matrix'!$A$1:$BZ$2000,$AB90,Y$52)="","",INDEX('Old Assessment Matrix'!$A$1:$BZ$2000,$AB90,Y$52)))</f>
        <v/>
      </c>
      <c r="Z90" s="80" t="str">
        <f>IF(OR($AB90="",Z$52=""),IF('Assessment Matrix'!Z38="","",'Assessment Matrix'!Z38),IF(INDEX('Old Assessment Matrix'!$A$1:$BZ$2000,$AB90,Z$52)="","",INDEX('Old Assessment Matrix'!$A$1:$BZ$2000,$AB90,Z$52)))</f>
        <v/>
      </c>
      <c r="AB90" s="79" t="str">
        <f>IFERROR(MATCH($A90,'Old Assessment Matrix'!$A:$A,0),"")</f>
        <v/>
      </c>
      <c r="AC90" s="79" t="str">
        <f t="shared" si="2"/>
        <v>5.6</v>
      </c>
    </row>
    <row r="91" spans="1:29" x14ac:dyDescent="0.3">
      <c r="A91" s="19" t="str">
        <f>'Assessment Matrix'!A39</f>
        <v>5.7</v>
      </c>
      <c r="D91" s="79" t="str">
        <f>'Assessment Matrix'!D39</f>
        <v>Untrusted model or ML artifacts are not deserialized with executable formats or unsafe loading modes (including pickle-based mechanisms); approved non-executable formats (e.g. Safetensors), provenance and integrity checks, and isolated loading are used.</v>
      </c>
      <c r="E91" s="78" t="str">
        <f>IF(OR($AB91="",E$52=""),IF('Assessment Matrix'!E39="","",'Assessment Matrix'!E39),IF(INDEX('Old Assessment Matrix'!$A$1:$BZ$2000,$AB91,E$52)="","",INDEX('Old Assessment Matrix'!$A$1:$BZ$2000,$AB91,E$52)))</f>
        <v>Blocker</v>
      </c>
      <c r="G91" s="78">
        <f>IF(OR($AB91="",G$52=""),IF('Assessment Matrix'!G39="","",'Assessment Matrix'!G39),IF(INDEX('Old Assessment Matrix'!$A$1:$BZ$2000,$AB91,G$52)="","",INDEX('Old Assessment Matrix'!$A$1:$BZ$2000,$AB91,G$52)))</f>
        <v>3</v>
      </c>
      <c r="H91" s="78">
        <f>IF(OR($AB91="",H$52=""),IF('Assessment Matrix'!H39="","",'Assessment Matrix'!H39),IF(INDEX('Old Assessment Matrix'!$A$1:$BZ$2000,$AB91,H$52)="","",INDEX('Old Assessment Matrix'!$A$1:$BZ$2000,$AB91,H$52)))</f>
        <v>5</v>
      </c>
      <c r="J91" s="78" t="str">
        <f>IF(OR($AB91="",J$52=""),IF('Assessment Matrix'!J39="","",'Assessment Matrix'!J39),IF(INDEX('Old Assessment Matrix'!$A$1:$BZ$2000,$AB91,J$52)="","",INDEX('Old Assessment Matrix'!$A$1:$BZ$2000,$AB91,J$52)))</f>
        <v/>
      </c>
      <c r="K91" s="78" t="str">
        <f>IF(OR($AB91="",K$52=""),IF('Assessment Matrix'!K39="","",'Assessment Matrix'!K39),IF(INDEX('Old Assessment Matrix'!$A$1:$BZ$2000,$AB91,K$52)="","",INDEX('Old Assessment Matrix'!$A$1:$BZ$2000,$AB91,K$52)))</f>
        <v/>
      </c>
      <c r="O91" s="78" t="str">
        <f>IF(OR($AB91="",O$52=""),IF('Assessment Matrix'!O39="","",'Assessment Matrix'!O39),IF(INDEX('Old Assessment Matrix'!$A$1:$BZ$2000,$AB91,O$52)="","",INDEX('Old Assessment Matrix'!$A$1:$BZ$2000,$AB91,O$52)))</f>
        <v/>
      </c>
      <c r="P91" s="78" t="str">
        <f>IF(OR($AB91="",P$52=""),IF('Assessment Matrix'!P39="","",'Assessment Matrix'!P39),IF(INDEX('Old Assessment Matrix'!$A$1:$BZ$2000,$AB91,P$52)="","",INDEX('Old Assessment Matrix'!$A$1:$BZ$2000,$AB91,P$52)))</f>
        <v/>
      </c>
      <c r="Q91" s="78" t="str">
        <f>IF(OR($AB91="",Q$52=""),IF('Assessment Matrix'!Q39="","",'Assessment Matrix'!Q39),IF(INDEX('Old Assessment Matrix'!$A$1:$BZ$2000,$AB91,Q$52)="","",INDEX('Old Assessment Matrix'!$A$1:$BZ$2000,$AB91,Q$52)))</f>
        <v/>
      </c>
      <c r="R91" s="80" t="str">
        <f>IF(OR($AB91="",R$52=""),IF('Assessment Matrix'!R39="","",'Assessment Matrix'!R39),IF(INDEX('Old Assessment Matrix'!$A$1:$BZ$2000,$AB91,R$52)="","",INDEX('Old Assessment Matrix'!$A$1:$BZ$2000,$AB91,R$52)))</f>
        <v/>
      </c>
      <c r="S91" s="78" t="str">
        <f>IF(OR($AB91="",S$52=""),IF('Assessment Matrix'!S39="","",'Assessment Matrix'!S39),IF(INDEX('Old Assessment Matrix'!$A$1:$BZ$2000,$AB91,S$52)="","",INDEX('Old Assessment Matrix'!$A$1:$BZ$2000,$AB91,S$52)))</f>
        <v/>
      </c>
      <c r="T91" s="78" t="str">
        <f>IF(OR($AB91="",T$52=""),IF('Assessment Matrix'!T39="","",'Assessment Matrix'!T39),IF(INDEX('Old Assessment Matrix'!$A$1:$BZ$2000,$AB91,T$52)="","",INDEX('Old Assessment Matrix'!$A$1:$BZ$2000,$AB91,T$52)))</f>
        <v/>
      </c>
      <c r="X91" s="78" t="str">
        <f>IF(OR($AB91="",X$52=""),IF('Assessment Matrix'!X39="","",'Assessment Matrix'!X39),IF(INDEX('Old Assessment Matrix'!$A$1:$BZ$2000,$AB91,X$52)="","",INDEX('Old Assessment Matrix'!$A$1:$BZ$2000,$AB91,X$52)))</f>
        <v/>
      </c>
      <c r="Y91" s="78" t="str">
        <f>IF(OR($AB91="",Y$52=""),IF('Assessment Matrix'!Y39="","",'Assessment Matrix'!Y39),IF(INDEX('Old Assessment Matrix'!$A$1:$BZ$2000,$AB91,Y$52)="","",INDEX('Old Assessment Matrix'!$A$1:$BZ$2000,$AB91,Y$52)))</f>
        <v/>
      </c>
      <c r="Z91" s="80" t="str">
        <f>IF(OR($AB91="",Z$52=""),IF('Assessment Matrix'!Z39="","",'Assessment Matrix'!Z39),IF(INDEX('Old Assessment Matrix'!$A$1:$BZ$2000,$AB91,Z$52)="","",INDEX('Old Assessment Matrix'!$A$1:$BZ$2000,$AB91,Z$52)))</f>
        <v/>
      </c>
      <c r="AB91" s="79" t="str">
        <f>IFERROR(MATCH($A91,'Old Assessment Matrix'!$A:$A,0),"")</f>
        <v/>
      </c>
      <c r="AC91" s="79" t="str">
        <f t="shared" si="2"/>
        <v>5.7</v>
      </c>
    </row>
    <row r="92" spans="1:29" x14ac:dyDescent="0.3">
      <c r="A92" s="19" t="str">
        <f>'Assessment Matrix'!A40</f>
        <v>5.8</v>
      </c>
      <c r="D92" s="79" t="str">
        <f>'Assessment Matrix'!D40</f>
        <v>Model artifacts (weights, adapters, fine-tunes) are protected according to their classification and intended distribution: integrity verification and provenance for all artifacts; where confidentiality is required, also access control, encryption at rest, and exfiltration/theft monitoring.</v>
      </c>
      <c r="E92" s="78" t="str">
        <f>IF(OR($AB92="",E$52=""),IF('Assessment Matrix'!E40="","",'Assessment Matrix'!E40),IF(INDEX('Old Assessment Matrix'!$A$1:$BZ$2000,$AB92,E$52)="","",INDEX('Old Assessment Matrix'!$A$1:$BZ$2000,$AB92,E$52)))</f>
        <v>Major</v>
      </c>
      <c r="G92" s="78">
        <f>IF(OR($AB92="",G$52=""),IF('Assessment Matrix'!G40="","",'Assessment Matrix'!G40),IF(INDEX('Old Assessment Matrix'!$A$1:$BZ$2000,$AB92,G$52)="","",INDEX('Old Assessment Matrix'!$A$1:$BZ$2000,$AB92,G$52)))</f>
        <v>3</v>
      </c>
      <c r="H92" s="78">
        <f>IF(OR($AB92="",H$52=""),IF('Assessment Matrix'!H40="","",'Assessment Matrix'!H40),IF(INDEX('Old Assessment Matrix'!$A$1:$BZ$2000,$AB92,H$52)="","",INDEX('Old Assessment Matrix'!$A$1:$BZ$2000,$AB92,H$52)))</f>
        <v>4</v>
      </c>
      <c r="J92" s="78" t="str">
        <f>IF(OR($AB92="",J$52=""),IF('Assessment Matrix'!J40="","",'Assessment Matrix'!J40),IF(INDEX('Old Assessment Matrix'!$A$1:$BZ$2000,$AB92,J$52)="","",INDEX('Old Assessment Matrix'!$A$1:$BZ$2000,$AB92,J$52)))</f>
        <v/>
      </c>
      <c r="K92" s="78" t="str">
        <f>IF(OR($AB92="",K$52=""),IF('Assessment Matrix'!K40="","",'Assessment Matrix'!K40),IF(INDEX('Old Assessment Matrix'!$A$1:$BZ$2000,$AB92,K$52)="","",INDEX('Old Assessment Matrix'!$A$1:$BZ$2000,$AB92,K$52)))</f>
        <v/>
      </c>
      <c r="O92" s="78" t="str">
        <f>IF(OR($AB92="",O$52=""),IF('Assessment Matrix'!O40="","",'Assessment Matrix'!O40),IF(INDEX('Old Assessment Matrix'!$A$1:$BZ$2000,$AB92,O$52)="","",INDEX('Old Assessment Matrix'!$A$1:$BZ$2000,$AB92,O$52)))</f>
        <v/>
      </c>
      <c r="P92" s="78" t="str">
        <f>IF(OR($AB92="",P$52=""),IF('Assessment Matrix'!P40="","",'Assessment Matrix'!P40),IF(INDEX('Old Assessment Matrix'!$A$1:$BZ$2000,$AB92,P$52)="","",INDEX('Old Assessment Matrix'!$A$1:$BZ$2000,$AB92,P$52)))</f>
        <v/>
      </c>
      <c r="Q92" s="78" t="str">
        <f>IF(OR($AB92="",Q$52=""),IF('Assessment Matrix'!Q40="","",'Assessment Matrix'!Q40),IF(INDEX('Old Assessment Matrix'!$A$1:$BZ$2000,$AB92,Q$52)="","",INDEX('Old Assessment Matrix'!$A$1:$BZ$2000,$AB92,Q$52)))</f>
        <v/>
      </c>
      <c r="R92" s="80" t="str">
        <f>IF(OR($AB92="",R$52=""),IF('Assessment Matrix'!R40="","",'Assessment Matrix'!R40),IF(INDEX('Old Assessment Matrix'!$A$1:$BZ$2000,$AB92,R$52)="","",INDEX('Old Assessment Matrix'!$A$1:$BZ$2000,$AB92,R$52)))</f>
        <v/>
      </c>
      <c r="S92" s="78" t="str">
        <f>IF(OR($AB92="",S$52=""),IF('Assessment Matrix'!S40="","",'Assessment Matrix'!S40),IF(INDEX('Old Assessment Matrix'!$A$1:$BZ$2000,$AB92,S$52)="","",INDEX('Old Assessment Matrix'!$A$1:$BZ$2000,$AB92,S$52)))</f>
        <v/>
      </c>
      <c r="T92" s="78" t="str">
        <f>IF(OR($AB92="",T$52=""),IF('Assessment Matrix'!T40="","",'Assessment Matrix'!T40),IF(INDEX('Old Assessment Matrix'!$A$1:$BZ$2000,$AB92,T$52)="","",INDEX('Old Assessment Matrix'!$A$1:$BZ$2000,$AB92,T$52)))</f>
        <v/>
      </c>
      <c r="X92" s="78" t="str">
        <f>IF(OR($AB92="",X$52=""),IF('Assessment Matrix'!X40="","",'Assessment Matrix'!X40),IF(INDEX('Old Assessment Matrix'!$A$1:$BZ$2000,$AB92,X$52)="","",INDEX('Old Assessment Matrix'!$A$1:$BZ$2000,$AB92,X$52)))</f>
        <v/>
      </c>
      <c r="Y92" s="78" t="str">
        <f>IF(OR($AB92="",Y$52=""),IF('Assessment Matrix'!Y40="","",'Assessment Matrix'!Y40),IF(INDEX('Old Assessment Matrix'!$A$1:$BZ$2000,$AB92,Y$52)="","",INDEX('Old Assessment Matrix'!$A$1:$BZ$2000,$AB92,Y$52)))</f>
        <v/>
      </c>
      <c r="Z92" s="80" t="str">
        <f>IF(OR($AB92="",Z$52=""),IF('Assessment Matrix'!Z40="","",'Assessment Matrix'!Z40),IF(INDEX('Old Assessment Matrix'!$A$1:$BZ$2000,$AB92,Z$52)="","",INDEX('Old Assessment Matrix'!$A$1:$BZ$2000,$AB92,Z$52)))</f>
        <v/>
      </c>
      <c r="AB92" s="79" t="str">
        <f>IFERROR(MATCH($A92,'Old Assessment Matrix'!$A:$A,0),"")</f>
        <v/>
      </c>
      <c r="AC92" s="79" t="str">
        <f t="shared" si="2"/>
        <v>5.8</v>
      </c>
    </row>
    <row r="93" spans="1:29" x14ac:dyDescent="0.3">
      <c r="A93" s="19" t="str">
        <f>'Assessment Matrix'!A41</f>
        <v>6.1</v>
      </c>
      <c r="D93" s="79" t="str">
        <f>'Assessment Matrix'!D41</f>
        <v>Security telemetry is integrated into SIEM/SOC monitoring, including authentication, admin actions, tool calls, errors, abuse signals, and policy violations.</v>
      </c>
      <c r="E93" s="78" t="str">
        <f>IF(OR($AB93="",E$52=""),IF('Assessment Matrix'!E41="","",'Assessment Matrix'!E41),IF(INDEX('Old Assessment Matrix'!$A$1:$BZ$2000,$AB93,E$52)="","",INDEX('Old Assessment Matrix'!$A$1:$BZ$2000,$AB93,E$52)))</f>
        <v>Major</v>
      </c>
      <c r="G93" s="78">
        <f>IF(OR($AB93="",G$52=""),IF('Assessment Matrix'!G41="","",'Assessment Matrix'!G41),IF(INDEX('Old Assessment Matrix'!$A$1:$BZ$2000,$AB93,G$52)="","",INDEX('Old Assessment Matrix'!$A$1:$BZ$2000,$AB93,G$52)))</f>
        <v>4</v>
      </c>
      <c r="H93" s="78">
        <f>IF(OR($AB93="",H$52=""),IF('Assessment Matrix'!H41="","",'Assessment Matrix'!H41),IF(INDEX('Old Assessment Matrix'!$A$1:$BZ$2000,$AB93,H$52)="","",INDEX('Old Assessment Matrix'!$A$1:$BZ$2000,$AB93,H$52)))</f>
        <v>4</v>
      </c>
      <c r="J93" s="78" t="str">
        <f>IF(OR($AB93="",J$52=""),IF('Assessment Matrix'!J41="","",'Assessment Matrix'!J41),IF(INDEX('Old Assessment Matrix'!$A$1:$BZ$2000,$AB93,J$52)="","",INDEX('Old Assessment Matrix'!$A$1:$BZ$2000,$AB93,J$52)))</f>
        <v/>
      </c>
      <c r="K93" s="78" t="str">
        <f>IF(OR($AB93="",K$52=""),IF('Assessment Matrix'!K41="","",'Assessment Matrix'!K41),IF(INDEX('Old Assessment Matrix'!$A$1:$BZ$2000,$AB93,K$52)="","",INDEX('Old Assessment Matrix'!$A$1:$BZ$2000,$AB93,K$52)))</f>
        <v/>
      </c>
      <c r="O93" s="78" t="str">
        <f>IF(OR($AB93="",O$52=""),IF('Assessment Matrix'!O41="","",'Assessment Matrix'!O41),IF(INDEX('Old Assessment Matrix'!$A$1:$BZ$2000,$AB93,O$52)="","",INDEX('Old Assessment Matrix'!$A$1:$BZ$2000,$AB93,O$52)))</f>
        <v/>
      </c>
      <c r="P93" s="78" t="str">
        <f>IF(OR($AB93="",P$52=""),IF('Assessment Matrix'!P41="","",'Assessment Matrix'!P41),IF(INDEX('Old Assessment Matrix'!$A$1:$BZ$2000,$AB93,P$52)="","",INDEX('Old Assessment Matrix'!$A$1:$BZ$2000,$AB93,P$52)))</f>
        <v/>
      </c>
      <c r="Q93" s="78" t="str">
        <f>IF(OR($AB93="",Q$52=""),IF('Assessment Matrix'!Q41="","",'Assessment Matrix'!Q41),IF(INDEX('Old Assessment Matrix'!$A$1:$BZ$2000,$AB93,Q$52)="","",INDEX('Old Assessment Matrix'!$A$1:$BZ$2000,$AB93,Q$52)))</f>
        <v/>
      </c>
      <c r="R93" s="80" t="str">
        <f>IF(OR($AB93="",R$52=""),IF('Assessment Matrix'!R41="","",'Assessment Matrix'!R41),IF(INDEX('Old Assessment Matrix'!$A$1:$BZ$2000,$AB93,R$52)="","",INDEX('Old Assessment Matrix'!$A$1:$BZ$2000,$AB93,R$52)))</f>
        <v/>
      </c>
      <c r="S93" s="78" t="str">
        <f>IF(OR($AB93="",S$52=""),IF('Assessment Matrix'!S41="","",'Assessment Matrix'!S41),IF(INDEX('Old Assessment Matrix'!$A$1:$BZ$2000,$AB93,S$52)="","",INDEX('Old Assessment Matrix'!$A$1:$BZ$2000,$AB93,S$52)))</f>
        <v/>
      </c>
      <c r="T93" s="78" t="str">
        <f>IF(OR($AB93="",T$52=""),IF('Assessment Matrix'!T41="","",'Assessment Matrix'!T41),IF(INDEX('Old Assessment Matrix'!$A$1:$BZ$2000,$AB93,T$52)="","",INDEX('Old Assessment Matrix'!$A$1:$BZ$2000,$AB93,T$52)))</f>
        <v/>
      </c>
      <c r="X93" s="78" t="str">
        <f>IF(OR($AB93="",X$52=""),IF('Assessment Matrix'!X41="","",'Assessment Matrix'!X41),IF(INDEX('Old Assessment Matrix'!$A$1:$BZ$2000,$AB93,X$52)="","",INDEX('Old Assessment Matrix'!$A$1:$BZ$2000,$AB93,X$52)))</f>
        <v/>
      </c>
      <c r="Y93" s="78" t="str">
        <f>IF(OR($AB93="",Y$52=""),IF('Assessment Matrix'!Y41="","",'Assessment Matrix'!Y41),IF(INDEX('Old Assessment Matrix'!$A$1:$BZ$2000,$AB93,Y$52)="","",INDEX('Old Assessment Matrix'!$A$1:$BZ$2000,$AB93,Y$52)))</f>
        <v/>
      </c>
      <c r="Z93" s="80" t="str">
        <f>IF(OR($AB93="",Z$52=""),IF('Assessment Matrix'!Z41="","",'Assessment Matrix'!Z41),IF(INDEX('Old Assessment Matrix'!$A$1:$BZ$2000,$AB93,Z$52)="","",INDEX('Old Assessment Matrix'!$A$1:$BZ$2000,$AB93,Z$52)))</f>
        <v/>
      </c>
      <c r="AB93" s="79" t="str">
        <f>IFERROR(MATCH($A93,'Old Assessment Matrix'!$A:$A,0),"")</f>
        <v/>
      </c>
      <c r="AC93" s="79" t="str">
        <f t="shared" si="2"/>
        <v>6.1</v>
      </c>
    </row>
    <row r="94" spans="1:29" x14ac:dyDescent="0.3">
      <c r="A94" s="19" t="str">
        <f>'Assessment Matrix'!A42</f>
        <v>6.2</v>
      </c>
      <c r="D94" s="79" t="str">
        <f>'Assessment Matrix'!D42</f>
        <v>Prompt and response logging policy balances forensic need with privacy, confidentiality, minimization, retention, and masking.</v>
      </c>
      <c r="E94" s="78" t="str">
        <f>IF(OR($AB94="",E$52=""),IF('Assessment Matrix'!E42="","",'Assessment Matrix'!E42),IF(INDEX('Old Assessment Matrix'!$A$1:$BZ$2000,$AB94,E$52)="","",INDEX('Old Assessment Matrix'!$A$1:$BZ$2000,$AB94,E$52)))</f>
        <v>Major</v>
      </c>
      <c r="G94" s="78">
        <f>IF(OR($AB94="",G$52=""),IF('Assessment Matrix'!G42="","",'Assessment Matrix'!G42),IF(INDEX('Old Assessment Matrix'!$A$1:$BZ$2000,$AB94,G$52)="","",INDEX('Old Assessment Matrix'!$A$1:$BZ$2000,$AB94,G$52)))</f>
        <v>4</v>
      </c>
      <c r="H94" s="78">
        <f>IF(OR($AB94="",H$52=""),IF('Assessment Matrix'!H42="","",'Assessment Matrix'!H42),IF(INDEX('Old Assessment Matrix'!$A$1:$BZ$2000,$AB94,H$52)="","",INDEX('Old Assessment Matrix'!$A$1:$BZ$2000,$AB94,H$52)))</f>
        <v>4</v>
      </c>
      <c r="J94" s="78" t="str">
        <f>IF(OR($AB94="",J$52=""),IF('Assessment Matrix'!J42="","",'Assessment Matrix'!J42),IF(INDEX('Old Assessment Matrix'!$A$1:$BZ$2000,$AB94,J$52)="","",INDEX('Old Assessment Matrix'!$A$1:$BZ$2000,$AB94,J$52)))</f>
        <v/>
      </c>
      <c r="K94" s="78" t="str">
        <f>IF(OR($AB94="",K$52=""),IF('Assessment Matrix'!K42="","",'Assessment Matrix'!K42),IF(INDEX('Old Assessment Matrix'!$A$1:$BZ$2000,$AB94,K$52)="","",INDEX('Old Assessment Matrix'!$A$1:$BZ$2000,$AB94,K$52)))</f>
        <v/>
      </c>
      <c r="O94" s="78" t="str">
        <f>IF(OR($AB94="",O$52=""),IF('Assessment Matrix'!O42="","",'Assessment Matrix'!O42),IF(INDEX('Old Assessment Matrix'!$A$1:$BZ$2000,$AB94,O$52)="","",INDEX('Old Assessment Matrix'!$A$1:$BZ$2000,$AB94,O$52)))</f>
        <v/>
      </c>
      <c r="P94" s="78" t="str">
        <f>IF(OR($AB94="",P$52=""),IF('Assessment Matrix'!P42="","",'Assessment Matrix'!P42),IF(INDEX('Old Assessment Matrix'!$A$1:$BZ$2000,$AB94,P$52)="","",INDEX('Old Assessment Matrix'!$A$1:$BZ$2000,$AB94,P$52)))</f>
        <v/>
      </c>
      <c r="Q94" s="78" t="str">
        <f>IF(OR($AB94="",Q$52=""),IF('Assessment Matrix'!Q42="","",'Assessment Matrix'!Q42),IF(INDEX('Old Assessment Matrix'!$A$1:$BZ$2000,$AB94,Q$52)="","",INDEX('Old Assessment Matrix'!$A$1:$BZ$2000,$AB94,Q$52)))</f>
        <v/>
      </c>
      <c r="R94" s="80" t="str">
        <f>IF(OR($AB94="",R$52=""),IF('Assessment Matrix'!R42="","",'Assessment Matrix'!R42),IF(INDEX('Old Assessment Matrix'!$A$1:$BZ$2000,$AB94,R$52)="","",INDEX('Old Assessment Matrix'!$A$1:$BZ$2000,$AB94,R$52)))</f>
        <v/>
      </c>
      <c r="S94" s="78" t="str">
        <f>IF(OR($AB94="",S$52=""),IF('Assessment Matrix'!S42="","",'Assessment Matrix'!S42),IF(INDEX('Old Assessment Matrix'!$A$1:$BZ$2000,$AB94,S$52)="","",INDEX('Old Assessment Matrix'!$A$1:$BZ$2000,$AB94,S$52)))</f>
        <v/>
      </c>
      <c r="T94" s="78" t="str">
        <f>IF(OR($AB94="",T$52=""),IF('Assessment Matrix'!T42="","",'Assessment Matrix'!T42),IF(INDEX('Old Assessment Matrix'!$A$1:$BZ$2000,$AB94,T$52)="","",INDEX('Old Assessment Matrix'!$A$1:$BZ$2000,$AB94,T$52)))</f>
        <v/>
      </c>
      <c r="X94" s="78" t="str">
        <f>IF(OR($AB94="",X$52=""),IF('Assessment Matrix'!X42="","",'Assessment Matrix'!X42),IF(INDEX('Old Assessment Matrix'!$A$1:$BZ$2000,$AB94,X$52)="","",INDEX('Old Assessment Matrix'!$A$1:$BZ$2000,$AB94,X$52)))</f>
        <v/>
      </c>
      <c r="Y94" s="78" t="str">
        <f>IF(OR($AB94="",Y$52=""),IF('Assessment Matrix'!Y42="","",'Assessment Matrix'!Y42),IF(INDEX('Old Assessment Matrix'!$A$1:$BZ$2000,$AB94,Y$52)="","",INDEX('Old Assessment Matrix'!$A$1:$BZ$2000,$AB94,Y$52)))</f>
        <v/>
      </c>
      <c r="Z94" s="80" t="str">
        <f>IF(OR($AB94="",Z$52=""),IF('Assessment Matrix'!Z42="","",'Assessment Matrix'!Z42),IF(INDEX('Old Assessment Matrix'!$A$1:$BZ$2000,$AB94,Z$52)="","",INDEX('Old Assessment Matrix'!$A$1:$BZ$2000,$AB94,Z$52)))</f>
        <v/>
      </c>
      <c r="AB94" s="79" t="str">
        <f>IFERROR(MATCH($A94,'Old Assessment Matrix'!$A:$A,0),"")</f>
        <v/>
      </c>
      <c r="AC94" s="79" t="str">
        <f t="shared" si="2"/>
        <v>6.2</v>
      </c>
    </row>
    <row r="95" spans="1:29" x14ac:dyDescent="0.3">
      <c r="A95" s="19" t="str">
        <f>'Assessment Matrix'!A43</f>
        <v>6.3</v>
      </c>
      <c r="D95" s="79" t="str">
        <f>'Assessment Matrix'!D43</f>
        <v>Anomaly, abuse, data leakage, jailbreak, and excessive token/cost monitoring has alerts and operational ownership.</v>
      </c>
      <c r="E95" s="78" t="str">
        <f>IF(OR($AB95="",E$52=""),IF('Assessment Matrix'!E43="","",'Assessment Matrix'!E43),IF(INDEX('Old Assessment Matrix'!$A$1:$BZ$2000,$AB95,E$52)="","",INDEX('Old Assessment Matrix'!$A$1:$BZ$2000,$AB95,E$52)))</f>
        <v>Major</v>
      </c>
      <c r="G95" s="78">
        <f>IF(OR($AB95="",G$52=""),IF('Assessment Matrix'!G43="","",'Assessment Matrix'!G43),IF(INDEX('Old Assessment Matrix'!$A$1:$BZ$2000,$AB95,G$52)="","",INDEX('Old Assessment Matrix'!$A$1:$BZ$2000,$AB95,G$52)))</f>
        <v>4</v>
      </c>
      <c r="H95" s="78">
        <f>IF(OR($AB95="",H$52=""),IF('Assessment Matrix'!H43="","",'Assessment Matrix'!H43),IF(INDEX('Old Assessment Matrix'!$A$1:$BZ$2000,$AB95,H$52)="","",INDEX('Old Assessment Matrix'!$A$1:$BZ$2000,$AB95,H$52)))</f>
        <v>4</v>
      </c>
      <c r="J95" s="78" t="str">
        <f>IF(OR($AB95="",J$52=""),IF('Assessment Matrix'!J43="","",'Assessment Matrix'!J43),IF(INDEX('Old Assessment Matrix'!$A$1:$BZ$2000,$AB95,J$52)="","",INDEX('Old Assessment Matrix'!$A$1:$BZ$2000,$AB95,J$52)))</f>
        <v/>
      </c>
      <c r="K95" s="78" t="str">
        <f>IF(OR($AB95="",K$52=""),IF('Assessment Matrix'!K43="","",'Assessment Matrix'!K43),IF(INDEX('Old Assessment Matrix'!$A$1:$BZ$2000,$AB95,K$52)="","",INDEX('Old Assessment Matrix'!$A$1:$BZ$2000,$AB95,K$52)))</f>
        <v/>
      </c>
      <c r="O95" s="78" t="str">
        <f>IF(OR($AB95="",O$52=""),IF('Assessment Matrix'!O43="","",'Assessment Matrix'!O43),IF(INDEX('Old Assessment Matrix'!$A$1:$BZ$2000,$AB95,O$52)="","",INDEX('Old Assessment Matrix'!$A$1:$BZ$2000,$AB95,O$52)))</f>
        <v/>
      </c>
      <c r="P95" s="78" t="str">
        <f>IF(OR($AB95="",P$52=""),IF('Assessment Matrix'!P43="","",'Assessment Matrix'!P43),IF(INDEX('Old Assessment Matrix'!$A$1:$BZ$2000,$AB95,P$52)="","",INDEX('Old Assessment Matrix'!$A$1:$BZ$2000,$AB95,P$52)))</f>
        <v/>
      </c>
      <c r="Q95" s="78" t="str">
        <f>IF(OR($AB95="",Q$52=""),IF('Assessment Matrix'!Q43="","",'Assessment Matrix'!Q43),IF(INDEX('Old Assessment Matrix'!$A$1:$BZ$2000,$AB95,Q$52)="","",INDEX('Old Assessment Matrix'!$A$1:$BZ$2000,$AB95,Q$52)))</f>
        <v/>
      </c>
      <c r="R95" s="80" t="str">
        <f>IF(OR($AB95="",R$52=""),IF('Assessment Matrix'!R43="","",'Assessment Matrix'!R43),IF(INDEX('Old Assessment Matrix'!$A$1:$BZ$2000,$AB95,R$52)="","",INDEX('Old Assessment Matrix'!$A$1:$BZ$2000,$AB95,R$52)))</f>
        <v/>
      </c>
      <c r="S95" s="78" t="str">
        <f>IF(OR($AB95="",S$52=""),IF('Assessment Matrix'!S43="","",'Assessment Matrix'!S43),IF(INDEX('Old Assessment Matrix'!$A$1:$BZ$2000,$AB95,S$52)="","",INDEX('Old Assessment Matrix'!$A$1:$BZ$2000,$AB95,S$52)))</f>
        <v/>
      </c>
      <c r="T95" s="78" t="str">
        <f>IF(OR($AB95="",T$52=""),IF('Assessment Matrix'!T43="","",'Assessment Matrix'!T43),IF(INDEX('Old Assessment Matrix'!$A$1:$BZ$2000,$AB95,T$52)="","",INDEX('Old Assessment Matrix'!$A$1:$BZ$2000,$AB95,T$52)))</f>
        <v/>
      </c>
      <c r="X95" s="78" t="str">
        <f>IF(OR($AB95="",X$52=""),IF('Assessment Matrix'!X43="","",'Assessment Matrix'!X43),IF(INDEX('Old Assessment Matrix'!$A$1:$BZ$2000,$AB95,X$52)="","",INDEX('Old Assessment Matrix'!$A$1:$BZ$2000,$AB95,X$52)))</f>
        <v/>
      </c>
      <c r="Y95" s="78" t="str">
        <f>IF(OR($AB95="",Y$52=""),IF('Assessment Matrix'!Y43="","",'Assessment Matrix'!Y43),IF(INDEX('Old Assessment Matrix'!$A$1:$BZ$2000,$AB95,Y$52)="","",INDEX('Old Assessment Matrix'!$A$1:$BZ$2000,$AB95,Y$52)))</f>
        <v/>
      </c>
      <c r="Z95" s="80" t="str">
        <f>IF(OR($AB95="",Z$52=""),IF('Assessment Matrix'!Z43="","",'Assessment Matrix'!Z43),IF(INDEX('Old Assessment Matrix'!$A$1:$BZ$2000,$AB95,Z$52)="","",INDEX('Old Assessment Matrix'!$A$1:$BZ$2000,$AB95,Z$52)))</f>
        <v/>
      </c>
      <c r="AB95" s="79" t="str">
        <f>IFERROR(MATCH($A95,'Old Assessment Matrix'!$A:$A,0),"")</f>
        <v/>
      </c>
      <c r="AC95" s="79" t="str">
        <f t="shared" si="2"/>
        <v>6.3</v>
      </c>
    </row>
    <row r="96" spans="1:29" x14ac:dyDescent="0.3">
      <c r="A96" s="19" t="str">
        <f>'Assessment Matrix'!A44</f>
        <v>6.4</v>
      </c>
      <c r="D96" s="79" t="str">
        <f>'Assessment Matrix'!D44</f>
        <v>Kill switch, model/provider rollback, prompt rollback, RAG disablement, and communication procedures exist.</v>
      </c>
      <c r="E96" s="78" t="str">
        <f>IF(OR($AB96="",E$52=""),IF('Assessment Matrix'!E44="","",'Assessment Matrix'!E44),IF(INDEX('Old Assessment Matrix'!$A$1:$BZ$2000,$AB96,E$52)="","",INDEX('Old Assessment Matrix'!$A$1:$BZ$2000,$AB96,E$52)))</f>
        <v>Major</v>
      </c>
      <c r="G96" s="78">
        <f>IF(OR($AB96="",G$52=""),IF('Assessment Matrix'!G44="","",'Assessment Matrix'!G44),IF(INDEX('Old Assessment Matrix'!$A$1:$BZ$2000,$AB96,G$52)="","",INDEX('Old Assessment Matrix'!$A$1:$BZ$2000,$AB96,G$52)))</f>
        <v>3</v>
      </c>
      <c r="H96" s="78">
        <f>IF(OR($AB96="",H$52=""),IF('Assessment Matrix'!H44="","",'Assessment Matrix'!H44),IF(INDEX('Old Assessment Matrix'!$A$1:$BZ$2000,$AB96,H$52)="","",INDEX('Old Assessment Matrix'!$A$1:$BZ$2000,$AB96,H$52)))</f>
        <v>4</v>
      </c>
      <c r="J96" s="78" t="str">
        <f>IF(OR($AB96="",J$52=""),IF('Assessment Matrix'!J44="","",'Assessment Matrix'!J44),IF(INDEX('Old Assessment Matrix'!$A$1:$BZ$2000,$AB96,J$52)="","",INDEX('Old Assessment Matrix'!$A$1:$BZ$2000,$AB96,J$52)))</f>
        <v/>
      </c>
      <c r="K96" s="78" t="str">
        <f>IF(OR($AB96="",K$52=""),IF('Assessment Matrix'!K44="","",'Assessment Matrix'!K44),IF(INDEX('Old Assessment Matrix'!$A$1:$BZ$2000,$AB96,K$52)="","",INDEX('Old Assessment Matrix'!$A$1:$BZ$2000,$AB96,K$52)))</f>
        <v/>
      </c>
      <c r="O96" s="78" t="str">
        <f>IF(OR($AB96="",O$52=""),IF('Assessment Matrix'!O44="","",'Assessment Matrix'!O44),IF(INDEX('Old Assessment Matrix'!$A$1:$BZ$2000,$AB96,O$52)="","",INDEX('Old Assessment Matrix'!$A$1:$BZ$2000,$AB96,O$52)))</f>
        <v/>
      </c>
      <c r="P96" s="78" t="str">
        <f>IF(OR($AB96="",P$52=""),IF('Assessment Matrix'!P44="","",'Assessment Matrix'!P44),IF(INDEX('Old Assessment Matrix'!$A$1:$BZ$2000,$AB96,P$52)="","",INDEX('Old Assessment Matrix'!$A$1:$BZ$2000,$AB96,P$52)))</f>
        <v/>
      </c>
      <c r="Q96" s="78" t="str">
        <f>IF(OR($AB96="",Q$52=""),IF('Assessment Matrix'!Q44="","",'Assessment Matrix'!Q44),IF(INDEX('Old Assessment Matrix'!$A$1:$BZ$2000,$AB96,Q$52)="","",INDEX('Old Assessment Matrix'!$A$1:$BZ$2000,$AB96,Q$52)))</f>
        <v/>
      </c>
      <c r="R96" s="80" t="str">
        <f>IF(OR($AB96="",R$52=""),IF('Assessment Matrix'!R44="","",'Assessment Matrix'!R44),IF(INDEX('Old Assessment Matrix'!$A$1:$BZ$2000,$AB96,R$52)="","",INDEX('Old Assessment Matrix'!$A$1:$BZ$2000,$AB96,R$52)))</f>
        <v/>
      </c>
      <c r="S96" s="78" t="str">
        <f>IF(OR($AB96="",S$52=""),IF('Assessment Matrix'!S44="","",'Assessment Matrix'!S44),IF(INDEX('Old Assessment Matrix'!$A$1:$BZ$2000,$AB96,S$52)="","",INDEX('Old Assessment Matrix'!$A$1:$BZ$2000,$AB96,S$52)))</f>
        <v/>
      </c>
      <c r="T96" s="78" t="str">
        <f>IF(OR($AB96="",T$52=""),IF('Assessment Matrix'!T44="","",'Assessment Matrix'!T44),IF(INDEX('Old Assessment Matrix'!$A$1:$BZ$2000,$AB96,T$52)="","",INDEX('Old Assessment Matrix'!$A$1:$BZ$2000,$AB96,T$52)))</f>
        <v/>
      </c>
      <c r="X96" s="78" t="str">
        <f>IF(OR($AB96="",X$52=""),IF('Assessment Matrix'!X44="","",'Assessment Matrix'!X44),IF(INDEX('Old Assessment Matrix'!$A$1:$BZ$2000,$AB96,X$52)="","",INDEX('Old Assessment Matrix'!$A$1:$BZ$2000,$AB96,X$52)))</f>
        <v/>
      </c>
      <c r="Y96" s="78" t="str">
        <f>IF(OR($AB96="",Y$52=""),IF('Assessment Matrix'!Y44="","",'Assessment Matrix'!Y44),IF(INDEX('Old Assessment Matrix'!$A$1:$BZ$2000,$AB96,Y$52)="","",INDEX('Old Assessment Matrix'!$A$1:$BZ$2000,$AB96,Y$52)))</f>
        <v/>
      </c>
      <c r="Z96" s="80" t="str">
        <f>IF(OR($AB96="",Z$52=""),IF('Assessment Matrix'!Z44="","",'Assessment Matrix'!Z44),IF(INDEX('Old Assessment Matrix'!$A$1:$BZ$2000,$AB96,Z$52)="","",INDEX('Old Assessment Matrix'!$A$1:$BZ$2000,$AB96,Z$52)))</f>
        <v/>
      </c>
      <c r="AB96" s="79" t="str">
        <f>IFERROR(MATCH($A96,'Old Assessment Matrix'!$A:$A,0),"")</f>
        <v/>
      </c>
      <c r="AC96" s="79" t="str">
        <f t="shared" si="2"/>
        <v>6.4</v>
      </c>
    </row>
    <row r="97" spans="1:29" x14ac:dyDescent="0.3">
      <c r="A97" s="19" t="str">
        <f>'Assessment Matrix'!A45</f>
        <v>6.5</v>
      </c>
      <c r="D97" s="79" t="str">
        <f>'Assessment Matrix'!D45</f>
        <v>AI incident response runbook includes prompt injection, data exposure, unsafe output, provider breach, and model behavior incident scenarios.</v>
      </c>
      <c r="E97" s="78" t="str">
        <f>IF(OR($AB97="",E$52=""),IF('Assessment Matrix'!E45="","",'Assessment Matrix'!E45),IF(INDEX('Old Assessment Matrix'!$A$1:$BZ$2000,$AB97,E$52)="","",INDEX('Old Assessment Matrix'!$A$1:$BZ$2000,$AB97,E$52)))</f>
        <v>Major</v>
      </c>
      <c r="G97" s="78">
        <f>IF(OR($AB97="",G$52=""),IF('Assessment Matrix'!G45="","",'Assessment Matrix'!G45),IF(INDEX('Old Assessment Matrix'!$A$1:$BZ$2000,$AB97,G$52)="","",INDEX('Old Assessment Matrix'!$A$1:$BZ$2000,$AB97,G$52)))</f>
        <v>3</v>
      </c>
      <c r="H97" s="78">
        <f>IF(OR($AB97="",H$52=""),IF('Assessment Matrix'!H45="","",'Assessment Matrix'!H45),IF(INDEX('Old Assessment Matrix'!$A$1:$BZ$2000,$AB97,H$52)="","",INDEX('Old Assessment Matrix'!$A$1:$BZ$2000,$AB97,H$52)))</f>
        <v>4</v>
      </c>
      <c r="J97" s="78" t="str">
        <f>IF(OR($AB97="",J$52=""),IF('Assessment Matrix'!J45="","",'Assessment Matrix'!J45),IF(INDEX('Old Assessment Matrix'!$A$1:$BZ$2000,$AB97,J$52)="","",INDEX('Old Assessment Matrix'!$A$1:$BZ$2000,$AB97,J$52)))</f>
        <v/>
      </c>
      <c r="K97" s="78" t="str">
        <f>IF(OR($AB97="",K$52=""),IF('Assessment Matrix'!K45="","",'Assessment Matrix'!K45),IF(INDEX('Old Assessment Matrix'!$A$1:$BZ$2000,$AB97,K$52)="","",INDEX('Old Assessment Matrix'!$A$1:$BZ$2000,$AB97,K$52)))</f>
        <v/>
      </c>
      <c r="O97" s="78" t="str">
        <f>IF(OR($AB97="",O$52=""),IF('Assessment Matrix'!O45="","",'Assessment Matrix'!O45),IF(INDEX('Old Assessment Matrix'!$A$1:$BZ$2000,$AB97,O$52)="","",INDEX('Old Assessment Matrix'!$A$1:$BZ$2000,$AB97,O$52)))</f>
        <v/>
      </c>
      <c r="P97" s="78" t="str">
        <f>IF(OR($AB97="",P$52=""),IF('Assessment Matrix'!P45="","",'Assessment Matrix'!P45),IF(INDEX('Old Assessment Matrix'!$A$1:$BZ$2000,$AB97,P$52)="","",INDEX('Old Assessment Matrix'!$A$1:$BZ$2000,$AB97,P$52)))</f>
        <v/>
      </c>
      <c r="Q97" s="78" t="str">
        <f>IF(OR($AB97="",Q$52=""),IF('Assessment Matrix'!Q45="","",'Assessment Matrix'!Q45),IF(INDEX('Old Assessment Matrix'!$A$1:$BZ$2000,$AB97,Q$52)="","",INDEX('Old Assessment Matrix'!$A$1:$BZ$2000,$AB97,Q$52)))</f>
        <v/>
      </c>
      <c r="R97" s="80" t="str">
        <f>IF(OR($AB97="",R$52=""),IF('Assessment Matrix'!R45="","",'Assessment Matrix'!R45),IF(INDEX('Old Assessment Matrix'!$A$1:$BZ$2000,$AB97,R$52)="","",INDEX('Old Assessment Matrix'!$A$1:$BZ$2000,$AB97,R$52)))</f>
        <v/>
      </c>
      <c r="S97" s="78" t="str">
        <f>IF(OR($AB97="",S$52=""),IF('Assessment Matrix'!S45="","",'Assessment Matrix'!S45),IF(INDEX('Old Assessment Matrix'!$A$1:$BZ$2000,$AB97,S$52)="","",INDEX('Old Assessment Matrix'!$A$1:$BZ$2000,$AB97,S$52)))</f>
        <v/>
      </c>
      <c r="T97" s="78" t="str">
        <f>IF(OR($AB97="",T$52=""),IF('Assessment Matrix'!T45="","",'Assessment Matrix'!T45),IF(INDEX('Old Assessment Matrix'!$A$1:$BZ$2000,$AB97,T$52)="","",INDEX('Old Assessment Matrix'!$A$1:$BZ$2000,$AB97,T$52)))</f>
        <v/>
      </c>
      <c r="X97" s="78" t="str">
        <f>IF(OR($AB97="",X$52=""),IF('Assessment Matrix'!X45="","",'Assessment Matrix'!X45),IF(INDEX('Old Assessment Matrix'!$A$1:$BZ$2000,$AB97,X$52)="","",INDEX('Old Assessment Matrix'!$A$1:$BZ$2000,$AB97,X$52)))</f>
        <v/>
      </c>
      <c r="Y97" s="78" t="str">
        <f>IF(OR($AB97="",Y$52=""),IF('Assessment Matrix'!Y45="","",'Assessment Matrix'!Y45),IF(INDEX('Old Assessment Matrix'!$A$1:$BZ$2000,$AB97,Y$52)="","",INDEX('Old Assessment Matrix'!$A$1:$BZ$2000,$AB97,Y$52)))</f>
        <v/>
      </c>
      <c r="Z97" s="80" t="str">
        <f>IF(OR($AB97="",Z$52=""),IF('Assessment Matrix'!Z45="","",'Assessment Matrix'!Z45),IF(INDEX('Old Assessment Matrix'!$A$1:$BZ$2000,$AB97,Z$52)="","",INDEX('Old Assessment Matrix'!$A$1:$BZ$2000,$AB97,Z$52)))</f>
        <v/>
      </c>
      <c r="AB97" s="79" t="str">
        <f>IFERROR(MATCH($A97,'Old Assessment Matrix'!$A:$A,0),"")</f>
        <v/>
      </c>
      <c r="AC97" s="79" t="str">
        <f t="shared" si="2"/>
        <v>6.5</v>
      </c>
    </row>
    <row r="98" spans="1:29" x14ac:dyDescent="0.3">
      <c r="A98" s="19" t="str">
        <f>'Assessment Matrix'!A46</f>
        <v>6.6</v>
      </c>
      <c r="D98" s="79" t="str">
        <f>'Assessment Matrix'!D46</f>
        <v>Availability and degraded modes are engineered and tested: provider outage and quota exhaustion handling, fallback model or reduced-functionality mode, and user-facing messaging.</v>
      </c>
      <c r="E98" s="78" t="str">
        <f>IF(OR($AB98="",E$52=""),IF('Assessment Matrix'!E46="","",'Assessment Matrix'!E46),IF(INDEX('Old Assessment Matrix'!$A$1:$BZ$2000,$AB98,E$52)="","",INDEX('Old Assessment Matrix'!$A$1:$BZ$2000,$AB98,E$52)))</f>
        <v>Major</v>
      </c>
      <c r="G98" s="78">
        <f>IF(OR($AB98="",G$52=""),IF('Assessment Matrix'!G46="","",'Assessment Matrix'!G46),IF(INDEX('Old Assessment Matrix'!$A$1:$BZ$2000,$AB98,G$52)="","",INDEX('Old Assessment Matrix'!$A$1:$BZ$2000,$AB98,G$52)))</f>
        <v>3</v>
      </c>
      <c r="H98" s="78">
        <f>IF(OR($AB98="",H$52=""),IF('Assessment Matrix'!H46="","",'Assessment Matrix'!H46),IF(INDEX('Old Assessment Matrix'!$A$1:$BZ$2000,$AB98,H$52)="","",INDEX('Old Assessment Matrix'!$A$1:$BZ$2000,$AB98,H$52)))</f>
        <v>4</v>
      </c>
      <c r="J98" s="78" t="str">
        <f>IF(OR($AB98="",J$52=""),IF('Assessment Matrix'!J46="","",'Assessment Matrix'!J46),IF(INDEX('Old Assessment Matrix'!$A$1:$BZ$2000,$AB98,J$52)="","",INDEX('Old Assessment Matrix'!$A$1:$BZ$2000,$AB98,J$52)))</f>
        <v/>
      </c>
      <c r="K98" s="78" t="str">
        <f>IF(OR($AB98="",K$52=""),IF('Assessment Matrix'!K46="","",'Assessment Matrix'!K46),IF(INDEX('Old Assessment Matrix'!$A$1:$BZ$2000,$AB98,K$52)="","",INDEX('Old Assessment Matrix'!$A$1:$BZ$2000,$AB98,K$52)))</f>
        <v/>
      </c>
      <c r="O98" s="78" t="str">
        <f>IF(OR($AB98="",O$52=""),IF('Assessment Matrix'!O46="","",'Assessment Matrix'!O46),IF(INDEX('Old Assessment Matrix'!$A$1:$BZ$2000,$AB98,O$52)="","",INDEX('Old Assessment Matrix'!$A$1:$BZ$2000,$AB98,O$52)))</f>
        <v/>
      </c>
      <c r="P98" s="78" t="str">
        <f>IF(OR($AB98="",P$52=""),IF('Assessment Matrix'!P46="","",'Assessment Matrix'!P46),IF(INDEX('Old Assessment Matrix'!$A$1:$BZ$2000,$AB98,P$52)="","",INDEX('Old Assessment Matrix'!$A$1:$BZ$2000,$AB98,P$52)))</f>
        <v/>
      </c>
      <c r="Q98" s="78" t="str">
        <f>IF(OR($AB98="",Q$52=""),IF('Assessment Matrix'!Q46="","",'Assessment Matrix'!Q46),IF(INDEX('Old Assessment Matrix'!$A$1:$BZ$2000,$AB98,Q$52)="","",INDEX('Old Assessment Matrix'!$A$1:$BZ$2000,$AB98,Q$52)))</f>
        <v/>
      </c>
      <c r="R98" s="80" t="str">
        <f>IF(OR($AB98="",R$52=""),IF('Assessment Matrix'!R46="","",'Assessment Matrix'!R46),IF(INDEX('Old Assessment Matrix'!$A$1:$BZ$2000,$AB98,R$52)="","",INDEX('Old Assessment Matrix'!$A$1:$BZ$2000,$AB98,R$52)))</f>
        <v/>
      </c>
      <c r="S98" s="78" t="str">
        <f>IF(OR($AB98="",S$52=""),IF('Assessment Matrix'!S46="","",'Assessment Matrix'!S46),IF(INDEX('Old Assessment Matrix'!$A$1:$BZ$2000,$AB98,S$52)="","",INDEX('Old Assessment Matrix'!$A$1:$BZ$2000,$AB98,S$52)))</f>
        <v/>
      </c>
      <c r="T98" s="78" t="str">
        <f>IF(OR($AB98="",T$52=""),IF('Assessment Matrix'!T46="","",'Assessment Matrix'!T46),IF(INDEX('Old Assessment Matrix'!$A$1:$BZ$2000,$AB98,T$52)="","",INDEX('Old Assessment Matrix'!$A$1:$BZ$2000,$AB98,T$52)))</f>
        <v/>
      </c>
      <c r="X98" s="78" t="str">
        <f>IF(OR($AB98="",X$52=""),IF('Assessment Matrix'!X46="","",'Assessment Matrix'!X46),IF(INDEX('Old Assessment Matrix'!$A$1:$BZ$2000,$AB98,X$52)="","",INDEX('Old Assessment Matrix'!$A$1:$BZ$2000,$AB98,X$52)))</f>
        <v/>
      </c>
      <c r="Y98" s="78" t="str">
        <f>IF(OR($AB98="",Y$52=""),IF('Assessment Matrix'!Y46="","",'Assessment Matrix'!Y46),IF(INDEX('Old Assessment Matrix'!$A$1:$BZ$2000,$AB98,Y$52)="","",INDEX('Old Assessment Matrix'!$A$1:$BZ$2000,$AB98,Y$52)))</f>
        <v/>
      </c>
      <c r="Z98" s="80" t="str">
        <f>IF(OR($AB98="",Z$52=""),IF('Assessment Matrix'!Z46="","",'Assessment Matrix'!Z46),IF(INDEX('Old Assessment Matrix'!$A$1:$BZ$2000,$AB98,Z$52)="","",INDEX('Old Assessment Matrix'!$A$1:$BZ$2000,$AB98,Z$52)))</f>
        <v/>
      </c>
      <c r="AB98" s="79" t="str">
        <f>IFERROR(MATCH($A98,'Old Assessment Matrix'!$A:$A,0),"")</f>
        <v/>
      </c>
      <c r="AC98" s="79" t="str">
        <f t="shared" si="2"/>
        <v>6.6</v>
      </c>
    </row>
    <row r="99" spans="1:29" x14ac:dyDescent="0.3">
      <c r="A99" s="19" t="str">
        <f>'Assessment Matrix'!A47</f>
        <v>7.1</v>
      </c>
      <c r="D99" s="79" t="str">
        <f>'Assessment Matrix'!D47</f>
        <v>Privacy assessment/DPIA, legal basis, minimization, retention, data subject rights, and cross-border transfer controls are complete.</v>
      </c>
      <c r="E99" s="78" t="str">
        <f>IF(OR($AB99="",E$52=""),IF('Assessment Matrix'!E47="","",'Assessment Matrix'!E47),IF(INDEX('Old Assessment Matrix'!$A$1:$BZ$2000,$AB99,E$52)="","",INDEX('Old Assessment Matrix'!$A$1:$BZ$2000,$AB99,E$52)))</f>
        <v>Blocker</v>
      </c>
      <c r="G99" s="78">
        <f>IF(OR($AB99="",G$52=""),IF('Assessment Matrix'!G47="","",'Assessment Matrix'!G47),IF(INDEX('Old Assessment Matrix'!$A$1:$BZ$2000,$AB99,G$52)="","",INDEX('Old Assessment Matrix'!$A$1:$BZ$2000,$AB99,G$52)))</f>
        <v>4</v>
      </c>
      <c r="H99" s="78">
        <f>IF(OR($AB99="",H$52=""),IF('Assessment Matrix'!H47="","",'Assessment Matrix'!H47),IF(INDEX('Old Assessment Matrix'!$A$1:$BZ$2000,$AB99,H$52)="","",INDEX('Old Assessment Matrix'!$A$1:$BZ$2000,$AB99,H$52)))</f>
        <v>5</v>
      </c>
      <c r="J99" s="78" t="str">
        <f>IF(OR($AB99="",J$52=""),IF('Assessment Matrix'!J47="","",'Assessment Matrix'!J47),IF(INDEX('Old Assessment Matrix'!$A$1:$BZ$2000,$AB99,J$52)="","",INDEX('Old Assessment Matrix'!$A$1:$BZ$2000,$AB99,J$52)))</f>
        <v/>
      </c>
      <c r="K99" s="78" t="str">
        <f>IF(OR($AB99="",K$52=""),IF('Assessment Matrix'!K47="","",'Assessment Matrix'!K47),IF(INDEX('Old Assessment Matrix'!$A$1:$BZ$2000,$AB99,K$52)="","",INDEX('Old Assessment Matrix'!$A$1:$BZ$2000,$AB99,K$52)))</f>
        <v/>
      </c>
      <c r="O99" s="78" t="str">
        <f>IF(OR($AB99="",O$52=""),IF('Assessment Matrix'!O47="","",'Assessment Matrix'!O47),IF(INDEX('Old Assessment Matrix'!$A$1:$BZ$2000,$AB99,O$52)="","",INDEX('Old Assessment Matrix'!$A$1:$BZ$2000,$AB99,O$52)))</f>
        <v/>
      </c>
      <c r="P99" s="78" t="str">
        <f>IF(OR($AB99="",P$52=""),IF('Assessment Matrix'!P47="","",'Assessment Matrix'!P47),IF(INDEX('Old Assessment Matrix'!$A$1:$BZ$2000,$AB99,P$52)="","",INDEX('Old Assessment Matrix'!$A$1:$BZ$2000,$AB99,P$52)))</f>
        <v/>
      </c>
      <c r="Q99" s="78" t="str">
        <f>IF(OR($AB99="",Q$52=""),IF('Assessment Matrix'!Q47="","",'Assessment Matrix'!Q47),IF(INDEX('Old Assessment Matrix'!$A$1:$BZ$2000,$AB99,Q$52)="","",INDEX('Old Assessment Matrix'!$A$1:$BZ$2000,$AB99,Q$52)))</f>
        <v/>
      </c>
      <c r="R99" s="80" t="str">
        <f>IF(OR($AB99="",R$52=""),IF('Assessment Matrix'!R47="","",'Assessment Matrix'!R47),IF(INDEX('Old Assessment Matrix'!$A$1:$BZ$2000,$AB99,R$52)="","",INDEX('Old Assessment Matrix'!$A$1:$BZ$2000,$AB99,R$52)))</f>
        <v/>
      </c>
      <c r="S99" s="78" t="str">
        <f>IF(OR($AB99="",S$52=""),IF('Assessment Matrix'!S47="","",'Assessment Matrix'!S47),IF(INDEX('Old Assessment Matrix'!$A$1:$BZ$2000,$AB99,S$52)="","",INDEX('Old Assessment Matrix'!$A$1:$BZ$2000,$AB99,S$52)))</f>
        <v/>
      </c>
      <c r="T99" s="78" t="str">
        <f>IF(OR($AB99="",T$52=""),IF('Assessment Matrix'!T47="","",'Assessment Matrix'!T47),IF(INDEX('Old Assessment Matrix'!$A$1:$BZ$2000,$AB99,T$52)="","",INDEX('Old Assessment Matrix'!$A$1:$BZ$2000,$AB99,T$52)))</f>
        <v/>
      </c>
      <c r="X99" s="78" t="str">
        <f>IF(OR($AB99="",X$52=""),IF('Assessment Matrix'!X47="","",'Assessment Matrix'!X47),IF(INDEX('Old Assessment Matrix'!$A$1:$BZ$2000,$AB99,X$52)="","",INDEX('Old Assessment Matrix'!$A$1:$BZ$2000,$AB99,X$52)))</f>
        <v/>
      </c>
      <c r="Y99" s="78" t="str">
        <f>IF(OR($AB99="",Y$52=""),IF('Assessment Matrix'!Y47="","",'Assessment Matrix'!Y47),IF(INDEX('Old Assessment Matrix'!$A$1:$BZ$2000,$AB99,Y$52)="","",INDEX('Old Assessment Matrix'!$A$1:$BZ$2000,$AB99,Y$52)))</f>
        <v/>
      </c>
      <c r="Z99" s="80" t="str">
        <f>IF(OR($AB99="",Z$52=""),IF('Assessment Matrix'!Z47="","",'Assessment Matrix'!Z47),IF(INDEX('Old Assessment Matrix'!$A$1:$BZ$2000,$AB99,Z$52)="","",INDEX('Old Assessment Matrix'!$A$1:$BZ$2000,$AB99,Z$52)))</f>
        <v/>
      </c>
      <c r="AB99" s="79" t="str">
        <f>IFERROR(MATCH($A99,'Old Assessment Matrix'!$A:$A,0),"")</f>
        <v/>
      </c>
      <c r="AC99" s="79" t="str">
        <f t="shared" si="2"/>
        <v>7.1</v>
      </c>
    </row>
    <row r="100" spans="1:29" x14ac:dyDescent="0.3">
      <c r="A100" s="19" t="str">
        <f>'Assessment Matrix'!A48</f>
        <v>7.2</v>
      </c>
      <c r="D100" s="79" t="str">
        <f>'Assessment Matrix'!D48</f>
        <v>DPA, SCCs/transfer impact assessment, confidentiality, audit rights, breach notification, and subprocessor terms are in place.</v>
      </c>
      <c r="E100" s="78" t="str">
        <f>IF(OR($AB100="",E$52=""),IF('Assessment Matrix'!E48="","",'Assessment Matrix'!E48),IF(INDEX('Old Assessment Matrix'!$A$1:$BZ$2000,$AB100,E$52)="","",INDEX('Old Assessment Matrix'!$A$1:$BZ$2000,$AB100,E$52)))</f>
        <v>Blocker</v>
      </c>
      <c r="G100" s="78">
        <f>IF(OR($AB100="",G$52=""),IF('Assessment Matrix'!G48="","",'Assessment Matrix'!G48),IF(INDEX('Old Assessment Matrix'!$A$1:$BZ$2000,$AB100,G$52)="","",INDEX('Old Assessment Matrix'!$A$1:$BZ$2000,$AB100,G$52)))</f>
        <v>4</v>
      </c>
      <c r="H100" s="78">
        <f>IF(OR($AB100="",H$52=""),IF('Assessment Matrix'!H48="","",'Assessment Matrix'!H48),IF(INDEX('Old Assessment Matrix'!$A$1:$BZ$2000,$AB100,H$52)="","",INDEX('Old Assessment Matrix'!$A$1:$BZ$2000,$AB100,H$52)))</f>
        <v>5</v>
      </c>
      <c r="J100" s="78" t="str">
        <f>IF(OR($AB100="",J$52=""),IF('Assessment Matrix'!J48="","",'Assessment Matrix'!J48),IF(INDEX('Old Assessment Matrix'!$A$1:$BZ$2000,$AB100,J$52)="","",INDEX('Old Assessment Matrix'!$A$1:$BZ$2000,$AB100,J$52)))</f>
        <v/>
      </c>
      <c r="K100" s="78" t="str">
        <f>IF(OR($AB100="",K$52=""),IF('Assessment Matrix'!K48="","",'Assessment Matrix'!K48),IF(INDEX('Old Assessment Matrix'!$A$1:$BZ$2000,$AB100,K$52)="","",INDEX('Old Assessment Matrix'!$A$1:$BZ$2000,$AB100,K$52)))</f>
        <v/>
      </c>
      <c r="O100" s="78" t="str">
        <f>IF(OR($AB100="",O$52=""),IF('Assessment Matrix'!O48="","",'Assessment Matrix'!O48),IF(INDEX('Old Assessment Matrix'!$A$1:$BZ$2000,$AB100,O$52)="","",INDEX('Old Assessment Matrix'!$A$1:$BZ$2000,$AB100,O$52)))</f>
        <v/>
      </c>
      <c r="P100" s="78" t="str">
        <f>IF(OR($AB100="",P$52=""),IF('Assessment Matrix'!P48="","",'Assessment Matrix'!P48),IF(INDEX('Old Assessment Matrix'!$A$1:$BZ$2000,$AB100,P$52)="","",INDEX('Old Assessment Matrix'!$A$1:$BZ$2000,$AB100,P$52)))</f>
        <v/>
      </c>
      <c r="Q100" s="78" t="str">
        <f>IF(OR($AB100="",Q$52=""),IF('Assessment Matrix'!Q48="","",'Assessment Matrix'!Q48),IF(INDEX('Old Assessment Matrix'!$A$1:$BZ$2000,$AB100,Q$52)="","",INDEX('Old Assessment Matrix'!$A$1:$BZ$2000,$AB100,Q$52)))</f>
        <v/>
      </c>
      <c r="R100" s="80" t="str">
        <f>IF(OR($AB100="",R$52=""),IF('Assessment Matrix'!R48="","",'Assessment Matrix'!R48),IF(INDEX('Old Assessment Matrix'!$A$1:$BZ$2000,$AB100,R$52)="","",INDEX('Old Assessment Matrix'!$A$1:$BZ$2000,$AB100,R$52)))</f>
        <v/>
      </c>
      <c r="S100" s="78" t="str">
        <f>IF(OR($AB100="",S$52=""),IF('Assessment Matrix'!S48="","",'Assessment Matrix'!S48),IF(INDEX('Old Assessment Matrix'!$A$1:$BZ$2000,$AB100,S$52)="","",INDEX('Old Assessment Matrix'!$A$1:$BZ$2000,$AB100,S$52)))</f>
        <v/>
      </c>
      <c r="T100" s="78" t="str">
        <f>IF(OR($AB100="",T$52=""),IF('Assessment Matrix'!T48="","",'Assessment Matrix'!T48),IF(INDEX('Old Assessment Matrix'!$A$1:$BZ$2000,$AB100,T$52)="","",INDEX('Old Assessment Matrix'!$A$1:$BZ$2000,$AB100,T$52)))</f>
        <v/>
      </c>
      <c r="X100" s="78" t="str">
        <f>IF(OR($AB100="",X$52=""),IF('Assessment Matrix'!X48="","",'Assessment Matrix'!X48),IF(INDEX('Old Assessment Matrix'!$A$1:$BZ$2000,$AB100,X$52)="","",INDEX('Old Assessment Matrix'!$A$1:$BZ$2000,$AB100,X$52)))</f>
        <v/>
      </c>
      <c r="Y100" s="78" t="str">
        <f>IF(OR($AB100="",Y$52=""),IF('Assessment Matrix'!Y48="","",'Assessment Matrix'!Y48),IF(INDEX('Old Assessment Matrix'!$A$1:$BZ$2000,$AB100,Y$52)="","",INDEX('Old Assessment Matrix'!$A$1:$BZ$2000,$AB100,Y$52)))</f>
        <v/>
      </c>
      <c r="Z100" s="80" t="str">
        <f>IF(OR($AB100="",Z$52=""),IF('Assessment Matrix'!Z48="","",'Assessment Matrix'!Z48),IF(INDEX('Old Assessment Matrix'!$A$1:$BZ$2000,$AB100,Z$52)="","",INDEX('Old Assessment Matrix'!$A$1:$BZ$2000,$AB100,Z$52)))</f>
        <v/>
      </c>
      <c r="AB100" s="79" t="str">
        <f>IFERROR(MATCH($A100,'Old Assessment Matrix'!$A:$A,0),"")</f>
        <v/>
      </c>
      <c r="AC100" s="79" t="str">
        <f t="shared" si="2"/>
        <v>7.2</v>
      </c>
    </row>
    <row r="101" spans="1:29" x14ac:dyDescent="0.3">
      <c r="A101" s="19" t="str">
        <f>'Assessment Matrix'!A49</f>
        <v>7.3</v>
      </c>
      <c r="D101" s="79" t="str">
        <f>'Assessment Matrix'!D49</f>
        <v>Export control, sanctions, extraterritorial law, geopolitical supplier risk, and national security restrictions are reviewed by legal/compliance.</v>
      </c>
      <c r="E101" s="78" t="str">
        <f>IF(OR($AB101="",E$52=""),IF('Assessment Matrix'!E49="","",'Assessment Matrix'!E49),IF(INDEX('Old Assessment Matrix'!$A$1:$BZ$2000,$AB101,E$52)="","",INDEX('Old Assessment Matrix'!$A$1:$BZ$2000,$AB101,E$52)))</f>
        <v>Blocker</v>
      </c>
      <c r="G101" s="78">
        <f>IF(OR($AB101="",G$52=""),IF('Assessment Matrix'!G49="","",'Assessment Matrix'!G49),IF(INDEX('Old Assessment Matrix'!$A$1:$BZ$2000,$AB101,G$52)="","",INDEX('Old Assessment Matrix'!$A$1:$BZ$2000,$AB101,G$52)))</f>
        <v>3</v>
      </c>
      <c r="H101" s="78">
        <f>IF(OR($AB101="",H$52=""),IF('Assessment Matrix'!H49="","",'Assessment Matrix'!H49),IF(INDEX('Old Assessment Matrix'!$A$1:$BZ$2000,$AB101,H$52)="","",INDEX('Old Assessment Matrix'!$A$1:$BZ$2000,$AB101,H$52)))</f>
        <v>5</v>
      </c>
      <c r="J101" s="78" t="str">
        <f>IF(OR($AB101="",J$52=""),IF('Assessment Matrix'!J49="","",'Assessment Matrix'!J49),IF(INDEX('Old Assessment Matrix'!$A$1:$BZ$2000,$AB101,J$52)="","",INDEX('Old Assessment Matrix'!$A$1:$BZ$2000,$AB101,J$52)))</f>
        <v/>
      </c>
      <c r="K101" s="78" t="str">
        <f>IF(OR($AB101="",K$52=""),IF('Assessment Matrix'!K49="","",'Assessment Matrix'!K49),IF(INDEX('Old Assessment Matrix'!$A$1:$BZ$2000,$AB101,K$52)="","",INDEX('Old Assessment Matrix'!$A$1:$BZ$2000,$AB101,K$52)))</f>
        <v/>
      </c>
      <c r="O101" s="78" t="str">
        <f>IF(OR($AB101="",O$52=""),IF('Assessment Matrix'!O49="","",'Assessment Matrix'!O49),IF(INDEX('Old Assessment Matrix'!$A$1:$BZ$2000,$AB101,O$52)="","",INDEX('Old Assessment Matrix'!$A$1:$BZ$2000,$AB101,O$52)))</f>
        <v/>
      </c>
      <c r="P101" s="78" t="str">
        <f>IF(OR($AB101="",P$52=""),IF('Assessment Matrix'!P49="","",'Assessment Matrix'!P49),IF(INDEX('Old Assessment Matrix'!$A$1:$BZ$2000,$AB101,P$52)="","",INDEX('Old Assessment Matrix'!$A$1:$BZ$2000,$AB101,P$52)))</f>
        <v/>
      </c>
      <c r="Q101" s="78" t="str">
        <f>IF(OR($AB101="",Q$52=""),IF('Assessment Matrix'!Q49="","",'Assessment Matrix'!Q49),IF(INDEX('Old Assessment Matrix'!$A$1:$BZ$2000,$AB101,Q$52)="","",INDEX('Old Assessment Matrix'!$A$1:$BZ$2000,$AB101,Q$52)))</f>
        <v/>
      </c>
      <c r="R101" s="80" t="str">
        <f>IF(OR($AB101="",R$52=""),IF('Assessment Matrix'!R49="","",'Assessment Matrix'!R49),IF(INDEX('Old Assessment Matrix'!$A$1:$BZ$2000,$AB101,R$52)="","",INDEX('Old Assessment Matrix'!$A$1:$BZ$2000,$AB101,R$52)))</f>
        <v/>
      </c>
      <c r="S101" s="78" t="str">
        <f>IF(OR($AB101="",S$52=""),IF('Assessment Matrix'!S49="","",'Assessment Matrix'!S49),IF(INDEX('Old Assessment Matrix'!$A$1:$BZ$2000,$AB101,S$52)="","",INDEX('Old Assessment Matrix'!$A$1:$BZ$2000,$AB101,S$52)))</f>
        <v/>
      </c>
      <c r="T101" s="78" t="str">
        <f>IF(OR($AB101="",T$52=""),IF('Assessment Matrix'!T49="","",'Assessment Matrix'!T49),IF(INDEX('Old Assessment Matrix'!$A$1:$BZ$2000,$AB101,T$52)="","",INDEX('Old Assessment Matrix'!$A$1:$BZ$2000,$AB101,T$52)))</f>
        <v/>
      </c>
      <c r="X101" s="78" t="str">
        <f>IF(OR($AB101="",X$52=""),IF('Assessment Matrix'!X49="","",'Assessment Matrix'!X49),IF(INDEX('Old Assessment Matrix'!$A$1:$BZ$2000,$AB101,X$52)="","",INDEX('Old Assessment Matrix'!$A$1:$BZ$2000,$AB101,X$52)))</f>
        <v/>
      </c>
      <c r="Y101" s="78" t="str">
        <f>IF(OR($AB101="",Y$52=""),IF('Assessment Matrix'!Y49="","",'Assessment Matrix'!Y49),IF(INDEX('Old Assessment Matrix'!$A$1:$BZ$2000,$AB101,Y$52)="","",INDEX('Old Assessment Matrix'!$A$1:$BZ$2000,$AB101,Y$52)))</f>
        <v/>
      </c>
      <c r="Z101" s="80" t="str">
        <f>IF(OR($AB101="",Z$52=""),IF('Assessment Matrix'!Z49="","",'Assessment Matrix'!Z49),IF(INDEX('Old Assessment Matrix'!$A$1:$BZ$2000,$AB101,Z$52)="","",INDEX('Old Assessment Matrix'!$A$1:$BZ$2000,$AB101,Z$52)))</f>
        <v/>
      </c>
      <c r="AB101" s="79" t="str">
        <f>IFERROR(MATCH($A101,'Old Assessment Matrix'!$A:$A,0),"")</f>
        <v/>
      </c>
      <c r="AC101" s="79" t="str">
        <f t="shared" si="2"/>
        <v>7.3</v>
      </c>
    </row>
    <row r="102" spans="1:29" x14ac:dyDescent="0.3">
      <c r="A102" s="19" t="str">
        <f>'Assessment Matrix'!A50</f>
        <v>7.4</v>
      </c>
      <c r="D102" s="79" t="str">
        <f>'Assessment Matrix'!D50</f>
        <v>GPAI/high-risk/deployer/provider obligations, transparency notices, logging, human oversight, and incident reporting duties are mapped.</v>
      </c>
      <c r="E102" s="78" t="str">
        <f>IF(OR($AB102="",E$52=""),IF('Assessment Matrix'!E50="","",'Assessment Matrix'!E50),IF(INDEX('Old Assessment Matrix'!$A$1:$BZ$2000,$AB102,E$52)="","",INDEX('Old Assessment Matrix'!$A$1:$BZ$2000,$AB102,E$52)))</f>
        <v>Major</v>
      </c>
      <c r="G102" s="78">
        <f>IF(OR($AB102="",G$52=""),IF('Assessment Matrix'!G50="","",'Assessment Matrix'!G50),IF(INDEX('Old Assessment Matrix'!$A$1:$BZ$2000,$AB102,G$52)="","",INDEX('Old Assessment Matrix'!$A$1:$BZ$2000,$AB102,G$52)))</f>
        <v>3</v>
      </c>
      <c r="H102" s="78">
        <f>IF(OR($AB102="",H$52=""),IF('Assessment Matrix'!H50="","",'Assessment Matrix'!H50),IF(INDEX('Old Assessment Matrix'!$A$1:$BZ$2000,$AB102,H$52)="","",INDEX('Old Assessment Matrix'!$A$1:$BZ$2000,$AB102,H$52)))</f>
        <v>5</v>
      </c>
      <c r="J102" s="78" t="str">
        <f>IF(OR($AB102="",J$52=""),IF('Assessment Matrix'!J50="","",'Assessment Matrix'!J50),IF(INDEX('Old Assessment Matrix'!$A$1:$BZ$2000,$AB102,J$52)="","",INDEX('Old Assessment Matrix'!$A$1:$BZ$2000,$AB102,J$52)))</f>
        <v/>
      </c>
      <c r="K102" s="78" t="str">
        <f>IF(OR($AB102="",K$52=""),IF('Assessment Matrix'!K50="","",'Assessment Matrix'!K50),IF(INDEX('Old Assessment Matrix'!$A$1:$BZ$2000,$AB102,K$52)="","",INDEX('Old Assessment Matrix'!$A$1:$BZ$2000,$AB102,K$52)))</f>
        <v/>
      </c>
      <c r="O102" s="78" t="str">
        <f>IF(OR($AB102="",O$52=""),IF('Assessment Matrix'!O50="","",'Assessment Matrix'!O50),IF(INDEX('Old Assessment Matrix'!$A$1:$BZ$2000,$AB102,O$52)="","",INDEX('Old Assessment Matrix'!$A$1:$BZ$2000,$AB102,O$52)))</f>
        <v/>
      </c>
      <c r="P102" s="78" t="str">
        <f>IF(OR($AB102="",P$52=""),IF('Assessment Matrix'!P50="","",'Assessment Matrix'!P50),IF(INDEX('Old Assessment Matrix'!$A$1:$BZ$2000,$AB102,P$52)="","",INDEX('Old Assessment Matrix'!$A$1:$BZ$2000,$AB102,P$52)))</f>
        <v/>
      </c>
      <c r="Q102" s="78" t="str">
        <f>IF(OR($AB102="",Q$52=""),IF('Assessment Matrix'!Q50="","",'Assessment Matrix'!Q50),IF(INDEX('Old Assessment Matrix'!$A$1:$BZ$2000,$AB102,Q$52)="","",INDEX('Old Assessment Matrix'!$A$1:$BZ$2000,$AB102,Q$52)))</f>
        <v/>
      </c>
      <c r="R102" s="80" t="str">
        <f>IF(OR($AB102="",R$52=""),IF('Assessment Matrix'!R50="","",'Assessment Matrix'!R50),IF(INDEX('Old Assessment Matrix'!$A$1:$BZ$2000,$AB102,R$52)="","",INDEX('Old Assessment Matrix'!$A$1:$BZ$2000,$AB102,R$52)))</f>
        <v/>
      </c>
      <c r="S102" s="78" t="str">
        <f>IF(OR($AB102="",S$52=""),IF('Assessment Matrix'!S50="","",'Assessment Matrix'!S50),IF(INDEX('Old Assessment Matrix'!$A$1:$BZ$2000,$AB102,S$52)="","",INDEX('Old Assessment Matrix'!$A$1:$BZ$2000,$AB102,S$52)))</f>
        <v/>
      </c>
      <c r="T102" s="78" t="str">
        <f>IF(OR($AB102="",T$52=""),IF('Assessment Matrix'!T50="","",'Assessment Matrix'!T50),IF(INDEX('Old Assessment Matrix'!$A$1:$BZ$2000,$AB102,T$52)="","",INDEX('Old Assessment Matrix'!$A$1:$BZ$2000,$AB102,T$52)))</f>
        <v/>
      </c>
      <c r="X102" s="78" t="str">
        <f>IF(OR($AB102="",X$52=""),IF('Assessment Matrix'!X50="","",'Assessment Matrix'!X50),IF(INDEX('Old Assessment Matrix'!$A$1:$BZ$2000,$AB102,X$52)="","",INDEX('Old Assessment Matrix'!$A$1:$BZ$2000,$AB102,X$52)))</f>
        <v/>
      </c>
      <c r="Y102" s="78" t="str">
        <f>IF(OR($AB102="",Y$52=""),IF('Assessment Matrix'!Y50="","",'Assessment Matrix'!Y50),IF(INDEX('Old Assessment Matrix'!$A$1:$BZ$2000,$AB102,Y$52)="","",INDEX('Old Assessment Matrix'!$A$1:$BZ$2000,$AB102,Y$52)))</f>
        <v/>
      </c>
      <c r="Z102" s="80" t="str">
        <f>IF(OR($AB102="",Z$52=""),IF('Assessment Matrix'!Z50="","",'Assessment Matrix'!Z50),IF(INDEX('Old Assessment Matrix'!$A$1:$BZ$2000,$AB102,Z$52)="","",INDEX('Old Assessment Matrix'!$A$1:$BZ$2000,$AB102,Z$52)))</f>
        <v/>
      </c>
      <c r="AB102" s="79" t="str">
        <f>IFERROR(MATCH($A102,'Old Assessment Matrix'!$A:$A,0),"")</f>
        <v/>
      </c>
      <c r="AC102" s="79" t="str">
        <f t="shared" si="2"/>
        <v>7.4</v>
      </c>
    </row>
    <row r="103" spans="1:29" x14ac:dyDescent="0.3">
      <c r="A103" s="19" t="str">
        <f>'Assessment Matrix'!A51</f>
        <v>7.5</v>
      </c>
      <c r="D103" s="79" t="str">
        <f>'Assessment Matrix'!D51</f>
        <v>Copyright, training data provenance, output IP, content marking, and third-party rights are reviewed.</v>
      </c>
      <c r="E103" s="78" t="str">
        <f>IF(OR($AB103="",E$52=""),IF('Assessment Matrix'!E51="","",'Assessment Matrix'!E51),IF(INDEX('Old Assessment Matrix'!$A$1:$BZ$2000,$AB103,E$52)="","",INDEX('Old Assessment Matrix'!$A$1:$BZ$2000,$AB103,E$52)))</f>
        <v>Major</v>
      </c>
      <c r="G103" s="78">
        <f>IF(OR($AB103="",G$52=""),IF('Assessment Matrix'!G51="","",'Assessment Matrix'!G51),IF(INDEX('Old Assessment Matrix'!$A$1:$BZ$2000,$AB103,G$52)="","",INDEX('Old Assessment Matrix'!$A$1:$BZ$2000,$AB103,G$52)))</f>
        <v>3</v>
      </c>
      <c r="H103" s="78">
        <f>IF(OR($AB103="",H$52=""),IF('Assessment Matrix'!H51="","",'Assessment Matrix'!H51),IF(INDEX('Old Assessment Matrix'!$A$1:$BZ$2000,$AB103,H$52)="","",INDEX('Old Assessment Matrix'!$A$1:$BZ$2000,$AB103,H$52)))</f>
        <v>4</v>
      </c>
      <c r="J103" s="78" t="str">
        <f>IF(OR($AB103="",J$52=""),IF('Assessment Matrix'!J51="","",'Assessment Matrix'!J51),IF(INDEX('Old Assessment Matrix'!$A$1:$BZ$2000,$AB103,J$52)="","",INDEX('Old Assessment Matrix'!$A$1:$BZ$2000,$AB103,J$52)))</f>
        <v/>
      </c>
      <c r="K103" s="78" t="str">
        <f>IF(OR($AB103="",K$52=""),IF('Assessment Matrix'!K51="","",'Assessment Matrix'!K51),IF(INDEX('Old Assessment Matrix'!$A$1:$BZ$2000,$AB103,K$52)="","",INDEX('Old Assessment Matrix'!$A$1:$BZ$2000,$AB103,K$52)))</f>
        <v/>
      </c>
      <c r="O103" s="78" t="str">
        <f>IF(OR($AB103="",O$52=""),IF('Assessment Matrix'!O51="","",'Assessment Matrix'!O51),IF(INDEX('Old Assessment Matrix'!$A$1:$BZ$2000,$AB103,O$52)="","",INDEX('Old Assessment Matrix'!$A$1:$BZ$2000,$AB103,O$52)))</f>
        <v/>
      </c>
      <c r="P103" s="78" t="str">
        <f>IF(OR($AB103="",P$52=""),IF('Assessment Matrix'!P51="","",'Assessment Matrix'!P51),IF(INDEX('Old Assessment Matrix'!$A$1:$BZ$2000,$AB103,P$52)="","",INDEX('Old Assessment Matrix'!$A$1:$BZ$2000,$AB103,P$52)))</f>
        <v/>
      </c>
      <c r="Q103" s="78" t="str">
        <f>IF(OR($AB103="",Q$52=""),IF('Assessment Matrix'!Q51="","",'Assessment Matrix'!Q51),IF(INDEX('Old Assessment Matrix'!$A$1:$BZ$2000,$AB103,Q$52)="","",INDEX('Old Assessment Matrix'!$A$1:$BZ$2000,$AB103,Q$52)))</f>
        <v/>
      </c>
      <c r="R103" s="80" t="str">
        <f>IF(OR($AB103="",R$52=""),IF('Assessment Matrix'!R51="","",'Assessment Matrix'!R51),IF(INDEX('Old Assessment Matrix'!$A$1:$BZ$2000,$AB103,R$52)="","",INDEX('Old Assessment Matrix'!$A$1:$BZ$2000,$AB103,R$52)))</f>
        <v/>
      </c>
      <c r="S103" s="78" t="str">
        <f>IF(OR($AB103="",S$52=""),IF('Assessment Matrix'!S51="","",'Assessment Matrix'!S51),IF(INDEX('Old Assessment Matrix'!$A$1:$BZ$2000,$AB103,S$52)="","",INDEX('Old Assessment Matrix'!$A$1:$BZ$2000,$AB103,S$52)))</f>
        <v/>
      </c>
      <c r="T103" s="78" t="str">
        <f>IF(OR($AB103="",T$52=""),IF('Assessment Matrix'!T51="","",'Assessment Matrix'!T51),IF(INDEX('Old Assessment Matrix'!$A$1:$BZ$2000,$AB103,T$52)="","",INDEX('Old Assessment Matrix'!$A$1:$BZ$2000,$AB103,T$52)))</f>
        <v/>
      </c>
      <c r="X103" s="78" t="str">
        <f>IF(OR($AB103="",X$52=""),IF('Assessment Matrix'!X51="","",'Assessment Matrix'!X51),IF(INDEX('Old Assessment Matrix'!$A$1:$BZ$2000,$AB103,X$52)="","",INDEX('Old Assessment Matrix'!$A$1:$BZ$2000,$AB103,X$52)))</f>
        <v/>
      </c>
      <c r="Y103" s="78" t="str">
        <f>IF(OR($AB103="",Y$52=""),IF('Assessment Matrix'!Y51="","",'Assessment Matrix'!Y51),IF(INDEX('Old Assessment Matrix'!$A$1:$BZ$2000,$AB103,Y$52)="","",INDEX('Old Assessment Matrix'!$A$1:$BZ$2000,$AB103,Y$52)))</f>
        <v/>
      </c>
      <c r="Z103" s="80" t="str">
        <f>IF(OR($AB103="",Z$52=""),IF('Assessment Matrix'!Z51="","",'Assessment Matrix'!Z51),IF(INDEX('Old Assessment Matrix'!$A$1:$BZ$2000,$AB103,Z$52)="","",INDEX('Old Assessment Matrix'!$A$1:$BZ$2000,$AB103,Z$52)))</f>
        <v/>
      </c>
      <c r="AB103" s="79" t="str">
        <f>IFERROR(MATCH($A103,'Old Assessment Matrix'!$A:$A,0),"")</f>
        <v/>
      </c>
      <c r="AC103" s="79" t="str">
        <f t="shared" si="2"/>
        <v>7.5</v>
      </c>
    </row>
    <row r="104" spans="1:29" x14ac:dyDescent="0.3">
      <c r="A104" s="19" t="str">
        <f>'Assessment Matrix'!A52</f>
        <v>8.1</v>
      </c>
      <c r="D104" s="79" t="str">
        <f>'Assessment Matrix'!D52</f>
        <v>Risk owner, service owner, data owner, model owner, and operational support are assigned.</v>
      </c>
      <c r="E104" s="78" t="str">
        <f>IF(OR($AB104="",E$52=""),IF('Assessment Matrix'!E52="","",'Assessment Matrix'!E52),IF(INDEX('Old Assessment Matrix'!$A$1:$BZ$2000,$AB104,E$52)="","",INDEX('Old Assessment Matrix'!$A$1:$BZ$2000,$AB104,E$52)))</f>
        <v>Major</v>
      </c>
      <c r="G104" s="78">
        <f>IF(OR($AB104="",G$52=""),IF('Assessment Matrix'!G52="","",'Assessment Matrix'!G52),IF(INDEX('Old Assessment Matrix'!$A$1:$BZ$2000,$AB104,G$52)="","",INDEX('Old Assessment Matrix'!$A$1:$BZ$2000,$AB104,G$52)))</f>
        <v>3</v>
      </c>
      <c r="H104" s="78">
        <f>IF(OR($AB104="",H$52=""),IF('Assessment Matrix'!H52="","",'Assessment Matrix'!H52),IF(INDEX('Old Assessment Matrix'!$A$1:$BZ$2000,$AB104,H$52)="","",INDEX('Old Assessment Matrix'!$A$1:$BZ$2000,$AB104,H$52)))</f>
        <v>4</v>
      </c>
      <c r="J104" s="78" t="str">
        <f>IF(OR($AB104="",J$52=""),IF('Assessment Matrix'!J52="","",'Assessment Matrix'!J52),IF(INDEX('Old Assessment Matrix'!$A$1:$BZ$2000,$AB104,J$52)="","",INDEX('Old Assessment Matrix'!$A$1:$BZ$2000,$AB104,J$52)))</f>
        <v/>
      </c>
      <c r="K104" s="78" t="str">
        <f>IF(OR($AB104="",K$52=""),IF('Assessment Matrix'!K52="","",'Assessment Matrix'!K52),IF(INDEX('Old Assessment Matrix'!$A$1:$BZ$2000,$AB104,K$52)="","",INDEX('Old Assessment Matrix'!$A$1:$BZ$2000,$AB104,K$52)))</f>
        <v/>
      </c>
      <c r="O104" s="78" t="str">
        <f>IF(OR($AB104="",O$52=""),IF('Assessment Matrix'!O52="","",'Assessment Matrix'!O52),IF(INDEX('Old Assessment Matrix'!$A$1:$BZ$2000,$AB104,O$52)="","",INDEX('Old Assessment Matrix'!$A$1:$BZ$2000,$AB104,O$52)))</f>
        <v/>
      </c>
      <c r="P104" s="78" t="str">
        <f>IF(OR($AB104="",P$52=""),IF('Assessment Matrix'!P52="","",'Assessment Matrix'!P52),IF(INDEX('Old Assessment Matrix'!$A$1:$BZ$2000,$AB104,P$52)="","",INDEX('Old Assessment Matrix'!$A$1:$BZ$2000,$AB104,P$52)))</f>
        <v/>
      </c>
      <c r="Q104" s="78" t="str">
        <f>IF(OR($AB104="",Q$52=""),IF('Assessment Matrix'!Q52="","",'Assessment Matrix'!Q52),IF(INDEX('Old Assessment Matrix'!$A$1:$BZ$2000,$AB104,Q$52)="","",INDEX('Old Assessment Matrix'!$A$1:$BZ$2000,$AB104,Q$52)))</f>
        <v/>
      </c>
      <c r="R104" s="80" t="str">
        <f>IF(OR($AB104="",R$52=""),IF('Assessment Matrix'!R52="","",'Assessment Matrix'!R52),IF(INDEX('Old Assessment Matrix'!$A$1:$BZ$2000,$AB104,R$52)="","",INDEX('Old Assessment Matrix'!$A$1:$BZ$2000,$AB104,R$52)))</f>
        <v/>
      </c>
      <c r="S104" s="78" t="str">
        <f>IF(OR($AB104="",S$52=""),IF('Assessment Matrix'!S52="","",'Assessment Matrix'!S52),IF(INDEX('Old Assessment Matrix'!$A$1:$BZ$2000,$AB104,S$52)="","",INDEX('Old Assessment Matrix'!$A$1:$BZ$2000,$AB104,S$52)))</f>
        <v/>
      </c>
      <c r="T104" s="78" t="str">
        <f>IF(OR($AB104="",T$52=""),IF('Assessment Matrix'!T52="","",'Assessment Matrix'!T52),IF(INDEX('Old Assessment Matrix'!$A$1:$BZ$2000,$AB104,T$52)="","",INDEX('Old Assessment Matrix'!$A$1:$BZ$2000,$AB104,T$52)))</f>
        <v/>
      </c>
      <c r="X104" s="78" t="str">
        <f>IF(OR($AB104="",X$52=""),IF('Assessment Matrix'!X52="","",'Assessment Matrix'!X52),IF(INDEX('Old Assessment Matrix'!$A$1:$BZ$2000,$AB104,X$52)="","",INDEX('Old Assessment Matrix'!$A$1:$BZ$2000,$AB104,X$52)))</f>
        <v/>
      </c>
      <c r="Y104" s="78" t="str">
        <f>IF(OR($AB104="",Y$52=""),IF('Assessment Matrix'!Y52="","",'Assessment Matrix'!Y52),IF(INDEX('Old Assessment Matrix'!$A$1:$BZ$2000,$AB104,Y$52)="","",INDEX('Old Assessment Matrix'!$A$1:$BZ$2000,$AB104,Y$52)))</f>
        <v/>
      </c>
      <c r="Z104" s="80" t="str">
        <f>IF(OR($AB104="",Z$52=""),IF('Assessment Matrix'!Z52="","",'Assessment Matrix'!Z52),IF(INDEX('Old Assessment Matrix'!$A$1:$BZ$2000,$AB104,Z$52)="","",INDEX('Old Assessment Matrix'!$A$1:$BZ$2000,$AB104,Z$52)))</f>
        <v/>
      </c>
      <c r="AB104" s="79" t="str">
        <f>IFERROR(MATCH($A104,'Old Assessment Matrix'!$A:$A,0),"")</f>
        <v/>
      </c>
      <c r="AC104" s="79" t="str">
        <f t="shared" si="2"/>
        <v>8.1</v>
      </c>
    </row>
    <row r="105" spans="1:29" x14ac:dyDescent="0.3">
      <c r="A105" s="19" t="str">
        <f>'Assessment Matrix'!A53</f>
        <v>8.2</v>
      </c>
      <c r="D105" s="79" t="str">
        <f>'Assessment Matrix'!D53</f>
        <v>Change control covers model version, prompts, system instructions, retrieval corpus, embeddings, tools, guardrails, and thresholds.</v>
      </c>
      <c r="E105" s="78" t="str">
        <f>IF(OR($AB105="",E$52=""),IF('Assessment Matrix'!E53="","",'Assessment Matrix'!E53),IF(INDEX('Old Assessment Matrix'!$A$1:$BZ$2000,$AB105,E$52)="","",INDEX('Old Assessment Matrix'!$A$1:$BZ$2000,$AB105,E$52)))</f>
        <v>Major</v>
      </c>
      <c r="G105" s="78">
        <f>IF(OR($AB105="",G$52=""),IF('Assessment Matrix'!G53="","",'Assessment Matrix'!G53),IF(INDEX('Old Assessment Matrix'!$A$1:$BZ$2000,$AB105,G$52)="","",INDEX('Old Assessment Matrix'!$A$1:$BZ$2000,$AB105,G$52)))</f>
        <v>4</v>
      </c>
      <c r="H105" s="78">
        <f>IF(OR($AB105="",H$52=""),IF('Assessment Matrix'!H53="","",'Assessment Matrix'!H53),IF(INDEX('Old Assessment Matrix'!$A$1:$BZ$2000,$AB105,H$52)="","",INDEX('Old Assessment Matrix'!$A$1:$BZ$2000,$AB105,H$52)))</f>
        <v>4</v>
      </c>
      <c r="J105" s="78" t="str">
        <f>IF(OR($AB105="",J$52=""),IF('Assessment Matrix'!J53="","",'Assessment Matrix'!J53),IF(INDEX('Old Assessment Matrix'!$A$1:$BZ$2000,$AB105,J$52)="","",INDEX('Old Assessment Matrix'!$A$1:$BZ$2000,$AB105,J$52)))</f>
        <v/>
      </c>
      <c r="K105" s="78" t="str">
        <f>IF(OR($AB105="",K$52=""),IF('Assessment Matrix'!K53="","",'Assessment Matrix'!K53),IF(INDEX('Old Assessment Matrix'!$A$1:$BZ$2000,$AB105,K$52)="","",INDEX('Old Assessment Matrix'!$A$1:$BZ$2000,$AB105,K$52)))</f>
        <v/>
      </c>
      <c r="O105" s="78" t="str">
        <f>IF(OR($AB105="",O$52=""),IF('Assessment Matrix'!O53="","",'Assessment Matrix'!O53),IF(INDEX('Old Assessment Matrix'!$A$1:$BZ$2000,$AB105,O$52)="","",INDEX('Old Assessment Matrix'!$A$1:$BZ$2000,$AB105,O$52)))</f>
        <v/>
      </c>
      <c r="P105" s="78" t="str">
        <f>IF(OR($AB105="",P$52=""),IF('Assessment Matrix'!P53="","",'Assessment Matrix'!P53),IF(INDEX('Old Assessment Matrix'!$A$1:$BZ$2000,$AB105,P$52)="","",INDEX('Old Assessment Matrix'!$A$1:$BZ$2000,$AB105,P$52)))</f>
        <v/>
      </c>
      <c r="Q105" s="78" t="str">
        <f>IF(OR($AB105="",Q$52=""),IF('Assessment Matrix'!Q53="","",'Assessment Matrix'!Q53),IF(INDEX('Old Assessment Matrix'!$A$1:$BZ$2000,$AB105,Q$52)="","",INDEX('Old Assessment Matrix'!$A$1:$BZ$2000,$AB105,Q$52)))</f>
        <v/>
      </c>
      <c r="R105" s="80" t="str">
        <f>IF(OR($AB105="",R$52=""),IF('Assessment Matrix'!R53="","",'Assessment Matrix'!R53),IF(INDEX('Old Assessment Matrix'!$A$1:$BZ$2000,$AB105,R$52)="","",INDEX('Old Assessment Matrix'!$A$1:$BZ$2000,$AB105,R$52)))</f>
        <v/>
      </c>
      <c r="S105" s="78" t="str">
        <f>IF(OR($AB105="",S$52=""),IF('Assessment Matrix'!S53="","",'Assessment Matrix'!S53),IF(INDEX('Old Assessment Matrix'!$A$1:$BZ$2000,$AB105,S$52)="","",INDEX('Old Assessment Matrix'!$A$1:$BZ$2000,$AB105,S$52)))</f>
        <v/>
      </c>
      <c r="T105" s="78" t="str">
        <f>IF(OR($AB105="",T$52=""),IF('Assessment Matrix'!T53="","",'Assessment Matrix'!T53),IF(INDEX('Old Assessment Matrix'!$A$1:$BZ$2000,$AB105,T$52)="","",INDEX('Old Assessment Matrix'!$A$1:$BZ$2000,$AB105,T$52)))</f>
        <v/>
      </c>
      <c r="X105" s="78" t="str">
        <f>IF(OR($AB105="",X$52=""),IF('Assessment Matrix'!X53="","",'Assessment Matrix'!X53),IF(INDEX('Old Assessment Matrix'!$A$1:$BZ$2000,$AB105,X$52)="","",INDEX('Old Assessment Matrix'!$A$1:$BZ$2000,$AB105,X$52)))</f>
        <v/>
      </c>
      <c r="Y105" s="78" t="str">
        <f>IF(OR($AB105="",Y$52=""),IF('Assessment Matrix'!Y53="","",'Assessment Matrix'!Y53),IF(INDEX('Old Assessment Matrix'!$A$1:$BZ$2000,$AB105,Y$52)="","",INDEX('Old Assessment Matrix'!$A$1:$BZ$2000,$AB105,Y$52)))</f>
        <v/>
      </c>
      <c r="Z105" s="80" t="str">
        <f>IF(OR($AB105="",Z$52=""),IF('Assessment Matrix'!Z53="","",'Assessment Matrix'!Z53),IF(INDEX('Old Assessment Matrix'!$A$1:$BZ$2000,$AB105,Z$52)="","",INDEX('Old Assessment Matrix'!$A$1:$BZ$2000,$AB105,Z$52)))</f>
        <v/>
      </c>
      <c r="AB105" s="79" t="str">
        <f>IFERROR(MATCH($A105,'Old Assessment Matrix'!$A:$A,0),"")</f>
        <v/>
      </c>
      <c r="AC105" s="79" t="str">
        <f t="shared" si="2"/>
        <v>8.2</v>
      </c>
    </row>
    <row r="106" spans="1:29" x14ac:dyDescent="0.3">
      <c r="A106" s="19" t="str">
        <f>'Assessment Matrix'!A54</f>
        <v>8.3</v>
      </c>
      <c r="D106" s="79" t="str">
        <f>'Assessment Matrix'!D54</f>
        <v>A residual-risk sign-off process is defined before the go-live decision: a named accountable risk owner, sign-off criteria, and timing (before pilot/production and after material changes).</v>
      </c>
      <c r="E106" s="78" t="str">
        <f>IF(OR($AB106="",E$52=""),IF('Assessment Matrix'!E54="","",'Assessment Matrix'!E54),IF(INDEX('Old Assessment Matrix'!$A$1:$BZ$2000,$AB106,E$52)="","",INDEX('Old Assessment Matrix'!$A$1:$BZ$2000,$AB106,E$52)))</f>
        <v>Blocker</v>
      </c>
      <c r="G106" s="78">
        <f>IF(OR($AB106="",G$52=""),IF('Assessment Matrix'!G54="","",'Assessment Matrix'!G54),IF(INDEX('Old Assessment Matrix'!$A$1:$BZ$2000,$AB106,G$52)="","",INDEX('Old Assessment Matrix'!$A$1:$BZ$2000,$AB106,G$52)))</f>
        <v>3</v>
      </c>
      <c r="H106" s="78">
        <f>IF(OR($AB106="",H$52=""),IF('Assessment Matrix'!H54="","",'Assessment Matrix'!H54),IF(INDEX('Old Assessment Matrix'!$A$1:$BZ$2000,$AB106,H$52)="","",INDEX('Old Assessment Matrix'!$A$1:$BZ$2000,$AB106,H$52)))</f>
        <v>5</v>
      </c>
      <c r="J106" s="78" t="str">
        <f>IF(OR($AB106="",J$52=""),IF('Assessment Matrix'!J54="","",'Assessment Matrix'!J54),IF(INDEX('Old Assessment Matrix'!$A$1:$BZ$2000,$AB106,J$52)="","",INDEX('Old Assessment Matrix'!$A$1:$BZ$2000,$AB106,J$52)))</f>
        <v/>
      </c>
      <c r="K106" s="78" t="str">
        <f>IF(OR($AB106="",K$52=""),IF('Assessment Matrix'!K54="","",'Assessment Matrix'!K54),IF(INDEX('Old Assessment Matrix'!$A$1:$BZ$2000,$AB106,K$52)="","",INDEX('Old Assessment Matrix'!$A$1:$BZ$2000,$AB106,K$52)))</f>
        <v/>
      </c>
      <c r="O106" s="78" t="str">
        <f>IF(OR($AB106="",O$52=""),IF('Assessment Matrix'!O54="","",'Assessment Matrix'!O54),IF(INDEX('Old Assessment Matrix'!$A$1:$BZ$2000,$AB106,O$52)="","",INDEX('Old Assessment Matrix'!$A$1:$BZ$2000,$AB106,O$52)))</f>
        <v/>
      </c>
      <c r="P106" s="78" t="str">
        <f>IF(OR($AB106="",P$52=""),IF('Assessment Matrix'!P54="","",'Assessment Matrix'!P54),IF(INDEX('Old Assessment Matrix'!$A$1:$BZ$2000,$AB106,P$52)="","",INDEX('Old Assessment Matrix'!$A$1:$BZ$2000,$AB106,P$52)))</f>
        <v/>
      </c>
      <c r="Q106" s="78" t="str">
        <f>IF(OR($AB106="",Q$52=""),IF('Assessment Matrix'!Q54="","",'Assessment Matrix'!Q54),IF(INDEX('Old Assessment Matrix'!$A$1:$BZ$2000,$AB106,Q$52)="","",INDEX('Old Assessment Matrix'!$A$1:$BZ$2000,$AB106,Q$52)))</f>
        <v/>
      </c>
      <c r="R106" s="80" t="str">
        <f>IF(OR($AB106="",R$52=""),IF('Assessment Matrix'!R54="","",'Assessment Matrix'!R54),IF(INDEX('Old Assessment Matrix'!$A$1:$BZ$2000,$AB106,R$52)="","",INDEX('Old Assessment Matrix'!$A$1:$BZ$2000,$AB106,R$52)))</f>
        <v/>
      </c>
      <c r="S106" s="78" t="str">
        <f>IF(OR($AB106="",S$52=""),IF('Assessment Matrix'!S54="","",'Assessment Matrix'!S54),IF(INDEX('Old Assessment Matrix'!$A$1:$BZ$2000,$AB106,S$52)="","",INDEX('Old Assessment Matrix'!$A$1:$BZ$2000,$AB106,S$52)))</f>
        <v/>
      </c>
      <c r="T106" s="78" t="str">
        <f>IF(OR($AB106="",T$52=""),IF('Assessment Matrix'!T54="","",'Assessment Matrix'!T54),IF(INDEX('Old Assessment Matrix'!$A$1:$BZ$2000,$AB106,T$52)="","",INDEX('Old Assessment Matrix'!$A$1:$BZ$2000,$AB106,T$52)))</f>
        <v/>
      </c>
      <c r="X106" s="78" t="str">
        <f>IF(OR($AB106="",X$52=""),IF('Assessment Matrix'!X54="","",'Assessment Matrix'!X54),IF(INDEX('Old Assessment Matrix'!$A$1:$BZ$2000,$AB106,X$52)="","",INDEX('Old Assessment Matrix'!$A$1:$BZ$2000,$AB106,X$52)))</f>
        <v/>
      </c>
      <c r="Y106" s="78" t="str">
        <f>IF(OR($AB106="",Y$52=""),IF('Assessment Matrix'!Y54="","",'Assessment Matrix'!Y54),IF(INDEX('Old Assessment Matrix'!$A$1:$BZ$2000,$AB106,Y$52)="","",INDEX('Old Assessment Matrix'!$A$1:$BZ$2000,$AB106,Y$52)))</f>
        <v/>
      </c>
      <c r="Z106" s="80" t="str">
        <f>IF(OR($AB106="",Z$52=""),IF('Assessment Matrix'!Z54="","",'Assessment Matrix'!Z54),IF(INDEX('Old Assessment Matrix'!$A$1:$BZ$2000,$AB106,Z$52)="","",INDEX('Old Assessment Matrix'!$A$1:$BZ$2000,$AB106,Z$52)))</f>
        <v/>
      </c>
      <c r="AB106" s="79" t="str">
        <f>IFERROR(MATCH($A106,'Old Assessment Matrix'!$A:$A,0),"")</f>
        <v/>
      </c>
      <c r="AC106" s="79" t="str">
        <f t="shared" si="2"/>
        <v>8.3</v>
      </c>
    </row>
    <row r="107" spans="1:29" x14ac:dyDescent="0.3">
      <c r="A107" s="19" t="str">
        <f>'Assessment Matrix'!A55</f>
        <v>8.4</v>
      </c>
      <c r="D107" s="79" t="str">
        <f>'Assessment Matrix'!D55</f>
        <v>Users, administrators, reviewers, and other persons operating or using the system on the organisation's behalf receive role-, context-, and risk-appropriate AI literacy measures (training and/or guidance); target groups and measures are documented.</v>
      </c>
      <c r="E107" s="78" t="str">
        <f>IF(OR($AB107="",E$52=""),IF('Assessment Matrix'!E55="","",'Assessment Matrix'!E55),IF(INDEX('Old Assessment Matrix'!$A$1:$BZ$2000,$AB107,E$52)="","",INDEX('Old Assessment Matrix'!$A$1:$BZ$2000,$AB107,E$52)))</f>
        <v>Major</v>
      </c>
      <c r="G107" s="78">
        <f>IF(OR($AB107="",G$52=""),IF('Assessment Matrix'!G55="","",'Assessment Matrix'!G55),IF(INDEX('Old Assessment Matrix'!$A$1:$BZ$2000,$AB107,G$52)="","",INDEX('Old Assessment Matrix'!$A$1:$BZ$2000,$AB107,G$52)))</f>
        <v>3</v>
      </c>
      <c r="H107" s="78">
        <f>IF(OR($AB107="",H$52=""),IF('Assessment Matrix'!H55="","",'Assessment Matrix'!H55),IF(INDEX('Old Assessment Matrix'!$A$1:$BZ$2000,$AB107,H$52)="","",INDEX('Old Assessment Matrix'!$A$1:$BZ$2000,$AB107,H$52)))</f>
        <v>4</v>
      </c>
      <c r="J107" s="78" t="str">
        <f>IF(OR($AB107="",J$52=""),IF('Assessment Matrix'!J55="","",'Assessment Matrix'!J55),IF(INDEX('Old Assessment Matrix'!$A$1:$BZ$2000,$AB107,J$52)="","",INDEX('Old Assessment Matrix'!$A$1:$BZ$2000,$AB107,J$52)))</f>
        <v/>
      </c>
      <c r="K107" s="78" t="str">
        <f>IF(OR($AB107="",K$52=""),IF('Assessment Matrix'!K55="","",'Assessment Matrix'!K55),IF(INDEX('Old Assessment Matrix'!$A$1:$BZ$2000,$AB107,K$52)="","",INDEX('Old Assessment Matrix'!$A$1:$BZ$2000,$AB107,K$52)))</f>
        <v/>
      </c>
      <c r="O107" s="78" t="str">
        <f>IF(OR($AB107="",O$52=""),IF('Assessment Matrix'!O55="","",'Assessment Matrix'!O55),IF(INDEX('Old Assessment Matrix'!$A$1:$BZ$2000,$AB107,O$52)="","",INDEX('Old Assessment Matrix'!$A$1:$BZ$2000,$AB107,O$52)))</f>
        <v/>
      </c>
      <c r="P107" s="78" t="str">
        <f>IF(OR($AB107="",P$52=""),IF('Assessment Matrix'!P55="","",'Assessment Matrix'!P55),IF(INDEX('Old Assessment Matrix'!$A$1:$BZ$2000,$AB107,P$52)="","",INDEX('Old Assessment Matrix'!$A$1:$BZ$2000,$AB107,P$52)))</f>
        <v/>
      </c>
      <c r="Q107" s="78" t="str">
        <f>IF(OR($AB107="",Q$52=""),IF('Assessment Matrix'!Q55="","",'Assessment Matrix'!Q55),IF(INDEX('Old Assessment Matrix'!$A$1:$BZ$2000,$AB107,Q$52)="","",INDEX('Old Assessment Matrix'!$A$1:$BZ$2000,$AB107,Q$52)))</f>
        <v/>
      </c>
      <c r="R107" s="80" t="str">
        <f>IF(OR($AB107="",R$52=""),IF('Assessment Matrix'!R55="","",'Assessment Matrix'!R55),IF(INDEX('Old Assessment Matrix'!$A$1:$BZ$2000,$AB107,R$52)="","",INDEX('Old Assessment Matrix'!$A$1:$BZ$2000,$AB107,R$52)))</f>
        <v/>
      </c>
      <c r="S107" s="78" t="str">
        <f>IF(OR($AB107="",S$52=""),IF('Assessment Matrix'!S55="","",'Assessment Matrix'!S55),IF(INDEX('Old Assessment Matrix'!$A$1:$BZ$2000,$AB107,S$52)="","",INDEX('Old Assessment Matrix'!$A$1:$BZ$2000,$AB107,S$52)))</f>
        <v/>
      </c>
      <c r="T107" s="78" t="str">
        <f>IF(OR($AB107="",T$52=""),IF('Assessment Matrix'!T55="","",'Assessment Matrix'!T55),IF(INDEX('Old Assessment Matrix'!$A$1:$BZ$2000,$AB107,T$52)="","",INDEX('Old Assessment Matrix'!$A$1:$BZ$2000,$AB107,T$52)))</f>
        <v/>
      </c>
      <c r="X107" s="78" t="str">
        <f>IF(OR($AB107="",X$52=""),IF('Assessment Matrix'!X55="","",'Assessment Matrix'!X55),IF(INDEX('Old Assessment Matrix'!$A$1:$BZ$2000,$AB107,X$52)="","",INDEX('Old Assessment Matrix'!$A$1:$BZ$2000,$AB107,X$52)))</f>
        <v/>
      </c>
      <c r="Y107" s="78" t="str">
        <f>IF(OR($AB107="",Y$52=""),IF('Assessment Matrix'!Y55="","",'Assessment Matrix'!Y55),IF(INDEX('Old Assessment Matrix'!$A$1:$BZ$2000,$AB107,Y$52)="","",INDEX('Old Assessment Matrix'!$A$1:$BZ$2000,$AB107,Y$52)))</f>
        <v/>
      </c>
      <c r="Z107" s="80" t="str">
        <f>IF(OR($AB107="",Z$52=""),IF('Assessment Matrix'!Z55="","",'Assessment Matrix'!Z55),IF(INDEX('Old Assessment Matrix'!$A$1:$BZ$2000,$AB107,Z$52)="","",INDEX('Old Assessment Matrix'!$A$1:$BZ$2000,$AB107,Z$52)))</f>
        <v/>
      </c>
      <c r="AB107" s="79" t="str">
        <f>IFERROR(MATCH($A107,'Old Assessment Matrix'!$A:$A,0),"")</f>
        <v/>
      </c>
      <c r="AC107" s="79" t="str">
        <f t="shared" si="2"/>
        <v>8.4</v>
      </c>
    </row>
    <row r="108" spans="1:29" x14ac:dyDescent="0.3">
      <c r="A108" s="19" t="str">
        <f>'Assessment Matrix'!A56</f>
        <v>8.5</v>
      </c>
      <c r="D108" s="79" t="str">
        <f>'Assessment Matrix'!D56</f>
        <v>Periodic reassessment cadence is set for model updates, provider changes, threat changes, incidents, and regulatory changes.</v>
      </c>
      <c r="E108" s="78" t="str">
        <f>IF(OR($AB108="",E$52=""),IF('Assessment Matrix'!E56="","",'Assessment Matrix'!E56),IF(INDEX('Old Assessment Matrix'!$A$1:$BZ$2000,$AB108,E$52)="","",INDEX('Old Assessment Matrix'!$A$1:$BZ$2000,$AB108,E$52)))</f>
        <v>Major</v>
      </c>
      <c r="G108" s="78">
        <f>IF(OR($AB108="",G$52=""),IF('Assessment Matrix'!G56="","",'Assessment Matrix'!G56),IF(INDEX('Old Assessment Matrix'!$A$1:$BZ$2000,$AB108,G$52)="","",INDEX('Old Assessment Matrix'!$A$1:$BZ$2000,$AB108,G$52)))</f>
        <v>3</v>
      </c>
      <c r="H108" s="78">
        <f>IF(OR($AB108="",H$52=""),IF('Assessment Matrix'!H56="","",'Assessment Matrix'!H56),IF(INDEX('Old Assessment Matrix'!$A$1:$BZ$2000,$AB108,H$52)="","",INDEX('Old Assessment Matrix'!$A$1:$BZ$2000,$AB108,H$52)))</f>
        <v>4</v>
      </c>
      <c r="J108" s="78" t="str">
        <f>IF(OR($AB108="",J$52=""),IF('Assessment Matrix'!J56="","",'Assessment Matrix'!J56),IF(INDEX('Old Assessment Matrix'!$A$1:$BZ$2000,$AB108,J$52)="","",INDEX('Old Assessment Matrix'!$A$1:$BZ$2000,$AB108,J$52)))</f>
        <v/>
      </c>
      <c r="K108" s="78" t="str">
        <f>IF(OR($AB108="",K$52=""),IF('Assessment Matrix'!K56="","",'Assessment Matrix'!K56),IF(INDEX('Old Assessment Matrix'!$A$1:$BZ$2000,$AB108,K$52)="","",INDEX('Old Assessment Matrix'!$A$1:$BZ$2000,$AB108,K$52)))</f>
        <v/>
      </c>
      <c r="O108" s="78" t="str">
        <f>IF(OR($AB108="",O$52=""),IF('Assessment Matrix'!O56="","",'Assessment Matrix'!O56),IF(INDEX('Old Assessment Matrix'!$A$1:$BZ$2000,$AB108,O$52)="","",INDEX('Old Assessment Matrix'!$A$1:$BZ$2000,$AB108,O$52)))</f>
        <v/>
      </c>
      <c r="P108" s="78" t="str">
        <f>IF(OR($AB108="",P$52=""),IF('Assessment Matrix'!P56="","",'Assessment Matrix'!P56),IF(INDEX('Old Assessment Matrix'!$A$1:$BZ$2000,$AB108,P$52)="","",INDEX('Old Assessment Matrix'!$A$1:$BZ$2000,$AB108,P$52)))</f>
        <v/>
      </c>
      <c r="Q108" s="78" t="str">
        <f>IF(OR($AB108="",Q$52=""),IF('Assessment Matrix'!Q56="","",'Assessment Matrix'!Q56),IF(INDEX('Old Assessment Matrix'!$A$1:$BZ$2000,$AB108,Q$52)="","",INDEX('Old Assessment Matrix'!$A$1:$BZ$2000,$AB108,Q$52)))</f>
        <v/>
      </c>
      <c r="R108" s="80" t="str">
        <f>IF(OR($AB108="",R$52=""),IF('Assessment Matrix'!R56="","",'Assessment Matrix'!R56),IF(INDEX('Old Assessment Matrix'!$A$1:$BZ$2000,$AB108,R$52)="","",INDEX('Old Assessment Matrix'!$A$1:$BZ$2000,$AB108,R$52)))</f>
        <v/>
      </c>
      <c r="S108" s="78" t="str">
        <f>IF(OR($AB108="",S$52=""),IF('Assessment Matrix'!S56="","",'Assessment Matrix'!S56),IF(INDEX('Old Assessment Matrix'!$A$1:$BZ$2000,$AB108,S$52)="","",INDEX('Old Assessment Matrix'!$A$1:$BZ$2000,$AB108,S$52)))</f>
        <v/>
      </c>
      <c r="T108" s="78" t="str">
        <f>IF(OR($AB108="",T$52=""),IF('Assessment Matrix'!T56="","",'Assessment Matrix'!T56),IF(INDEX('Old Assessment Matrix'!$A$1:$BZ$2000,$AB108,T$52)="","",INDEX('Old Assessment Matrix'!$A$1:$BZ$2000,$AB108,T$52)))</f>
        <v/>
      </c>
      <c r="X108" s="78" t="str">
        <f>IF(OR($AB108="",X$52=""),IF('Assessment Matrix'!X56="","",'Assessment Matrix'!X56),IF(INDEX('Old Assessment Matrix'!$A$1:$BZ$2000,$AB108,X$52)="","",INDEX('Old Assessment Matrix'!$A$1:$BZ$2000,$AB108,X$52)))</f>
        <v/>
      </c>
      <c r="Y108" s="78" t="str">
        <f>IF(OR($AB108="",Y$52=""),IF('Assessment Matrix'!Y56="","",'Assessment Matrix'!Y56),IF(INDEX('Old Assessment Matrix'!$A$1:$BZ$2000,$AB108,Y$52)="","",INDEX('Old Assessment Matrix'!$A$1:$BZ$2000,$AB108,Y$52)))</f>
        <v/>
      </c>
      <c r="Z108" s="80" t="str">
        <f>IF(OR($AB108="",Z$52=""),IF('Assessment Matrix'!Z56="","",'Assessment Matrix'!Z56),IF(INDEX('Old Assessment Matrix'!$A$1:$BZ$2000,$AB108,Z$52)="","",INDEX('Old Assessment Matrix'!$A$1:$BZ$2000,$AB108,Z$52)))</f>
        <v/>
      </c>
      <c r="AB108" s="79" t="str">
        <f>IFERROR(MATCH($A108,'Old Assessment Matrix'!$A:$A,0),"")</f>
        <v/>
      </c>
      <c r="AC108" s="79" t="str">
        <f t="shared" si="2"/>
        <v>8.5</v>
      </c>
    </row>
    <row r="109" spans="1:29" x14ac:dyDescent="0.3">
      <c r="A109" s="19" t="str">
        <f>'Assessment Matrix'!A57</f>
        <v>9.1</v>
      </c>
      <c r="D109" s="79" t="str">
        <f>'Assessment Matrix'!D57</f>
        <v>Autonomy is classified and documented: task scope, allowed action types, and which actions may run without human approval.</v>
      </c>
      <c r="E109" s="78" t="str">
        <f>IF(OR($AB109="",E$52=""),IF('Assessment Matrix'!E57="","",'Assessment Matrix'!E57),IF(INDEX('Old Assessment Matrix'!$A$1:$BZ$2000,$AB109,E$52)="","",INDEX('Old Assessment Matrix'!$A$1:$BZ$2000,$AB109,E$52)))</f>
        <v>Major</v>
      </c>
      <c r="G109" s="78">
        <f>IF(OR($AB109="",G$52=""),IF('Assessment Matrix'!G57="","",'Assessment Matrix'!G57),IF(INDEX('Old Assessment Matrix'!$A$1:$BZ$2000,$AB109,G$52)="","",INDEX('Old Assessment Matrix'!$A$1:$BZ$2000,$AB109,G$52)))</f>
        <v>3</v>
      </c>
      <c r="H109" s="78">
        <f>IF(OR($AB109="",H$52=""),IF('Assessment Matrix'!H57="","",'Assessment Matrix'!H57),IF(INDEX('Old Assessment Matrix'!$A$1:$BZ$2000,$AB109,H$52)="","",INDEX('Old Assessment Matrix'!$A$1:$BZ$2000,$AB109,H$52)))</f>
        <v>4</v>
      </c>
      <c r="J109" s="78" t="str">
        <f>IF(OR($AB109="",J$52=""),IF('Assessment Matrix'!J57="","",'Assessment Matrix'!J57),IF(INDEX('Old Assessment Matrix'!$A$1:$BZ$2000,$AB109,J$52)="","",INDEX('Old Assessment Matrix'!$A$1:$BZ$2000,$AB109,J$52)))</f>
        <v/>
      </c>
      <c r="K109" s="78" t="str">
        <f>IF(OR($AB109="",K$52=""),IF('Assessment Matrix'!K57="","",'Assessment Matrix'!K57),IF(INDEX('Old Assessment Matrix'!$A$1:$BZ$2000,$AB109,K$52)="","",INDEX('Old Assessment Matrix'!$A$1:$BZ$2000,$AB109,K$52)))</f>
        <v/>
      </c>
      <c r="O109" s="78" t="str">
        <f>IF(OR($AB109="",O$52=""),IF('Assessment Matrix'!O57="","",'Assessment Matrix'!O57),IF(INDEX('Old Assessment Matrix'!$A$1:$BZ$2000,$AB109,O$52)="","",INDEX('Old Assessment Matrix'!$A$1:$BZ$2000,$AB109,O$52)))</f>
        <v/>
      </c>
      <c r="P109" s="78" t="str">
        <f>IF(OR($AB109="",P$52=""),IF('Assessment Matrix'!P57="","",'Assessment Matrix'!P57),IF(INDEX('Old Assessment Matrix'!$A$1:$BZ$2000,$AB109,P$52)="","",INDEX('Old Assessment Matrix'!$A$1:$BZ$2000,$AB109,P$52)))</f>
        <v/>
      </c>
      <c r="Q109" s="78" t="str">
        <f>IF(OR($AB109="",Q$52=""),IF('Assessment Matrix'!Q57="","",'Assessment Matrix'!Q57),IF(INDEX('Old Assessment Matrix'!$A$1:$BZ$2000,$AB109,Q$52)="","",INDEX('Old Assessment Matrix'!$A$1:$BZ$2000,$AB109,Q$52)))</f>
        <v/>
      </c>
      <c r="R109" s="80" t="str">
        <f>IF(OR($AB109="",R$52=""),IF('Assessment Matrix'!R57="","",'Assessment Matrix'!R57),IF(INDEX('Old Assessment Matrix'!$A$1:$BZ$2000,$AB109,R$52)="","",INDEX('Old Assessment Matrix'!$A$1:$BZ$2000,$AB109,R$52)))</f>
        <v/>
      </c>
      <c r="S109" s="78" t="str">
        <f>IF(OR($AB109="",S$52=""),IF('Assessment Matrix'!S57="","",'Assessment Matrix'!S57),IF(INDEX('Old Assessment Matrix'!$A$1:$BZ$2000,$AB109,S$52)="","",INDEX('Old Assessment Matrix'!$A$1:$BZ$2000,$AB109,S$52)))</f>
        <v/>
      </c>
      <c r="T109" s="78" t="str">
        <f>IF(OR($AB109="",T$52=""),IF('Assessment Matrix'!T57="","",'Assessment Matrix'!T57),IF(INDEX('Old Assessment Matrix'!$A$1:$BZ$2000,$AB109,T$52)="","",INDEX('Old Assessment Matrix'!$A$1:$BZ$2000,$AB109,T$52)))</f>
        <v/>
      </c>
      <c r="X109" s="78" t="str">
        <f>IF(OR($AB109="",X$52=""),IF('Assessment Matrix'!X57="","",'Assessment Matrix'!X57),IF(INDEX('Old Assessment Matrix'!$A$1:$BZ$2000,$AB109,X$52)="","",INDEX('Old Assessment Matrix'!$A$1:$BZ$2000,$AB109,X$52)))</f>
        <v/>
      </c>
      <c r="Y109" s="78" t="str">
        <f>IF(OR($AB109="",Y$52=""),IF('Assessment Matrix'!Y57="","",'Assessment Matrix'!Y57),IF(INDEX('Old Assessment Matrix'!$A$1:$BZ$2000,$AB109,Y$52)="","",INDEX('Old Assessment Matrix'!$A$1:$BZ$2000,$AB109,Y$52)))</f>
        <v/>
      </c>
      <c r="Z109" s="80" t="str">
        <f>IF(OR($AB109="",Z$52=""),IF('Assessment Matrix'!Z57="","",'Assessment Matrix'!Z57),IF(INDEX('Old Assessment Matrix'!$A$1:$BZ$2000,$AB109,Z$52)="","",INDEX('Old Assessment Matrix'!$A$1:$BZ$2000,$AB109,Z$52)))</f>
        <v/>
      </c>
      <c r="AB109" s="79" t="str">
        <f>IFERROR(MATCH($A109,'Old Assessment Matrix'!$A:$A,0),"")</f>
        <v/>
      </c>
      <c r="AC109" s="79" t="str">
        <f t="shared" si="2"/>
        <v>9.1</v>
      </c>
    </row>
    <row r="110" spans="1:29" x14ac:dyDescent="0.3">
      <c r="A110" s="19" t="str">
        <f>'Assessment Matrix'!A58</f>
        <v>9.2</v>
      </c>
      <c r="D110" s="79" t="str">
        <f>'Assessment Matrix'!D58</f>
        <v>High-impact or irreversible actions (external communication, financial transactions, deletion, configuration or rights changes) require human approval or dual control before execution.</v>
      </c>
      <c r="E110" s="78" t="str">
        <f>IF(OR($AB110="",E$52=""),IF('Assessment Matrix'!E58="","",'Assessment Matrix'!E58),IF(INDEX('Old Assessment Matrix'!$A$1:$BZ$2000,$AB110,E$52)="","",INDEX('Old Assessment Matrix'!$A$1:$BZ$2000,$AB110,E$52)))</f>
        <v>Blocker</v>
      </c>
      <c r="G110" s="78">
        <f>IF(OR($AB110="",G$52=""),IF('Assessment Matrix'!G58="","",'Assessment Matrix'!G58),IF(INDEX('Old Assessment Matrix'!$A$1:$BZ$2000,$AB110,G$52)="","",INDEX('Old Assessment Matrix'!$A$1:$BZ$2000,$AB110,G$52)))</f>
        <v>4</v>
      </c>
      <c r="H110" s="78">
        <f>IF(OR($AB110="",H$52=""),IF('Assessment Matrix'!H58="","",'Assessment Matrix'!H58),IF(INDEX('Old Assessment Matrix'!$A$1:$BZ$2000,$AB110,H$52)="","",INDEX('Old Assessment Matrix'!$A$1:$BZ$2000,$AB110,H$52)))</f>
        <v>5</v>
      </c>
      <c r="J110" s="78" t="str">
        <f>IF(OR($AB110="",J$52=""),IF('Assessment Matrix'!J58="","",'Assessment Matrix'!J58),IF(INDEX('Old Assessment Matrix'!$A$1:$BZ$2000,$AB110,J$52)="","",INDEX('Old Assessment Matrix'!$A$1:$BZ$2000,$AB110,J$52)))</f>
        <v/>
      </c>
      <c r="K110" s="78" t="str">
        <f>IF(OR($AB110="",K$52=""),IF('Assessment Matrix'!K58="","",'Assessment Matrix'!K58),IF(INDEX('Old Assessment Matrix'!$A$1:$BZ$2000,$AB110,K$52)="","",INDEX('Old Assessment Matrix'!$A$1:$BZ$2000,$AB110,K$52)))</f>
        <v/>
      </c>
      <c r="O110" s="78" t="str">
        <f>IF(OR($AB110="",O$52=""),IF('Assessment Matrix'!O58="","",'Assessment Matrix'!O58),IF(INDEX('Old Assessment Matrix'!$A$1:$BZ$2000,$AB110,O$52)="","",INDEX('Old Assessment Matrix'!$A$1:$BZ$2000,$AB110,O$52)))</f>
        <v/>
      </c>
      <c r="P110" s="78" t="str">
        <f>IF(OR($AB110="",P$52=""),IF('Assessment Matrix'!P58="","",'Assessment Matrix'!P58),IF(INDEX('Old Assessment Matrix'!$A$1:$BZ$2000,$AB110,P$52)="","",INDEX('Old Assessment Matrix'!$A$1:$BZ$2000,$AB110,P$52)))</f>
        <v/>
      </c>
      <c r="Q110" s="78" t="str">
        <f>IF(OR($AB110="",Q$52=""),IF('Assessment Matrix'!Q58="","",'Assessment Matrix'!Q58),IF(INDEX('Old Assessment Matrix'!$A$1:$BZ$2000,$AB110,Q$52)="","",INDEX('Old Assessment Matrix'!$A$1:$BZ$2000,$AB110,Q$52)))</f>
        <v/>
      </c>
      <c r="R110" s="80" t="str">
        <f>IF(OR($AB110="",R$52=""),IF('Assessment Matrix'!R58="","",'Assessment Matrix'!R58),IF(INDEX('Old Assessment Matrix'!$A$1:$BZ$2000,$AB110,R$52)="","",INDEX('Old Assessment Matrix'!$A$1:$BZ$2000,$AB110,R$52)))</f>
        <v/>
      </c>
      <c r="S110" s="78" t="str">
        <f>IF(OR($AB110="",S$52=""),IF('Assessment Matrix'!S58="","",'Assessment Matrix'!S58),IF(INDEX('Old Assessment Matrix'!$A$1:$BZ$2000,$AB110,S$52)="","",INDEX('Old Assessment Matrix'!$A$1:$BZ$2000,$AB110,S$52)))</f>
        <v/>
      </c>
      <c r="T110" s="78" t="str">
        <f>IF(OR($AB110="",T$52=""),IF('Assessment Matrix'!T58="","",'Assessment Matrix'!T58),IF(INDEX('Old Assessment Matrix'!$A$1:$BZ$2000,$AB110,T$52)="","",INDEX('Old Assessment Matrix'!$A$1:$BZ$2000,$AB110,T$52)))</f>
        <v/>
      </c>
      <c r="X110" s="78" t="str">
        <f>IF(OR($AB110="",X$52=""),IF('Assessment Matrix'!X58="","",'Assessment Matrix'!X58),IF(INDEX('Old Assessment Matrix'!$A$1:$BZ$2000,$AB110,X$52)="","",INDEX('Old Assessment Matrix'!$A$1:$BZ$2000,$AB110,X$52)))</f>
        <v/>
      </c>
      <c r="Y110" s="78" t="str">
        <f>IF(OR($AB110="",Y$52=""),IF('Assessment Matrix'!Y58="","",'Assessment Matrix'!Y58),IF(INDEX('Old Assessment Matrix'!$A$1:$BZ$2000,$AB110,Y$52)="","",INDEX('Old Assessment Matrix'!$A$1:$BZ$2000,$AB110,Y$52)))</f>
        <v/>
      </c>
      <c r="Z110" s="80" t="str">
        <f>IF(OR($AB110="",Z$52=""),IF('Assessment Matrix'!Z58="","",'Assessment Matrix'!Z58),IF(INDEX('Old Assessment Matrix'!$A$1:$BZ$2000,$AB110,Z$52)="","",INDEX('Old Assessment Matrix'!$A$1:$BZ$2000,$AB110,Z$52)))</f>
        <v/>
      </c>
      <c r="AB110" s="79" t="str">
        <f>IFERROR(MATCH($A110,'Old Assessment Matrix'!$A:$A,0),"")</f>
        <v/>
      </c>
      <c r="AC110" s="79" t="str">
        <f t="shared" si="2"/>
        <v>9.2</v>
      </c>
    </row>
    <row r="111" spans="1:29" x14ac:dyDescent="0.3">
      <c r="A111" s="19" t="str">
        <f>'Assessment Matrix'!A59</f>
        <v>9.3</v>
      </c>
      <c r="D111" s="79" t="str">
        <f>'Assessment Matrix'!D59</f>
        <v>The agent acts under its own governed identity with least-privilege, task-scoped, time-limited credentials per tool; it does not inherit broad user or service rights.</v>
      </c>
      <c r="E111" s="78" t="str">
        <f>IF(OR($AB111="",E$52=""),IF('Assessment Matrix'!E59="","",'Assessment Matrix'!E59),IF(INDEX('Old Assessment Matrix'!$A$1:$BZ$2000,$AB111,E$52)="","",INDEX('Old Assessment Matrix'!$A$1:$BZ$2000,$AB111,E$52)))</f>
        <v>Blocker</v>
      </c>
      <c r="G111" s="78">
        <f>IF(OR($AB111="",G$52=""),IF('Assessment Matrix'!G59="","",'Assessment Matrix'!G59),IF(INDEX('Old Assessment Matrix'!$A$1:$BZ$2000,$AB111,G$52)="","",INDEX('Old Assessment Matrix'!$A$1:$BZ$2000,$AB111,G$52)))</f>
        <v>4</v>
      </c>
      <c r="H111" s="78">
        <f>IF(OR($AB111="",H$52=""),IF('Assessment Matrix'!H59="","",'Assessment Matrix'!H59),IF(INDEX('Old Assessment Matrix'!$A$1:$BZ$2000,$AB111,H$52)="","",INDEX('Old Assessment Matrix'!$A$1:$BZ$2000,$AB111,H$52)))</f>
        <v>5</v>
      </c>
      <c r="J111" s="78" t="str">
        <f>IF(OR($AB111="",J$52=""),IF('Assessment Matrix'!J59="","",'Assessment Matrix'!J59),IF(INDEX('Old Assessment Matrix'!$A$1:$BZ$2000,$AB111,J$52)="","",INDEX('Old Assessment Matrix'!$A$1:$BZ$2000,$AB111,J$52)))</f>
        <v/>
      </c>
      <c r="K111" s="78" t="str">
        <f>IF(OR($AB111="",K$52=""),IF('Assessment Matrix'!K59="","",'Assessment Matrix'!K59),IF(INDEX('Old Assessment Matrix'!$A$1:$BZ$2000,$AB111,K$52)="","",INDEX('Old Assessment Matrix'!$A$1:$BZ$2000,$AB111,K$52)))</f>
        <v/>
      </c>
      <c r="O111" s="78" t="str">
        <f>IF(OR($AB111="",O$52=""),IF('Assessment Matrix'!O59="","",'Assessment Matrix'!O59),IF(INDEX('Old Assessment Matrix'!$A$1:$BZ$2000,$AB111,O$52)="","",INDEX('Old Assessment Matrix'!$A$1:$BZ$2000,$AB111,O$52)))</f>
        <v/>
      </c>
      <c r="P111" s="78" t="str">
        <f>IF(OR($AB111="",P$52=""),IF('Assessment Matrix'!P59="","",'Assessment Matrix'!P59),IF(INDEX('Old Assessment Matrix'!$A$1:$BZ$2000,$AB111,P$52)="","",INDEX('Old Assessment Matrix'!$A$1:$BZ$2000,$AB111,P$52)))</f>
        <v/>
      </c>
      <c r="Q111" s="78" t="str">
        <f>IF(OR($AB111="",Q$52=""),IF('Assessment Matrix'!Q59="","",'Assessment Matrix'!Q59),IF(INDEX('Old Assessment Matrix'!$A$1:$BZ$2000,$AB111,Q$52)="","",INDEX('Old Assessment Matrix'!$A$1:$BZ$2000,$AB111,Q$52)))</f>
        <v/>
      </c>
      <c r="R111" s="80" t="str">
        <f>IF(OR($AB111="",R$52=""),IF('Assessment Matrix'!R59="","",'Assessment Matrix'!R59),IF(INDEX('Old Assessment Matrix'!$A$1:$BZ$2000,$AB111,R$52)="","",INDEX('Old Assessment Matrix'!$A$1:$BZ$2000,$AB111,R$52)))</f>
        <v/>
      </c>
      <c r="S111" s="78" t="str">
        <f>IF(OR($AB111="",S$52=""),IF('Assessment Matrix'!S59="","",'Assessment Matrix'!S59),IF(INDEX('Old Assessment Matrix'!$A$1:$BZ$2000,$AB111,S$52)="","",INDEX('Old Assessment Matrix'!$A$1:$BZ$2000,$AB111,S$52)))</f>
        <v/>
      </c>
      <c r="T111" s="78" t="str">
        <f>IF(OR($AB111="",T$52=""),IF('Assessment Matrix'!T59="","",'Assessment Matrix'!T59),IF(INDEX('Old Assessment Matrix'!$A$1:$BZ$2000,$AB111,T$52)="","",INDEX('Old Assessment Matrix'!$A$1:$BZ$2000,$AB111,T$52)))</f>
        <v/>
      </c>
      <c r="X111" s="78" t="str">
        <f>IF(OR($AB111="",X$52=""),IF('Assessment Matrix'!X59="","",'Assessment Matrix'!X59),IF(INDEX('Old Assessment Matrix'!$A$1:$BZ$2000,$AB111,X$52)="","",INDEX('Old Assessment Matrix'!$A$1:$BZ$2000,$AB111,X$52)))</f>
        <v/>
      </c>
      <c r="Y111" s="78" t="str">
        <f>IF(OR($AB111="",Y$52=""),IF('Assessment Matrix'!Y59="","",'Assessment Matrix'!Y59),IF(INDEX('Old Assessment Matrix'!$A$1:$BZ$2000,$AB111,Y$52)="","",INDEX('Old Assessment Matrix'!$A$1:$BZ$2000,$AB111,Y$52)))</f>
        <v/>
      </c>
      <c r="Z111" s="80" t="str">
        <f>IF(OR($AB111="",Z$52=""),IF('Assessment Matrix'!Z59="","",'Assessment Matrix'!Z59),IF(INDEX('Old Assessment Matrix'!$A$1:$BZ$2000,$AB111,Z$52)="","",INDEX('Old Assessment Matrix'!$A$1:$BZ$2000,$AB111,Z$52)))</f>
        <v/>
      </c>
      <c r="AB111" s="79" t="str">
        <f>IFERROR(MATCH($A111,'Old Assessment Matrix'!$A:$A,0),"")</f>
        <v/>
      </c>
      <c r="AC111" s="79" t="str">
        <f t="shared" si="2"/>
        <v>9.3</v>
      </c>
    </row>
    <row r="112" spans="1:29" x14ac:dyDescent="0.3">
      <c r="A112" s="19" t="str">
        <f>'Assessment Matrix'!A60</f>
        <v>9.4</v>
      </c>
      <c r="D112" s="79" t="str">
        <f>'Assessment Matrix'!D60</f>
        <v>Tools and connectors are inventoried and allowlisted with per-tool permissions; arbitrary code or shell execution is only possible inside a sandbox.</v>
      </c>
      <c r="E112" s="78" t="str">
        <f>IF(OR($AB112="",E$52=""),IF('Assessment Matrix'!E60="","",'Assessment Matrix'!E60),IF(INDEX('Old Assessment Matrix'!$A$1:$BZ$2000,$AB112,E$52)="","",INDEX('Old Assessment Matrix'!$A$1:$BZ$2000,$AB112,E$52)))</f>
        <v>Blocker</v>
      </c>
      <c r="G112" s="78">
        <f>IF(OR($AB112="",G$52=""),IF('Assessment Matrix'!G60="","",'Assessment Matrix'!G60),IF(INDEX('Old Assessment Matrix'!$A$1:$BZ$2000,$AB112,G$52)="","",INDEX('Old Assessment Matrix'!$A$1:$BZ$2000,$AB112,G$52)))</f>
        <v>4</v>
      </c>
      <c r="H112" s="78">
        <f>IF(OR($AB112="",H$52=""),IF('Assessment Matrix'!H60="","",'Assessment Matrix'!H60),IF(INDEX('Old Assessment Matrix'!$A$1:$BZ$2000,$AB112,H$52)="","",INDEX('Old Assessment Matrix'!$A$1:$BZ$2000,$AB112,H$52)))</f>
        <v>5</v>
      </c>
      <c r="J112" s="78" t="str">
        <f>IF(OR($AB112="",J$52=""),IF('Assessment Matrix'!J60="","",'Assessment Matrix'!J60),IF(INDEX('Old Assessment Matrix'!$A$1:$BZ$2000,$AB112,J$52)="","",INDEX('Old Assessment Matrix'!$A$1:$BZ$2000,$AB112,J$52)))</f>
        <v/>
      </c>
      <c r="K112" s="78" t="str">
        <f>IF(OR($AB112="",K$52=""),IF('Assessment Matrix'!K60="","",'Assessment Matrix'!K60),IF(INDEX('Old Assessment Matrix'!$A$1:$BZ$2000,$AB112,K$52)="","",INDEX('Old Assessment Matrix'!$A$1:$BZ$2000,$AB112,K$52)))</f>
        <v/>
      </c>
      <c r="O112" s="78" t="str">
        <f>IF(OR($AB112="",O$52=""),IF('Assessment Matrix'!O60="","",'Assessment Matrix'!O60),IF(INDEX('Old Assessment Matrix'!$A$1:$BZ$2000,$AB112,O$52)="","",INDEX('Old Assessment Matrix'!$A$1:$BZ$2000,$AB112,O$52)))</f>
        <v/>
      </c>
      <c r="P112" s="78" t="str">
        <f>IF(OR($AB112="",P$52=""),IF('Assessment Matrix'!P60="","",'Assessment Matrix'!P60),IF(INDEX('Old Assessment Matrix'!$A$1:$BZ$2000,$AB112,P$52)="","",INDEX('Old Assessment Matrix'!$A$1:$BZ$2000,$AB112,P$52)))</f>
        <v/>
      </c>
      <c r="Q112" s="78" t="str">
        <f>IF(OR($AB112="",Q$52=""),IF('Assessment Matrix'!Q60="","",'Assessment Matrix'!Q60),IF(INDEX('Old Assessment Matrix'!$A$1:$BZ$2000,$AB112,Q$52)="","",INDEX('Old Assessment Matrix'!$A$1:$BZ$2000,$AB112,Q$52)))</f>
        <v/>
      </c>
      <c r="R112" s="80" t="str">
        <f>IF(OR($AB112="",R$52=""),IF('Assessment Matrix'!R60="","",'Assessment Matrix'!R60),IF(INDEX('Old Assessment Matrix'!$A$1:$BZ$2000,$AB112,R$52)="","",INDEX('Old Assessment Matrix'!$A$1:$BZ$2000,$AB112,R$52)))</f>
        <v/>
      </c>
      <c r="S112" s="78" t="str">
        <f>IF(OR($AB112="",S$52=""),IF('Assessment Matrix'!S60="","",'Assessment Matrix'!S60),IF(INDEX('Old Assessment Matrix'!$A$1:$BZ$2000,$AB112,S$52)="","",INDEX('Old Assessment Matrix'!$A$1:$BZ$2000,$AB112,S$52)))</f>
        <v/>
      </c>
      <c r="T112" s="78" t="str">
        <f>IF(OR($AB112="",T$52=""),IF('Assessment Matrix'!T60="","",'Assessment Matrix'!T60),IF(INDEX('Old Assessment Matrix'!$A$1:$BZ$2000,$AB112,T$52)="","",INDEX('Old Assessment Matrix'!$A$1:$BZ$2000,$AB112,T$52)))</f>
        <v/>
      </c>
      <c r="X112" s="78" t="str">
        <f>IF(OR($AB112="",X$52=""),IF('Assessment Matrix'!X60="","",'Assessment Matrix'!X60),IF(INDEX('Old Assessment Matrix'!$A$1:$BZ$2000,$AB112,X$52)="","",INDEX('Old Assessment Matrix'!$A$1:$BZ$2000,$AB112,X$52)))</f>
        <v/>
      </c>
      <c r="Y112" s="78" t="str">
        <f>IF(OR($AB112="",Y$52=""),IF('Assessment Matrix'!Y60="","",'Assessment Matrix'!Y60),IF(INDEX('Old Assessment Matrix'!$A$1:$BZ$2000,$AB112,Y$52)="","",INDEX('Old Assessment Matrix'!$A$1:$BZ$2000,$AB112,Y$52)))</f>
        <v/>
      </c>
      <c r="Z112" s="80" t="str">
        <f>IF(OR($AB112="",Z$52=""),IF('Assessment Matrix'!Z60="","",'Assessment Matrix'!Z60),IF(INDEX('Old Assessment Matrix'!$A$1:$BZ$2000,$AB112,Z$52)="","",INDEX('Old Assessment Matrix'!$A$1:$BZ$2000,$AB112,Z$52)))</f>
        <v/>
      </c>
      <c r="AB112" s="79" t="str">
        <f>IFERROR(MATCH($A112,'Old Assessment Matrix'!$A:$A,0),"")</f>
        <v/>
      </c>
      <c r="AC112" s="79" t="str">
        <f t="shared" si="2"/>
        <v>9.4</v>
      </c>
    </row>
    <row r="113" spans="1:29" x14ac:dyDescent="0.3">
      <c r="A113" s="19" t="str">
        <f>'Assessment Matrix'!A61</f>
        <v>9.5</v>
      </c>
      <c r="D113" s="79" t="str">
        <f>'Assessment Matrix'!D61</f>
        <v>The execution environment is isolated (container/VM) with controlled network egress; local file, shell, and browser access is restricted to a defined workspace.</v>
      </c>
      <c r="E113" s="78" t="str">
        <f>IF(OR($AB113="",E$52=""),IF('Assessment Matrix'!E61="","",'Assessment Matrix'!E61),IF(INDEX('Old Assessment Matrix'!$A$1:$BZ$2000,$AB113,E$52)="","",INDEX('Old Assessment Matrix'!$A$1:$BZ$2000,$AB113,E$52)))</f>
        <v>Blocker</v>
      </c>
      <c r="G113" s="78">
        <f>IF(OR($AB113="",G$52=""),IF('Assessment Matrix'!G61="","",'Assessment Matrix'!G61),IF(INDEX('Old Assessment Matrix'!$A$1:$BZ$2000,$AB113,G$52)="","",INDEX('Old Assessment Matrix'!$A$1:$BZ$2000,$AB113,G$52)))</f>
        <v>4</v>
      </c>
      <c r="H113" s="78">
        <f>IF(OR($AB113="",H$52=""),IF('Assessment Matrix'!H61="","",'Assessment Matrix'!H61),IF(INDEX('Old Assessment Matrix'!$A$1:$BZ$2000,$AB113,H$52)="","",INDEX('Old Assessment Matrix'!$A$1:$BZ$2000,$AB113,H$52)))</f>
        <v>5</v>
      </c>
      <c r="J113" s="78" t="str">
        <f>IF(OR($AB113="",J$52=""),IF('Assessment Matrix'!J61="","",'Assessment Matrix'!J61),IF(INDEX('Old Assessment Matrix'!$A$1:$BZ$2000,$AB113,J$52)="","",INDEX('Old Assessment Matrix'!$A$1:$BZ$2000,$AB113,J$52)))</f>
        <v/>
      </c>
      <c r="K113" s="78" t="str">
        <f>IF(OR($AB113="",K$52=""),IF('Assessment Matrix'!K61="","",'Assessment Matrix'!K61),IF(INDEX('Old Assessment Matrix'!$A$1:$BZ$2000,$AB113,K$52)="","",INDEX('Old Assessment Matrix'!$A$1:$BZ$2000,$AB113,K$52)))</f>
        <v/>
      </c>
      <c r="O113" s="78" t="str">
        <f>IF(OR($AB113="",O$52=""),IF('Assessment Matrix'!O61="","",'Assessment Matrix'!O61),IF(INDEX('Old Assessment Matrix'!$A$1:$BZ$2000,$AB113,O$52)="","",INDEX('Old Assessment Matrix'!$A$1:$BZ$2000,$AB113,O$52)))</f>
        <v/>
      </c>
      <c r="P113" s="78" t="str">
        <f>IF(OR($AB113="",P$52=""),IF('Assessment Matrix'!P61="","",'Assessment Matrix'!P61),IF(INDEX('Old Assessment Matrix'!$A$1:$BZ$2000,$AB113,P$52)="","",INDEX('Old Assessment Matrix'!$A$1:$BZ$2000,$AB113,P$52)))</f>
        <v/>
      </c>
      <c r="Q113" s="78" t="str">
        <f>IF(OR($AB113="",Q$52=""),IF('Assessment Matrix'!Q61="","",'Assessment Matrix'!Q61),IF(INDEX('Old Assessment Matrix'!$A$1:$BZ$2000,$AB113,Q$52)="","",INDEX('Old Assessment Matrix'!$A$1:$BZ$2000,$AB113,Q$52)))</f>
        <v/>
      </c>
      <c r="R113" s="80" t="str">
        <f>IF(OR($AB113="",R$52=""),IF('Assessment Matrix'!R61="","",'Assessment Matrix'!R61),IF(INDEX('Old Assessment Matrix'!$A$1:$BZ$2000,$AB113,R$52)="","",INDEX('Old Assessment Matrix'!$A$1:$BZ$2000,$AB113,R$52)))</f>
        <v/>
      </c>
      <c r="S113" s="78" t="str">
        <f>IF(OR($AB113="",S$52=""),IF('Assessment Matrix'!S61="","",'Assessment Matrix'!S61),IF(INDEX('Old Assessment Matrix'!$A$1:$BZ$2000,$AB113,S$52)="","",INDEX('Old Assessment Matrix'!$A$1:$BZ$2000,$AB113,S$52)))</f>
        <v/>
      </c>
      <c r="T113" s="78" t="str">
        <f>IF(OR($AB113="",T$52=""),IF('Assessment Matrix'!T61="","",'Assessment Matrix'!T61),IF(INDEX('Old Assessment Matrix'!$A$1:$BZ$2000,$AB113,T$52)="","",INDEX('Old Assessment Matrix'!$A$1:$BZ$2000,$AB113,T$52)))</f>
        <v/>
      </c>
      <c r="X113" s="78" t="str">
        <f>IF(OR($AB113="",X$52=""),IF('Assessment Matrix'!X61="","",'Assessment Matrix'!X61),IF(INDEX('Old Assessment Matrix'!$A$1:$BZ$2000,$AB113,X$52)="","",INDEX('Old Assessment Matrix'!$A$1:$BZ$2000,$AB113,X$52)))</f>
        <v/>
      </c>
      <c r="Y113" s="78" t="str">
        <f>IF(OR($AB113="",Y$52=""),IF('Assessment Matrix'!Y61="","",'Assessment Matrix'!Y61),IF(INDEX('Old Assessment Matrix'!$A$1:$BZ$2000,$AB113,Y$52)="","",INDEX('Old Assessment Matrix'!$A$1:$BZ$2000,$AB113,Y$52)))</f>
        <v/>
      </c>
      <c r="Z113" s="80" t="str">
        <f>IF(OR($AB113="",Z$52=""),IF('Assessment Matrix'!Z61="","",'Assessment Matrix'!Z61),IF(INDEX('Old Assessment Matrix'!$A$1:$BZ$2000,$AB113,Z$52)="","",INDEX('Old Assessment Matrix'!$A$1:$BZ$2000,$AB113,Z$52)))</f>
        <v/>
      </c>
      <c r="AB113" s="79" t="str">
        <f>IFERROR(MATCH($A113,'Old Assessment Matrix'!$A:$A,0),"")</f>
        <v/>
      </c>
      <c r="AC113" s="79" t="str">
        <f t="shared" si="2"/>
        <v>9.5</v>
      </c>
    </row>
    <row r="114" spans="1:29" x14ac:dyDescent="0.3">
      <c r="A114" s="19" t="str">
        <f>'Assessment Matrix'!A62</f>
        <v>9.6</v>
      </c>
      <c r="D114" s="79" t="str">
        <f>'Assessment Matrix'!D62</f>
        <v>Content the agent processes (mails, web pages, documents, tickets) is treated as untrusted; indirect prompt injection defenses are implemented and tested against the actual tool set.</v>
      </c>
      <c r="E114" s="78" t="str">
        <f>IF(OR($AB114="",E$52=""),IF('Assessment Matrix'!E62="","",'Assessment Matrix'!E62),IF(INDEX('Old Assessment Matrix'!$A$1:$BZ$2000,$AB114,E$52)="","",INDEX('Old Assessment Matrix'!$A$1:$BZ$2000,$AB114,E$52)))</f>
        <v>Blocker</v>
      </c>
      <c r="G114" s="78">
        <f>IF(OR($AB114="",G$52=""),IF('Assessment Matrix'!G62="","",'Assessment Matrix'!G62),IF(INDEX('Old Assessment Matrix'!$A$1:$BZ$2000,$AB114,G$52)="","",INDEX('Old Assessment Matrix'!$A$1:$BZ$2000,$AB114,G$52)))</f>
        <v>4</v>
      </c>
      <c r="H114" s="78">
        <f>IF(OR($AB114="",H$52=""),IF('Assessment Matrix'!H62="","",'Assessment Matrix'!H62),IF(INDEX('Old Assessment Matrix'!$A$1:$BZ$2000,$AB114,H$52)="","",INDEX('Old Assessment Matrix'!$A$1:$BZ$2000,$AB114,H$52)))</f>
        <v>5</v>
      </c>
      <c r="J114" s="78" t="str">
        <f>IF(OR($AB114="",J$52=""),IF('Assessment Matrix'!J62="","",'Assessment Matrix'!J62),IF(INDEX('Old Assessment Matrix'!$A$1:$BZ$2000,$AB114,J$52)="","",INDEX('Old Assessment Matrix'!$A$1:$BZ$2000,$AB114,J$52)))</f>
        <v/>
      </c>
      <c r="K114" s="78" t="str">
        <f>IF(OR($AB114="",K$52=""),IF('Assessment Matrix'!K62="","",'Assessment Matrix'!K62),IF(INDEX('Old Assessment Matrix'!$A$1:$BZ$2000,$AB114,K$52)="","",INDEX('Old Assessment Matrix'!$A$1:$BZ$2000,$AB114,K$52)))</f>
        <v/>
      </c>
      <c r="O114" s="78" t="str">
        <f>IF(OR($AB114="",O$52=""),IF('Assessment Matrix'!O62="","",'Assessment Matrix'!O62),IF(INDEX('Old Assessment Matrix'!$A$1:$BZ$2000,$AB114,O$52)="","",INDEX('Old Assessment Matrix'!$A$1:$BZ$2000,$AB114,O$52)))</f>
        <v/>
      </c>
      <c r="P114" s="78" t="str">
        <f>IF(OR($AB114="",P$52=""),IF('Assessment Matrix'!P62="","",'Assessment Matrix'!P62),IF(INDEX('Old Assessment Matrix'!$A$1:$BZ$2000,$AB114,P$52)="","",INDEX('Old Assessment Matrix'!$A$1:$BZ$2000,$AB114,P$52)))</f>
        <v/>
      </c>
      <c r="Q114" s="78" t="str">
        <f>IF(OR($AB114="",Q$52=""),IF('Assessment Matrix'!Q62="","",'Assessment Matrix'!Q62),IF(INDEX('Old Assessment Matrix'!$A$1:$BZ$2000,$AB114,Q$52)="","",INDEX('Old Assessment Matrix'!$A$1:$BZ$2000,$AB114,Q$52)))</f>
        <v/>
      </c>
      <c r="R114" s="80" t="str">
        <f>IF(OR($AB114="",R$52=""),IF('Assessment Matrix'!R62="","",'Assessment Matrix'!R62),IF(INDEX('Old Assessment Matrix'!$A$1:$BZ$2000,$AB114,R$52)="","",INDEX('Old Assessment Matrix'!$A$1:$BZ$2000,$AB114,R$52)))</f>
        <v/>
      </c>
      <c r="S114" s="78" t="str">
        <f>IF(OR($AB114="",S$52=""),IF('Assessment Matrix'!S62="","",'Assessment Matrix'!S62),IF(INDEX('Old Assessment Matrix'!$A$1:$BZ$2000,$AB114,S$52)="","",INDEX('Old Assessment Matrix'!$A$1:$BZ$2000,$AB114,S$52)))</f>
        <v/>
      </c>
      <c r="T114" s="78" t="str">
        <f>IF(OR($AB114="",T$52=""),IF('Assessment Matrix'!T62="","",'Assessment Matrix'!T62),IF(INDEX('Old Assessment Matrix'!$A$1:$BZ$2000,$AB114,T$52)="","",INDEX('Old Assessment Matrix'!$A$1:$BZ$2000,$AB114,T$52)))</f>
        <v/>
      </c>
      <c r="X114" s="78" t="str">
        <f>IF(OR($AB114="",X$52=""),IF('Assessment Matrix'!X62="","",'Assessment Matrix'!X62),IF(INDEX('Old Assessment Matrix'!$A$1:$BZ$2000,$AB114,X$52)="","",INDEX('Old Assessment Matrix'!$A$1:$BZ$2000,$AB114,X$52)))</f>
        <v/>
      </c>
      <c r="Y114" s="78" t="str">
        <f>IF(OR($AB114="",Y$52=""),IF('Assessment Matrix'!Y62="","",'Assessment Matrix'!Y62),IF(INDEX('Old Assessment Matrix'!$A$1:$BZ$2000,$AB114,Y$52)="","",INDEX('Old Assessment Matrix'!$A$1:$BZ$2000,$AB114,Y$52)))</f>
        <v/>
      </c>
      <c r="Z114" s="80" t="str">
        <f>IF(OR($AB114="",Z$52=""),IF('Assessment Matrix'!Z62="","",'Assessment Matrix'!Z62),IF(INDEX('Old Assessment Matrix'!$A$1:$BZ$2000,$AB114,Z$52)="","",INDEX('Old Assessment Matrix'!$A$1:$BZ$2000,$AB114,Z$52)))</f>
        <v/>
      </c>
      <c r="AB114" s="79" t="str">
        <f>IFERROR(MATCH($A114,'Old Assessment Matrix'!$A:$A,0),"")</f>
        <v/>
      </c>
      <c r="AC114" s="79" t="str">
        <f t="shared" si="2"/>
        <v>9.6</v>
      </c>
    </row>
    <row r="115" spans="1:29" x14ac:dyDescent="0.3">
      <c r="A115" s="19" t="str">
        <f>'Assessment Matrix'!A63</f>
        <v>9.7</v>
      </c>
      <c r="D115" s="79" t="str">
        <f>'Assessment Matrix'!D63</f>
        <v>Persistent agent memory is governed: defined scope and retention, user transparency, protection against memory poisoning, and a way to inspect and delete stored entries.</v>
      </c>
      <c r="E115" s="78" t="str">
        <f>IF(OR($AB115="",E$52=""),IF('Assessment Matrix'!E63="","",'Assessment Matrix'!E63),IF(INDEX('Old Assessment Matrix'!$A$1:$BZ$2000,$AB115,E$52)="","",INDEX('Old Assessment Matrix'!$A$1:$BZ$2000,$AB115,E$52)))</f>
        <v>Major</v>
      </c>
      <c r="G115" s="78">
        <f>IF(OR($AB115="",G$52=""),IF('Assessment Matrix'!G63="","",'Assessment Matrix'!G63),IF(INDEX('Old Assessment Matrix'!$A$1:$BZ$2000,$AB115,G$52)="","",INDEX('Old Assessment Matrix'!$A$1:$BZ$2000,$AB115,G$52)))</f>
        <v>3</v>
      </c>
      <c r="H115" s="78">
        <f>IF(OR($AB115="",H$52=""),IF('Assessment Matrix'!H63="","",'Assessment Matrix'!H63),IF(INDEX('Old Assessment Matrix'!$A$1:$BZ$2000,$AB115,H$52)="","",INDEX('Old Assessment Matrix'!$A$1:$BZ$2000,$AB115,H$52)))</f>
        <v>4</v>
      </c>
      <c r="J115" s="78" t="str">
        <f>IF(OR($AB115="",J$52=""),IF('Assessment Matrix'!J63="","",'Assessment Matrix'!J63),IF(INDEX('Old Assessment Matrix'!$A$1:$BZ$2000,$AB115,J$52)="","",INDEX('Old Assessment Matrix'!$A$1:$BZ$2000,$AB115,J$52)))</f>
        <v/>
      </c>
      <c r="K115" s="78" t="str">
        <f>IF(OR($AB115="",K$52=""),IF('Assessment Matrix'!K63="","",'Assessment Matrix'!K63),IF(INDEX('Old Assessment Matrix'!$A$1:$BZ$2000,$AB115,K$52)="","",INDEX('Old Assessment Matrix'!$A$1:$BZ$2000,$AB115,K$52)))</f>
        <v/>
      </c>
      <c r="O115" s="78" t="str">
        <f>IF(OR($AB115="",O$52=""),IF('Assessment Matrix'!O63="","",'Assessment Matrix'!O63),IF(INDEX('Old Assessment Matrix'!$A$1:$BZ$2000,$AB115,O$52)="","",INDEX('Old Assessment Matrix'!$A$1:$BZ$2000,$AB115,O$52)))</f>
        <v/>
      </c>
      <c r="P115" s="78" t="str">
        <f>IF(OR($AB115="",P$52=""),IF('Assessment Matrix'!P63="","",'Assessment Matrix'!P63),IF(INDEX('Old Assessment Matrix'!$A$1:$BZ$2000,$AB115,P$52)="","",INDEX('Old Assessment Matrix'!$A$1:$BZ$2000,$AB115,P$52)))</f>
        <v/>
      </c>
      <c r="Q115" s="78" t="str">
        <f>IF(OR($AB115="",Q$52=""),IF('Assessment Matrix'!Q63="","",'Assessment Matrix'!Q63),IF(INDEX('Old Assessment Matrix'!$A$1:$BZ$2000,$AB115,Q$52)="","",INDEX('Old Assessment Matrix'!$A$1:$BZ$2000,$AB115,Q$52)))</f>
        <v/>
      </c>
      <c r="R115" s="80" t="str">
        <f>IF(OR($AB115="",R$52=""),IF('Assessment Matrix'!R63="","",'Assessment Matrix'!R63),IF(INDEX('Old Assessment Matrix'!$A$1:$BZ$2000,$AB115,R$52)="","",INDEX('Old Assessment Matrix'!$A$1:$BZ$2000,$AB115,R$52)))</f>
        <v/>
      </c>
      <c r="S115" s="78" t="str">
        <f>IF(OR($AB115="",S$52=""),IF('Assessment Matrix'!S63="","",'Assessment Matrix'!S63),IF(INDEX('Old Assessment Matrix'!$A$1:$BZ$2000,$AB115,S$52)="","",INDEX('Old Assessment Matrix'!$A$1:$BZ$2000,$AB115,S$52)))</f>
        <v/>
      </c>
      <c r="T115" s="78" t="str">
        <f>IF(OR($AB115="",T$52=""),IF('Assessment Matrix'!T63="","",'Assessment Matrix'!T63),IF(INDEX('Old Assessment Matrix'!$A$1:$BZ$2000,$AB115,T$52)="","",INDEX('Old Assessment Matrix'!$A$1:$BZ$2000,$AB115,T$52)))</f>
        <v/>
      </c>
      <c r="X115" s="78" t="str">
        <f>IF(OR($AB115="",X$52=""),IF('Assessment Matrix'!X63="","",'Assessment Matrix'!X63),IF(INDEX('Old Assessment Matrix'!$A$1:$BZ$2000,$AB115,X$52)="","",INDEX('Old Assessment Matrix'!$A$1:$BZ$2000,$AB115,X$52)))</f>
        <v/>
      </c>
      <c r="Y115" s="78" t="str">
        <f>IF(OR($AB115="",Y$52=""),IF('Assessment Matrix'!Y63="","",'Assessment Matrix'!Y63),IF(INDEX('Old Assessment Matrix'!$A$1:$BZ$2000,$AB115,Y$52)="","",INDEX('Old Assessment Matrix'!$A$1:$BZ$2000,$AB115,Y$52)))</f>
        <v/>
      </c>
      <c r="Z115" s="80" t="str">
        <f>IF(OR($AB115="",Z$52=""),IF('Assessment Matrix'!Z63="","",'Assessment Matrix'!Z63),IF(INDEX('Old Assessment Matrix'!$A$1:$BZ$2000,$AB115,Z$52)="","",INDEX('Old Assessment Matrix'!$A$1:$BZ$2000,$AB115,Z$52)))</f>
        <v/>
      </c>
      <c r="AB115" s="79" t="str">
        <f>IFERROR(MATCH($A115,'Old Assessment Matrix'!$A:$A,0),"")</f>
        <v/>
      </c>
      <c r="AC115" s="79" t="str">
        <f t="shared" si="2"/>
        <v>9.7</v>
      </c>
    </row>
    <row r="116" spans="1:29" x14ac:dyDescent="0.3">
      <c r="A116" s="19" t="str">
        <f>'Assessment Matrix'!A64</f>
        <v>9.8</v>
      </c>
      <c r="D116" s="79" t="str">
        <f>'Assessment Matrix'!D64</f>
        <v>Background or scheduled operation is bounded: run frequency, runtime, hard per-user token/cost budget caps, and automatic stop conditions are enforced.</v>
      </c>
      <c r="E116" s="78" t="str">
        <f>IF(OR($AB116="",E$52=""),IF('Assessment Matrix'!E64="","",'Assessment Matrix'!E64),IF(INDEX('Old Assessment Matrix'!$A$1:$BZ$2000,$AB116,E$52)="","",INDEX('Old Assessment Matrix'!$A$1:$BZ$2000,$AB116,E$52)))</f>
        <v>Major</v>
      </c>
      <c r="G116" s="78">
        <f>IF(OR($AB116="",G$52=""),IF('Assessment Matrix'!G64="","",'Assessment Matrix'!G64),IF(INDEX('Old Assessment Matrix'!$A$1:$BZ$2000,$AB116,G$52)="","",INDEX('Old Assessment Matrix'!$A$1:$BZ$2000,$AB116,G$52)))</f>
        <v>4</v>
      </c>
      <c r="H116" s="78">
        <f>IF(OR($AB116="",H$52=""),IF('Assessment Matrix'!H64="","",'Assessment Matrix'!H64),IF(INDEX('Old Assessment Matrix'!$A$1:$BZ$2000,$AB116,H$52)="","",INDEX('Old Assessment Matrix'!$A$1:$BZ$2000,$AB116,H$52)))</f>
        <v>4</v>
      </c>
      <c r="J116" s="78" t="str">
        <f>IF(OR($AB116="",J$52=""),IF('Assessment Matrix'!J64="","",'Assessment Matrix'!J64),IF(INDEX('Old Assessment Matrix'!$A$1:$BZ$2000,$AB116,J$52)="","",INDEX('Old Assessment Matrix'!$A$1:$BZ$2000,$AB116,J$52)))</f>
        <v/>
      </c>
      <c r="K116" s="78" t="str">
        <f>IF(OR($AB116="",K$52=""),IF('Assessment Matrix'!K64="","",'Assessment Matrix'!K64),IF(INDEX('Old Assessment Matrix'!$A$1:$BZ$2000,$AB116,K$52)="","",INDEX('Old Assessment Matrix'!$A$1:$BZ$2000,$AB116,K$52)))</f>
        <v/>
      </c>
      <c r="O116" s="78" t="str">
        <f>IF(OR($AB116="",O$52=""),IF('Assessment Matrix'!O64="","",'Assessment Matrix'!O64),IF(INDEX('Old Assessment Matrix'!$A$1:$BZ$2000,$AB116,O$52)="","",INDEX('Old Assessment Matrix'!$A$1:$BZ$2000,$AB116,O$52)))</f>
        <v/>
      </c>
      <c r="P116" s="78" t="str">
        <f>IF(OR($AB116="",P$52=""),IF('Assessment Matrix'!P64="","",'Assessment Matrix'!P64),IF(INDEX('Old Assessment Matrix'!$A$1:$BZ$2000,$AB116,P$52)="","",INDEX('Old Assessment Matrix'!$A$1:$BZ$2000,$AB116,P$52)))</f>
        <v/>
      </c>
      <c r="Q116" s="78" t="str">
        <f>IF(OR($AB116="",Q$52=""),IF('Assessment Matrix'!Q64="","",'Assessment Matrix'!Q64),IF(INDEX('Old Assessment Matrix'!$A$1:$BZ$2000,$AB116,Q$52)="","",INDEX('Old Assessment Matrix'!$A$1:$BZ$2000,$AB116,Q$52)))</f>
        <v/>
      </c>
      <c r="R116" s="80" t="str">
        <f>IF(OR($AB116="",R$52=""),IF('Assessment Matrix'!R64="","",'Assessment Matrix'!R64),IF(INDEX('Old Assessment Matrix'!$A$1:$BZ$2000,$AB116,R$52)="","",INDEX('Old Assessment Matrix'!$A$1:$BZ$2000,$AB116,R$52)))</f>
        <v/>
      </c>
      <c r="S116" s="78" t="str">
        <f>IF(OR($AB116="",S$52=""),IF('Assessment Matrix'!S64="","",'Assessment Matrix'!S64),IF(INDEX('Old Assessment Matrix'!$A$1:$BZ$2000,$AB116,S$52)="","",INDEX('Old Assessment Matrix'!$A$1:$BZ$2000,$AB116,S$52)))</f>
        <v/>
      </c>
      <c r="T116" s="78" t="str">
        <f>IF(OR($AB116="",T$52=""),IF('Assessment Matrix'!T64="","",'Assessment Matrix'!T64),IF(INDEX('Old Assessment Matrix'!$A$1:$BZ$2000,$AB116,T$52)="","",INDEX('Old Assessment Matrix'!$A$1:$BZ$2000,$AB116,T$52)))</f>
        <v/>
      </c>
      <c r="X116" s="78" t="str">
        <f>IF(OR($AB116="",X$52=""),IF('Assessment Matrix'!X64="","",'Assessment Matrix'!X64),IF(INDEX('Old Assessment Matrix'!$A$1:$BZ$2000,$AB116,X$52)="","",INDEX('Old Assessment Matrix'!$A$1:$BZ$2000,$AB116,X$52)))</f>
        <v/>
      </c>
      <c r="Y116" s="78" t="str">
        <f>IF(OR($AB116="",Y$52=""),IF('Assessment Matrix'!Y64="","",'Assessment Matrix'!Y64),IF(INDEX('Old Assessment Matrix'!$A$1:$BZ$2000,$AB116,Y$52)="","",INDEX('Old Assessment Matrix'!$A$1:$BZ$2000,$AB116,Y$52)))</f>
        <v/>
      </c>
      <c r="Z116" s="80" t="str">
        <f>IF(OR($AB116="",Z$52=""),IF('Assessment Matrix'!Z64="","",'Assessment Matrix'!Z64),IF(INDEX('Old Assessment Matrix'!$A$1:$BZ$2000,$AB116,Z$52)="","",INDEX('Old Assessment Matrix'!$A$1:$BZ$2000,$AB116,Z$52)))</f>
        <v/>
      </c>
      <c r="AB116" s="79" t="str">
        <f>IFERROR(MATCH($A116,'Old Assessment Matrix'!$A:$A,0),"")</f>
        <v/>
      </c>
      <c r="AC116" s="79" t="str">
        <f t="shared" si="2"/>
        <v>9.8</v>
      </c>
    </row>
    <row r="117" spans="1:29" x14ac:dyDescent="0.3">
      <c r="A117" s="19" t="str">
        <f>'Assessment Matrix'!A65</f>
        <v>9.9</v>
      </c>
      <c r="D117" s="79" t="str">
        <f>'Assessment Matrix'!D65</f>
        <v>Every agent action is attributably logged (agent identity, tool used, input/output, approver) and auditable end to end; logs feed security monitoring.</v>
      </c>
      <c r="E117" s="78" t="str">
        <f>IF(OR($AB117="",E$52=""),IF('Assessment Matrix'!E65="","",'Assessment Matrix'!E65),IF(INDEX('Old Assessment Matrix'!$A$1:$BZ$2000,$AB117,E$52)="","",INDEX('Old Assessment Matrix'!$A$1:$BZ$2000,$AB117,E$52)))</f>
        <v>Major</v>
      </c>
      <c r="G117" s="78">
        <f>IF(OR($AB117="",G$52=""),IF('Assessment Matrix'!G65="","",'Assessment Matrix'!G65),IF(INDEX('Old Assessment Matrix'!$A$1:$BZ$2000,$AB117,G$52)="","",INDEX('Old Assessment Matrix'!$A$1:$BZ$2000,$AB117,G$52)))</f>
        <v>4</v>
      </c>
      <c r="H117" s="78">
        <f>IF(OR($AB117="",H$52=""),IF('Assessment Matrix'!H65="","",'Assessment Matrix'!H65),IF(INDEX('Old Assessment Matrix'!$A$1:$BZ$2000,$AB117,H$52)="","",INDEX('Old Assessment Matrix'!$A$1:$BZ$2000,$AB117,H$52)))</f>
        <v>4</v>
      </c>
      <c r="J117" s="78" t="str">
        <f>IF(OR($AB117="",J$52=""),IF('Assessment Matrix'!J65="","",'Assessment Matrix'!J65),IF(INDEX('Old Assessment Matrix'!$A$1:$BZ$2000,$AB117,J$52)="","",INDEX('Old Assessment Matrix'!$A$1:$BZ$2000,$AB117,J$52)))</f>
        <v/>
      </c>
      <c r="K117" s="78" t="str">
        <f>IF(OR($AB117="",K$52=""),IF('Assessment Matrix'!K65="","",'Assessment Matrix'!K65),IF(INDEX('Old Assessment Matrix'!$A$1:$BZ$2000,$AB117,K$52)="","",INDEX('Old Assessment Matrix'!$A$1:$BZ$2000,$AB117,K$52)))</f>
        <v/>
      </c>
      <c r="O117" s="78" t="str">
        <f>IF(OR($AB117="",O$52=""),IF('Assessment Matrix'!O65="","",'Assessment Matrix'!O65),IF(INDEX('Old Assessment Matrix'!$A$1:$BZ$2000,$AB117,O$52)="","",INDEX('Old Assessment Matrix'!$A$1:$BZ$2000,$AB117,O$52)))</f>
        <v/>
      </c>
      <c r="P117" s="78" t="str">
        <f>IF(OR($AB117="",P$52=""),IF('Assessment Matrix'!P65="","",'Assessment Matrix'!P65),IF(INDEX('Old Assessment Matrix'!$A$1:$BZ$2000,$AB117,P$52)="","",INDEX('Old Assessment Matrix'!$A$1:$BZ$2000,$AB117,P$52)))</f>
        <v/>
      </c>
      <c r="Q117" s="78" t="str">
        <f>IF(OR($AB117="",Q$52=""),IF('Assessment Matrix'!Q65="","",'Assessment Matrix'!Q65),IF(INDEX('Old Assessment Matrix'!$A$1:$BZ$2000,$AB117,Q$52)="","",INDEX('Old Assessment Matrix'!$A$1:$BZ$2000,$AB117,Q$52)))</f>
        <v/>
      </c>
      <c r="R117" s="80" t="str">
        <f>IF(OR($AB117="",R$52=""),IF('Assessment Matrix'!R65="","",'Assessment Matrix'!R65),IF(INDEX('Old Assessment Matrix'!$A$1:$BZ$2000,$AB117,R$52)="","",INDEX('Old Assessment Matrix'!$A$1:$BZ$2000,$AB117,R$52)))</f>
        <v/>
      </c>
      <c r="S117" s="78" t="str">
        <f>IF(OR($AB117="",S$52=""),IF('Assessment Matrix'!S65="","",'Assessment Matrix'!S65),IF(INDEX('Old Assessment Matrix'!$A$1:$BZ$2000,$AB117,S$52)="","",INDEX('Old Assessment Matrix'!$A$1:$BZ$2000,$AB117,S$52)))</f>
        <v/>
      </c>
      <c r="T117" s="78" t="str">
        <f>IF(OR($AB117="",T$52=""),IF('Assessment Matrix'!T65="","",'Assessment Matrix'!T65),IF(INDEX('Old Assessment Matrix'!$A$1:$BZ$2000,$AB117,T$52)="","",INDEX('Old Assessment Matrix'!$A$1:$BZ$2000,$AB117,T$52)))</f>
        <v/>
      </c>
      <c r="X117" s="78" t="str">
        <f>IF(OR($AB117="",X$52=""),IF('Assessment Matrix'!X65="","",'Assessment Matrix'!X65),IF(INDEX('Old Assessment Matrix'!$A$1:$BZ$2000,$AB117,X$52)="","",INDEX('Old Assessment Matrix'!$A$1:$BZ$2000,$AB117,X$52)))</f>
        <v/>
      </c>
      <c r="Y117" s="78" t="str">
        <f>IF(OR($AB117="",Y$52=""),IF('Assessment Matrix'!Y65="","",'Assessment Matrix'!Y65),IF(INDEX('Old Assessment Matrix'!$A$1:$BZ$2000,$AB117,Y$52)="","",INDEX('Old Assessment Matrix'!$A$1:$BZ$2000,$AB117,Y$52)))</f>
        <v/>
      </c>
      <c r="Z117" s="80" t="str">
        <f>IF(OR($AB117="",Z$52=""),IF('Assessment Matrix'!Z65="","",'Assessment Matrix'!Z65),IF(INDEX('Old Assessment Matrix'!$A$1:$BZ$2000,$AB117,Z$52)="","",INDEX('Old Assessment Matrix'!$A$1:$BZ$2000,$AB117,Z$52)))</f>
        <v/>
      </c>
      <c r="AB117" s="79" t="str">
        <f>IFERROR(MATCH($A117,'Old Assessment Matrix'!$A:$A,0),"")</f>
        <v/>
      </c>
      <c r="AC117" s="79" t="str">
        <f t="shared" si="2"/>
        <v>9.9</v>
      </c>
    </row>
    <row r="118" spans="1:29" x14ac:dyDescent="0.3">
      <c r="A118" s="19" t="str">
        <f>'Assessment Matrix'!A66</f>
        <v>9.10</v>
      </c>
      <c r="D118" s="79" t="str">
        <f>'Assessment Matrix'!D66</f>
        <v>A tested kill switch can stop the agent immediately, revoke its credentials, and contain or roll back in-flight actions; trigger criteria (budget cap breach, anomaly thresholds, policy violation) are defined in advance.</v>
      </c>
      <c r="E118" s="78" t="str">
        <f>IF(OR($AB118="",E$52=""),IF('Assessment Matrix'!E66="","",'Assessment Matrix'!E66),IF(INDEX('Old Assessment Matrix'!$A$1:$BZ$2000,$AB118,E$52)="","",INDEX('Old Assessment Matrix'!$A$1:$BZ$2000,$AB118,E$52)))</f>
        <v>Blocker</v>
      </c>
      <c r="G118" s="78">
        <f>IF(OR($AB118="",G$52=""),IF('Assessment Matrix'!G66="","",'Assessment Matrix'!G66),IF(INDEX('Old Assessment Matrix'!$A$1:$BZ$2000,$AB118,G$52)="","",INDEX('Old Assessment Matrix'!$A$1:$BZ$2000,$AB118,G$52)))</f>
        <v>3</v>
      </c>
      <c r="H118" s="78">
        <f>IF(OR($AB118="",H$52=""),IF('Assessment Matrix'!H66="","",'Assessment Matrix'!H66),IF(INDEX('Old Assessment Matrix'!$A$1:$BZ$2000,$AB118,H$52)="","",INDEX('Old Assessment Matrix'!$A$1:$BZ$2000,$AB118,H$52)))</f>
        <v>5</v>
      </c>
      <c r="J118" s="78" t="str">
        <f>IF(OR($AB118="",J$52=""),IF('Assessment Matrix'!J66="","",'Assessment Matrix'!J66),IF(INDEX('Old Assessment Matrix'!$A$1:$BZ$2000,$AB118,J$52)="","",INDEX('Old Assessment Matrix'!$A$1:$BZ$2000,$AB118,J$52)))</f>
        <v/>
      </c>
      <c r="K118" s="78" t="str">
        <f>IF(OR($AB118="",K$52=""),IF('Assessment Matrix'!K66="","",'Assessment Matrix'!K66),IF(INDEX('Old Assessment Matrix'!$A$1:$BZ$2000,$AB118,K$52)="","",INDEX('Old Assessment Matrix'!$A$1:$BZ$2000,$AB118,K$52)))</f>
        <v/>
      </c>
      <c r="O118" s="78" t="str">
        <f>IF(OR($AB118="",O$52=""),IF('Assessment Matrix'!O66="","",'Assessment Matrix'!O66),IF(INDEX('Old Assessment Matrix'!$A$1:$BZ$2000,$AB118,O$52)="","",INDEX('Old Assessment Matrix'!$A$1:$BZ$2000,$AB118,O$52)))</f>
        <v/>
      </c>
      <c r="P118" s="78" t="str">
        <f>IF(OR($AB118="",P$52=""),IF('Assessment Matrix'!P66="","",'Assessment Matrix'!P66),IF(INDEX('Old Assessment Matrix'!$A$1:$BZ$2000,$AB118,P$52)="","",INDEX('Old Assessment Matrix'!$A$1:$BZ$2000,$AB118,P$52)))</f>
        <v/>
      </c>
      <c r="Q118" s="78" t="str">
        <f>IF(OR($AB118="",Q$52=""),IF('Assessment Matrix'!Q66="","",'Assessment Matrix'!Q66),IF(INDEX('Old Assessment Matrix'!$A$1:$BZ$2000,$AB118,Q$52)="","",INDEX('Old Assessment Matrix'!$A$1:$BZ$2000,$AB118,Q$52)))</f>
        <v/>
      </c>
      <c r="R118" s="80" t="str">
        <f>IF(OR($AB118="",R$52=""),IF('Assessment Matrix'!R66="","",'Assessment Matrix'!R66),IF(INDEX('Old Assessment Matrix'!$A$1:$BZ$2000,$AB118,R$52)="","",INDEX('Old Assessment Matrix'!$A$1:$BZ$2000,$AB118,R$52)))</f>
        <v/>
      </c>
      <c r="S118" s="78" t="str">
        <f>IF(OR($AB118="",S$52=""),IF('Assessment Matrix'!S66="","",'Assessment Matrix'!S66),IF(INDEX('Old Assessment Matrix'!$A$1:$BZ$2000,$AB118,S$52)="","",INDEX('Old Assessment Matrix'!$A$1:$BZ$2000,$AB118,S$52)))</f>
        <v/>
      </c>
      <c r="T118" s="78" t="str">
        <f>IF(OR($AB118="",T$52=""),IF('Assessment Matrix'!T66="","",'Assessment Matrix'!T66),IF(INDEX('Old Assessment Matrix'!$A$1:$BZ$2000,$AB118,T$52)="","",INDEX('Old Assessment Matrix'!$A$1:$BZ$2000,$AB118,T$52)))</f>
        <v/>
      </c>
      <c r="X118" s="78" t="str">
        <f>IF(OR($AB118="",X$52=""),IF('Assessment Matrix'!X66="","",'Assessment Matrix'!X66),IF(INDEX('Old Assessment Matrix'!$A$1:$BZ$2000,$AB118,X$52)="","",INDEX('Old Assessment Matrix'!$A$1:$BZ$2000,$AB118,X$52)))</f>
        <v/>
      </c>
      <c r="Y118" s="78" t="str">
        <f>IF(OR($AB118="",Y$52=""),IF('Assessment Matrix'!Y66="","",'Assessment Matrix'!Y66),IF(INDEX('Old Assessment Matrix'!$A$1:$BZ$2000,$AB118,Y$52)="","",INDEX('Old Assessment Matrix'!$A$1:$BZ$2000,$AB118,Y$52)))</f>
        <v/>
      </c>
      <c r="Z118" s="80" t="str">
        <f>IF(OR($AB118="",Z$52=""),IF('Assessment Matrix'!Z66="","",'Assessment Matrix'!Z66),IF(INDEX('Old Assessment Matrix'!$A$1:$BZ$2000,$AB118,Z$52)="","",INDEX('Old Assessment Matrix'!$A$1:$BZ$2000,$AB118,Z$52)))</f>
        <v/>
      </c>
      <c r="AB118" s="79" t="str">
        <f>IFERROR(MATCH($A118,'Old Assessment Matrix'!$A:$A,0),"")</f>
        <v/>
      </c>
      <c r="AC118" s="79" t="str">
        <f t="shared" si="2"/>
        <v>9.10</v>
      </c>
    </row>
    <row r="119" spans="1:29" x14ac:dyDescent="0.3">
      <c r="A119" s="19" t="str">
        <f>'Assessment Matrix'!A67</f>
        <v>9.11</v>
      </c>
      <c r="D119" s="79" t="str">
        <f>'Assessment Matrix'!D67</f>
        <v>Third-party agents, MCP servers, and agent-to-agent connections are inventoried, vetted like suppliers, and constrained like any other tool.</v>
      </c>
      <c r="E119" s="78" t="str">
        <f>IF(OR($AB119="",E$52=""),IF('Assessment Matrix'!E67="","",'Assessment Matrix'!E67),IF(INDEX('Old Assessment Matrix'!$A$1:$BZ$2000,$AB119,E$52)="","",INDEX('Old Assessment Matrix'!$A$1:$BZ$2000,$AB119,E$52)))</f>
        <v>Major</v>
      </c>
      <c r="G119" s="78">
        <f>IF(OR($AB119="",G$52=""),IF('Assessment Matrix'!G67="","",'Assessment Matrix'!G67),IF(INDEX('Old Assessment Matrix'!$A$1:$BZ$2000,$AB119,G$52)="","",INDEX('Old Assessment Matrix'!$A$1:$BZ$2000,$AB119,G$52)))</f>
        <v>3</v>
      </c>
      <c r="H119" s="78">
        <f>IF(OR($AB119="",H$52=""),IF('Assessment Matrix'!H67="","",'Assessment Matrix'!H67),IF(INDEX('Old Assessment Matrix'!$A$1:$BZ$2000,$AB119,H$52)="","",INDEX('Old Assessment Matrix'!$A$1:$BZ$2000,$AB119,H$52)))</f>
        <v>4</v>
      </c>
      <c r="J119" s="78" t="str">
        <f>IF(OR($AB119="",J$52=""),IF('Assessment Matrix'!J67="","",'Assessment Matrix'!J67),IF(INDEX('Old Assessment Matrix'!$A$1:$BZ$2000,$AB119,J$52)="","",INDEX('Old Assessment Matrix'!$A$1:$BZ$2000,$AB119,J$52)))</f>
        <v/>
      </c>
      <c r="K119" s="78" t="str">
        <f>IF(OR($AB119="",K$52=""),IF('Assessment Matrix'!K67="","",'Assessment Matrix'!K67),IF(INDEX('Old Assessment Matrix'!$A$1:$BZ$2000,$AB119,K$52)="","",INDEX('Old Assessment Matrix'!$A$1:$BZ$2000,$AB119,K$52)))</f>
        <v/>
      </c>
      <c r="O119" s="78" t="str">
        <f>IF(OR($AB119="",O$52=""),IF('Assessment Matrix'!O67="","",'Assessment Matrix'!O67),IF(INDEX('Old Assessment Matrix'!$A$1:$BZ$2000,$AB119,O$52)="","",INDEX('Old Assessment Matrix'!$A$1:$BZ$2000,$AB119,O$52)))</f>
        <v/>
      </c>
      <c r="P119" s="78" t="str">
        <f>IF(OR($AB119="",P$52=""),IF('Assessment Matrix'!P67="","",'Assessment Matrix'!P67),IF(INDEX('Old Assessment Matrix'!$A$1:$BZ$2000,$AB119,P$52)="","",INDEX('Old Assessment Matrix'!$A$1:$BZ$2000,$AB119,P$52)))</f>
        <v/>
      </c>
      <c r="Q119" s="78" t="str">
        <f>IF(OR($AB119="",Q$52=""),IF('Assessment Matrix'!Q67="","",'Assessment Matrix'!Q67),IF(INDEX('Old Assessment Matrix'!$A$1:$BZ$2000,$AB119,Q$52)="","",INDEX('Old Assessment Matrix'!$A$1:$BZ$2000,$AB119,Q$52)))</f>
        <v/>
      </c>
      <c r="R119" s="80" t="str">
        <f>IF(OR($AB119="",R$52=""),IF('Assessment Matrix'!R67="","",'Assessment Matrix'!R67),IF(INDEX('Old Assessment Matrix'!$A$1:$BZ$2000,$AB119,R$52)="","",INDEX('Old Assessment Matrix'!$A$1:$BZ$2000,$AB119,R$52)))</f>
        <v/>
      </c>
      <c r="S119" s="78" t="str">
        <f>IF(OR($AB119="",S$52=""),IF('Assessment Matrix'!S67="","",'Assessment Matrix'!S67),IF(INDEX('Old Assessment Matrix'!$A$1:$BZ$2000,$AB119,S$52)="","",INDEX('Old Assessment Matrix'!$A$1:$BZ$2000,$AB119,S$52)))</f>
        <v/>
      </c>
      <c r="T119" s="78" t="str">
        <f>IF(OR($AB119="",T$52=""),IF('Assessment Matrix'!T67="","",'Assessment Matrix'!T67),IF(INDEX('Old Assessment Matrix'!$A$1:$BZ$2000,$AB119,T$52)="","",INDEX('Old Assessment Matrix'!$A$1:$BZ$2000,$AB119,T$52)))</f>
        <v/>
      </c>
      <c r="X119" s="78" t="str">
        <f>IF(OR($AB119="",X$52=""),IF('Assessment Matrix'!X67="","",'Assessment Matrix'!X67),IF(INDEX('Old Assessment Matrix'!$A$1:$BZ$2000,$AB119,X$52)="","",INDEX('Old Assessment Matrix'!$A$1:$BZ$2000,$AB119,X$52)))</f>
        <v/>
      </c>
      <c r="Y119" s="78" t="str">
        <f>IF(OR($AB119="",Y$52=""),IF('Assessment Matrix'!Y67="","",'Assessment Matrix'!Y67),IF(INDEX('Old Assessment Matrix'!$A$1:$BZ$2000,$AB119,Y$52)="","",INDEX('Old Assessment Matrix'!$A$1:$BZ$2000,$AB119,Y$52)))</f>
        <v/>
      </c>
      <c r="Z119" s="80" t="str">
        <f>IF(OR($AB119="",Z$52=""),IF('Assessment Matrix'!Z67="","",'Assessment Matrix'!Z67),IF(INDEX('Old Assessment Matrix'!$A$1:$BZ$2000,$AB119,Z$52)="","",INDEX('Old Assessment Matrix'!$A$1:$BZ$2000,$AB119,Z$52)))</f>
        <v/>
      </c>
      <c r="AB119" s="79" t="str">
        <f>IFERROR(MATCH($A119,'Old Assessment Matrix'!$A:$A,0),"")</f>
        <v/>
      </c>
      <c r="AC119" s="79" t="str">
        <f t="shared" si="2"/>
        <v>9.11</v>
      </c>
    </row>
    <row r="120" spans="1:29" x14ac:dyDescent="0.3">
      <c r="A120" s="19" t="str">
        <f>'Assessment Matrix'!A68</f>
        <v>9.12</v>
      </c>
      <c r="D120" s="79" t="str">
        <f>'Assessment Matrix'!D68</f>
        <v>Agent behavior is monitored for autonomy anomalies (excessive tool invocations, loops, goal deviation, unusual action patterns) with alerts and assigned response ownership.</v>
      </c>
      <c r="E120" s="78" t="str">
        <f>IF(OR($AB120="",E$52=""),IF('Assessment Matrix'!E68="","",'Assessment Matrix'!E68),IF(INDEX('Old Assessment Matrix'!$A$1:$BZ$2000,$AB120,E$52)="","",INDEX('Old Assessment Matrix'!$A$1:$BZ$2000,$AB120,E$52)))</f>
        <v>Major</v>
      </c>
      <c r="G120" s="78">
        <f>IF(OR($AB120="",G$52=""),IF('Assessment Matrix'!G68="","",'Assessment Matrix'!G68),IF(INDEX('Old Assessment Matrix'!$A$1:$BZ$2000,$AB120,G$52)="","",INDEX('Old Assessment Matrix'!$A$1:$BZ$2000,$AB120,G$52)))</f>
        <v>4</v>
      </c>
      <c r="H120" s="78">
        <f>IF(OR($AB120="",H$52=""),IF('Assessment Matrix'!H68="","",'Assessment Matrix'!H68),IF(INDEX('Old Assessment Matrix'!$A$1:$BZ$2000,$AB120,H$52)="","",INDEX('Old Assessment Matrix'!$A$1:$BZ$2000,$AB120,H$52)))</f>
        <v>4</v>
      </c>
      <c r="J120" s="78" t="str">
        <f>IF(OR($AB120="",J$52=""),IF('Assessment Matrix'!J68="","",'Assessment Matrix'!J68),IF(INDEX('Old Assessment Matrix'!$A$1:$BZ$2000,$AB120,J$52)="","",INDEX('Old Assessment Matrix'!$A$1:$BZ$2000,$AB120,J$52)))</f>
        <v/>
      </c>
      <c r="K120" s="78" t="str">
        <f>IF(OR($AB120="",K$52=""),IF('Assessment Matrix'!K68="","",'Assessment Matrix'!K68),IF(INDEX('Old Assessment Matrix'!$A$1:$BZ$2000,$AB120,K$52)="","",INDEX('Old Assessment Matrix'!$A$1:$BZ$2000,$AB120,K$52)))</f>
        <v/>
      </c>
      <c r="O120" s="78" t="str">
        <f>IF(OR($AB120="",O$52=""),IF('Assessment Matrix'!O68="","",'Assessment Matrix'!O68),IF(INDEX('Old Assessment Matrix'!$A$1:$BZ$2000,$AB120,O$52)="","",INDEX('Old Assessment Matrix'!$A$1:$BZ$2000,$AB120,O$52)))</f>
        <v/>
      </c>
      <c r="P120" s="78" t="str">
        <f>IF(OR($AB120="",P$52=""),IF('Assessment Matrix'!P68="","",'Assessment Matrix'!P68),IF(INDEX('Old Assessment Matrix'!$A$1:$BZ$2000,$AB120,P$52)="","",INDEX('Old Assessment Matrix'!$A$1:$BZ$2000,$AB120,P$52)))</f>
        <v/>
      </c>
      <c r="Q120" s="78" t="str">
        <f>IF(OR($AB120="",Q$52=""),IF('Assessment Matrix'!Q68="","",'Assessment Matrix'!Q68),IF(INDEX('Old Assessment Matrix'!$A$1:$BZ$2000,$AB120,Q$52)="","",INDEX('Old Assessment Matrix'!$A$1:$BZ$2000,$AB120,Q$52)))</f>
        <v/>
      </c>
      <c r="R120" s="80" t="str">
        <f>IF(OR($AB120="",R$52=""),IF('Assessment Matrix'!R68="","",'Assessment Matrix'!R68),IF(INDEX('Old Assessment Matrix'!$A$1:$BZ$2000,$AB120,R$52)="","",INDEX('Old Assessment Matrix'!$A$1:$BZ$2000,$AB120,R$52)))</f>
        <v/>
      </c>
      <c r="S120" s="78" t="str">
        <f>IF(OR($AB120="",S$52=""),IF('Assessment Matrix'!S68="","",'Assessment Matrix'!S68),IF(INDEX('Old Assessment Matrix'!$A$1:$BZ$2000,$AB120,S$52)="","",INDEX('Old Assessment Matrix'!$A$1:$BZ$2000,$AB120,S$52)))</f>
        <v/>
      </c>
      <c r="T120" s="78" t="str">
        <f>IF(OR($AB120="",T$52=""),IF('Assessment Matrix'!T68="","",'Assessment Matrix'!T68),IF(INDEX('Old Assessment Matrix'!$A$1:$BZ$2000,$AB120,T$52)="","",INDEX('Old Assessment Matrix'!$A$1:$BZ$2000,$AB120,T$52)))</f>
        <v/>
      </c>
      <c r="X120" s="78" t="str">
        <f>IF(OR($AB120="",X$52=""),IF('Assessment Matrix'!X68="","",'Assessment Matrix'!X68),IF(INDEX('Old Assessment Matrix'!$A$1:$BZ$2000,$AB120,X$52)="","",INDEX('Old Assessment Matrix'!$A$1:$BZ$2000,$AB120,X$52)))</f>
        <v/>
      </c>
      <c r="Y120" s="78" t="str">
        <f>IF(OR($AB120="",Y$52=""),IF('Assessment Matrix'!Y68="","",'Assessment Matrix'!Y68),IF(INDEX('Old Assessment Matrix'!$A$1:$BZ$2000,$AB120,Y$52)="","",INDEX('Old Assessment Matrix'!$A$1:$BZ$2000,$AB120,Y$52)))</f>
        <v/>
      </c>
      <c r="Z120" s="80" t="str">
        <f>IF(OR($AB120="",Z$52=""),IF('Assessment Matrix'!Z68="","",'Assessment Matrix'!Z68),IF(INDEX('Old Assessment Matrix'!$A$1:$BZ$2000,$AB120,Z$52)="","",INDEX('Old Assessment Matrix'!$A$1:$BZ$2000,$AB120,Z$52)))</f>
        <v/>
      </c>
      <c r="AB120" s="79" t="str">
        <f>IFERROR(MATCH($A120,'Old Assessment Matrix'!$A:$A,0),"")</f>
        <v/>
      </c>
      <c r="AC120" s="79" t="str">
        <f t="shared" si="2"/>
        <v>9.12</v>
      </c>
    </row>
    <row r="121" spans="1:29" x14ac:dyDescent="0.3">
      <c r="A121" s="19" t="str">
        <f>'Assessment Matrix'!A69</f>
        <v>9.13</v>
      </c>
      <c r="D121" s="79" t="str">
        <f>'Assessment Matrix'!D69</f>
        <v>Agent credentials follow a managed non-human-identity lifecycle: automated rotation, expiry, and decommissioning when the agent or its task ends.</v>
      </c>
      <c r="E121" s="78" t="str">
        <f>IF(OR($AB121="",E$52=""),IF('Assessment Matrix'!E69="","",'Assessment Matrix'!E69),IF(INDEX('Old Assessment Matrix'!$A$1:$BZ$2000,$AB121,E$52)="","",INDEX('Old Assessment Matrix'!$A$1:$BZ$2000,$AB121,E$52)))</f>
        <v>Major</v>
      </c>
      <c r="G121" s="78">
        <f>IF(OR($AB121="",G$52=""),IF('Assessment Matrix'!G69="","",'Assessment Matrix'!G69),IF(INDEX('Old Assessment Matrix'!$A$1:$BZ$2000,$AB121,G$52)="","",INDEX('Old Assessment Matrix'!$A$1:$BZ$2000,$AB121,G$52)))</f>
        <v>3</v>
      </c>
      <c r="H121" s="78">
        <f>IF(OR($AB121="",H$52=""),IF('Assessment Matrix'!H69="","",'Assessment Matrix'!H69),IF(INDEX('Old Assessment Matrix'!$A$1:$BZ$2000,$AB121,H$52)="","",INDEX('Old Assessment Matrix'!$A$1:$BZ$2000,$AB121,H$52)))</f>
        <v>4</v>
      </c>
      <c r="J121" s="78" t="str">
        <f>IF(OR($AB121="",J$52=""),IF('Assessment Matrix'!J69="","",'Assessment Matrix'!J69),IF(INDEX('Old Assessment Matrix'!$A$1:$BZ$2000,$AB121,J$52)="","",INDEX('Old Assessment Matrix'!$A$1:$BZ$2000,$AB121,J$52)))</f>
        <v/>
      </c>
      <c r="K121" s="78" t="str">
        <f>IF(OR($AB121="",K$52=""),IF('Assessment Matrix'!K69="","",'Assessment Matrix'!K69),IF(INDEX('Old Assessment Matrix'!$A$1:$BZ$2000,$AB121,K$52)="","",INDEX('Old Assessment Matrix'!$A$1:$BZ$2000,$AB121,K$52)))</f>
        <v/>
      </c>
      <c r="O121" s="78" t="str">
        <f>IF(OR($AB121="",O$52=""),IF('Assessment Matrix'!O69="","",'Assessment Matrix'!O69),IF(INDEX('Old Assessment Matrix'!$A$1:$BZ$2000,$AB121,O$52)="","",INDEX('Old Assessment Matrix'!$A$1:$BZ$2000,$AB121,O$52)))</f>
        <v/>
      </c>
      <c r="P121" s="78" t="str">
        <f>IF(OR($AB121="",P$52=""),IF('Assessment Matrix'!P69="","",'Assessment Matrix'!P69),IF(INDEX('Old Assessment Matrix'!$A$1:$BZ$2000,$AB121,P$52)="","",INDEX('Old Assessment Matrix'!$A$1:$BZ$2000,$AB121,P$52)))</f>
        <v/>
      </c>
      <c r="Q121" s="78" t="str">
        <f>IF(OR($AB121="",Q$52=""),IF('Assessment Matrix'!Q69="","",'Assessment Matrix'!Q69),IF(INDEX('Old Assessment Matrix'!$A$1:$BZ$2000,$AB121,Q$52)="","",INDEX('Old Assessment Matrix'!$A$1:$BZ$2000,$AB121,Q$52)))</f>
        <v/>
      </c>
      <c r="R121" s="80" t="str">
        <f>IF(OR($AB121="",R$52=""),IF('Assessment Matrix'!R69="","",'Assessment Matrix'!R69),IF(INDEX('Old Assessment Matrix'!$A$1:$BZ$2000,$AB121,R$52)="","",INDEX('Old Assessment Matrix'!$A$1:$BZ$2000,$AB121,R$52)))</f>
        <v/>
      </c>
      <c r="S121" s="78" t="str">
        <f>IF(OR($AB121="",S$52=""),IF('Assessment Matrix'!S69="","",'Assessment Matrix'!S69),IF(INDEX('Old Assessment Matrix'!$A$1:$BZ$2000,$AB121,S$52)="","",INDEX('Old Assessment Matrix'!$A$1:$BZ$2000,$AB121,S$52)))</f>
        <v/>
      </c>
      <c r="T121" s="78" t="str">
        <f>IF(OR($AB121="",T$52=""),IF('Assessment Matrix'!T69="","",'Assessment Matrix'!T69),IF(INDEX('Old Assessment Matrix'!$A$1:$BZ$2000,$AB121,T$52)="","",INDEX('Old Assessment Matrix'!$A$1:$BZ$2000,$AB121,T$52)))</f>
        <v/>
      </c>
      <c r="X121" s="78" t="str">
        <f>IF(OR($AB121="",X$52=""),IF('Assessment Matrix'!X69="","",'Assessment Matrix'!X69),IF(INDEX('Old Assessment Matrix'!$A$1:$BZ$2000,$AB121,X$52)="","",INDEX('Old Assessment Matrix'!$A$1:$BZ$2000,$AB121,X$52)))</f>
        <v/>
      </c>
      <c r="Y121" s="78" t="str">
        <f>IF(OR($AB121="",Y$52=""),IF('Assessment Matrix'!Y69="","",'Assessment Matrix'!Y69),IF(INDEX('Old Assessment Matrix'!$A$1:$BZ$2000,$AB121,Y$52)="","",INDEX('Old Assessment Matrix'!$A$1:$BZ$2000,$AB121,Y$52)))</f>
        <v/>
      </c>
      <c r="Z121" s="80" t="str">
        <f>IF(OR($AB121="",Z$52=""),IF('Assessment Matrix'!Z69="","",'Assessment Matrix'!Z69),IF(INDEX('Old Assessment Matrix'!$A$1:$BZ$2000,$AB121,Z$52)="","",INDEX('Old Assessment Matrix'!$A$1:$BZ$2000,$AB121,Z$52)))</f>
        <v/>
      </c>
      <c r="AB121" s="79" t="str">
        <f>IFERROR(MATCH($A121,'Old Assessment Matrix'!$A:$A,0),"")</f>
        <v/>
      </c>
      <c r="AC121" s="79" t="str">
        <f t="shared" si="2"/>
        <v>9.13</v>
      </c>
    </row>
    <row r="123" spans="1:29" ht="17.399999999999999" x14ac:dyDescent="0.35">
      <c r="A123" s="74" t="s">
        <v>947</v>
      </c>
    </row>
    <row r="124" spans="1:29" x14ac:dyDescent="0.3">
      <c r="A124" s="19" t="s">
        <v>948</v>
      </c>
    </row>
    <row r="125" spans="1:29" x14ac:dyDescent="0.3">
      <c r="A125" s="19" t="s">
        <v>949</v>
      </c>
    </row>
    <row r="126" spans="1:29" x14ac:dyDescent="0.3">
      <c r="A126" s="11" t="s">
        <v>910</v>
      </c>
      <c r="B126" s="19" t="str">
        <f>IF(ISNUMBER(MATCH("Final decision",'Old Dashboard'!$A:$A,0)),"detected","not pasted yet")</f>
        <v>not pasted yet</v>
      </c>
    </row>
    <row r="127" spans="1:29" x14ac:dyDescent="0.3">
      <c r="A127" s="11" t="s">
        <v>911</v>
      </c>
      <c r="B127" s="19" t="str">
        <f>COUNT($AB$131:$AB$134)&amp;" of 4"</f>
        <v>0 of 4</v>
      </c>
    </row>
    <row r="128" spans="1:29" x14ac:dyDescent="0.3">
      <c r="A128" s="11" t="s">
        <v>912</v>
      </c>
      <c r="D128" s="19" t="str">
        <f>IF($B$126="not pasted yet","-",IF(_xlfn.TEXTJOIN(", ",TRUE(),$AC$131:$AC$134)="","none",_xlfn.TEXTJOIN(", ",TRUE(),$AC$131:$AC$134)))</f>
        <v>-</v>
      </c>
    </row>
    <row r="129" spans="1:29" x14ac:dyDescent="0.3">
      <c r="A129" s="75" t="s">
        <v>615</v>
      </c>
      <c r="B129" s="75" t="s">
        <v>620</v>
      </c>
    </row>
    <row r="130" spans="1:29" ht="30" customHeight="1" x14ac:dyDescent="0.3">
      <c r="A130" s="76" t="s">
        <v>950</v>
      </c>
      <c r="B130" s="77" t="s">
        <v>951</v>
      </c>
    </row>
    <row r="131" spans="1:29" x14ac:dyDescent="0.3">
      <c r="A131" s="19" t="str">
        <f>Dashboard!A40</f>
        <v>Final decision</v>
      </c>
      <c r="B131" s="78" t="str">
        <f>IF($AB131="",IF(Dashboard!B40="","",Dashboard!B40),IF(INDEX('Old Dashboard'!$B:$B,$AB131)="","",INDEX('Old Dashboard'!$B:$B,$AB131)))</f>
        <v/>
      </c>
      <c r="AB131" s="79" t="str">
        <f>IFERROR(MATCH($A131,'Old Dashboard'!$A:$A,0),"")</f>
        <v/>
      </c>
      <c r="AC131" s="79" t="str">
        <f>IF(AND($A131&lt;&gt;"",$AB131=""),$A131,"")</f>
        <v>Final decision</v>
      </c>
    </row>
    <row r="132" spans="1:29" x14ac:dyDescent="0.3">
      <c r="A132" s="19" t="str">
        <f>Dashboard!A41</f>
        <v>Decided by (risk owner)</v>
      </c>
      <c r="B132" s="78" t="str">
        <f>IF($AB132="",IF(Dashboard!B41="","",Dashboard!B41),IF(INDEX('Old Dashboard'!$B:$B,$AB132)="","",INDEX('Old Dashboard'!$B:$B,$AB132)))</f>
        <v/>
      </c>
      <c r="AB132" s="79" t="str">
        <f>IFERROR(MATCH($A132,'Old Dashboard'!$A:$A,0),"")</f>
        <v/>
      </c>
      <c r="AC132" s="79" t="str">
        <f>IF(AND($A132&lt;&gt;"",$AB132=""),$A132,"")</f>
        <v>Decided by (risk owner)</v>
      </c>
    </row>
    <row r="133" spans="1:29" x14ac:dyDescent="0.3">
      <c r="A133" s="19" t="str">
        <f>Dashboard!A42</f>
        <v>Date</v>
      </c>
      <c r="B133" s="80" t="str">
        <f>IF($AB133="",IF(Dashboard!B42="","",Dashboard!B42),IF(INDEX('Old Dashboard'!$B:$B,$AB133)="","",INDEX('Old Dashboard'!$B:$B,$AB133)))</f>
        <v/>
      </c>
      <c r="AB133" s="79" t="str">
        <f>IFERROR(MATCH($A133,'Old Dashboard'!$A:$A,0),"")</f>
        <v/>
      </c>
      <c r="AC133" s="79" t="str">
        <f>IF(AND($A133&lt;&gt;"",$AB133=""),$A133,"")</f>
        <v>Date</v>
      </c>
    </row>
    <row r="134" spans="1:29" x14ac:dyDescent="0.3">
      <c r="A134" s="19" t="str">
        <f>Dashboard!A43</f>
        <v>Conditions / exemption references</v>
      </c>
      <c r="B134" s="78" t="str">
        <f>IF($AB134="",IF(Dashboard!B43="","",Dashboard!B43),IF(INDEX('Old Dashboard'!$B:$B,$AB134)="","",INDEX('Old Dashboard'!$B:$B,$AB134)))</f>
        <v/>
      </c>
      <c r="AB134" s="79" t="str">
        <f>IFERROR(MATCH($A134,'Old Dashboard'!$A:$A,0),"")</f>
        <v/>
      </c>
      <c r="AC134" s="79" t="str">
        <f>IF(AND($A134&lt;&gt;"",$AB134=""),$A134,"")</f>
        <v>Conditions / exemption references</v>
      </c>
    </row>
    <row r="136" spans="1:29" ht="17.399999999999999" x14ac:dyDescent="0.35">
      <c r="A136" s="74" t="s">
        <v>952</v>
      </c>
    </row>
    <row r="137" spans="1:29" x14ac:dyDescent="0.3">
      <c r="A137" s="19" t="s">
        <v>953</v>
      </c>
    </row>
    <row r="138" spans="1:29" x14ac:dyDescent="0.3">
      <c r="A138" s="19" t="s">
        <v>954</v>
      </c>
    </row>
    <row r="139" spans="1:29" x14ac:dyDescent="0.3">
      <c r="A139" s="11" t="s">
        <v>910</v>
      </c>
      <c r="B139" s="19" t="str">
        <f>IF(ISNUMBER(MATCH("ID",'Old Model Comparator'!$A:$A,0)),"detected","not pasted yet")</f>
        <v>not pasted yet</v>
      </c>
    </row>
    <row r="140" spans="1:29" x14ac:dyDescent="0.3">
      <c r="A140" s="11" t="s">
        <v>918</v>
      </c>
      <c r="B140" s="19" t="str">
        <f>COUNT($AB$150:$AB$217)&amp;" of "&amp;COUNTA($A$150:$A$217)</f>
        <v>0 of 68</v>
      </c>
    </row>
    <row r="141" spans="1:29" x14ac:dyDescent="0.3">
      <c r="A141" s="11" t="s">
        <v>919</v>
      </c>
      <c r="D141" s="19" t="str">
        <f>IF($B$139="not pasted yet","-",IF(_xlfn.TEXTJOIN(", ",TRUE(),$AC$150:$AC$217)="","none",_xlfn.TEXTJOIN(", ",TRUE(),$AC$150:$AC$217)))</f>
        <v>-</v>
      </c>
    </row>
    <row r="142" spans="1:29" x14ac:dyDescent="0.3">
      <c r="A142" s="75" t="s">
        <v>615</v>
      </c>
      <c r="G142" s="75" t="s">
        <v>923</v>
      </c>
      <c r="H142" s="75" t="s">
        <v>924</v>
      </c>
      <c r="I142" s="75" t="s">
        <v>925</v>
      </c>
      <c r="J142" s="75" t="s">
        <v>926</v>
      </c>
      <c r="K142" s="75" t="s">
        <v>927</v>
      </c>
      <c r="L142" s="75" t="s">
        <v>928</v>
      </c>
      <c r="M142" s="75" t="s">
        <v>929</v>
      </c>
      <c r="N142" s="75" t="s">
        <v>930</v>
      </c>
      <c r="P142" s="75" t="s">
        <v>932</v>
      </c>
      <c r="Q142" s="75" t="s">
        <v>933</v>
      </c>
      <c r="R142" s="75" t="s">
        <v>934</v>
      </c>
    </row>
    <row r="143" spans="1:29" ht="30" customHeight="1" x14ac:dyDescent="0.3">
      <c r="A143" s="76" t="s">
        <v>68</v>
      </c>
      <c r="D143" s="79" t="s">
        <v>955</v>
      </c>
      <c r="G143" s="77" t="s">
        <v>956</v>
      </c>
      <c r="H143" s="77" t="s">
        <v>957</v>
      </c>
      <c r="I143" s="77" t="s">
        <v>958</v>
      </c>
      <c r="J143" s="77" t="s">
        <v>959</v>
      </c>
      <c r="K143" s="77" t="s">
        <v>960</v>
      </c>
      <c r="L143" s="77" t="s">
        <v>961</v>
      </c>
      <c r="M143" s="77" t="s">
        <v>962</v>
      </c>
      <c r="N143" s="77" t="s">
        <v>963</v>
      </c>
      <c r="P143" s="77" t="s">
        <v>964</v>
      </c>
      <c r="Q143" s="77" t="s">
        <v>965</v>
      </c>
      <c r="R143" s="77" t="s">
        <v>966</v>
      </c>
    </row>
    <row r="144" spans="1:29" x14ac:dyDescent="0.3">
      <c r="D144" s="79" t="s">
        <v>967</v>
      </c>
      <c r="G144" s="78" t="str">
        <f>IF('Old Model Comparator'!G4="",IF('Model Comparator'!G4="","",'Model Comparator'!G4),'Old Model Comparator'!G4)</f>
        <v>Model A</v>
      </c>
      <c r="H144" s="78" t="str">
        <f>IF('Old Model Comparator'!H4="",IF('Model Comparator'!H4="","",'Model Comparator'!H4),'Old Model Comparator'!H4)</f>
        <v>Model B</v>
      </c>
      <c r="I144" s="78" t="str">
        <f>IF('Old Model Comparator'!I4="",IF('Model Comparator'!I4="","",'Model Comparator'!I4),'Old Model Comparator'!I4)</f>
        <v>Model C</v>
      </c>
      <c r="J144" s="78" t="str">
        <f>IF('Old Model Comparator'!J4="",IF('Model Comparator'!J4="","",'Model Comparator'!J4),'Old Model Comparator'!J4)</f>
        <v>Model D</v>
      </c>
    </row>
    <row r="148" spans="1:29" x14ac:dyDescent="0.3">
      <c r="D148" s="79" t="s">
        <v>968</v>
      </c>
      <c r="K148" s="78" t="str">
        <f>IF('Old Model Comparator'!K8="",IF('Model Comparator'!K8="","",'Model Comparator'!K8),'Old Model Comparator'!K8)</f>
        <v/>
      </c>
      <c r="L148" s="78" t="str">
        <f>IF('Old Model Comparator'!L8="",IF('Model Comparator'!L8="","",'Model Comparator'!L8),'Old Model Comparator'!L8)</f>
        <v/>
      </c>
      <c r="M148" s="78" t="str">
        <f>IF('Old Model Comparator'!M8="",IF('Model Comparator'!M8="","",'Model Comparator'!M8),'Old Model Comparator'!M8)</f>
        <v/>
      </c>
      <c r="N148" s="78" t="str">
        <f>IF('Old Model Comparator'!N8="",IF('Model Comparator'!N8="","",'Model Comparator'!N8),'Old Model Comparator'!N8)</f>
        <v/>
      </c>
      <c r="P148" s="78" t="str">
        <f>IF('Old Model Comparator'!P8="",IF('Model Comparator'!P8="","",'Model Comparator'!P8),'Old Model Comparator'!P8)</f>
        <v/>
      </c>
      <c r="Q148" s="80" t="str">
        <f>IF('Old Model Comparator'!Q8="",IF('Model Comparator'!Q8="","",'Model Comparator'!Q8),'Old Model Comparator'!Q8)</f>
        <v/>
      </c>
      <c r="R148" s="78" t="str">
        <f>IF('Old Model Comparator'!R8="",IF('Model Comparator'!R8="","",'Model Comparator'!R8),'Old Model Comparator'!R8)</f>
        <v/>
      </c>
    </row>
    <row r="149" spans="1:29" x14ac:dyDescent="0.3">
      <c r="P149" s="78" t="str">
        <f>IF('Old Model Comparator'!P9="",IF('Model Comparator'!P9="","",'Model Comparator'!P9),'Old Model Comparator'!P9)</f>
        <v/>
      </c>
      <c r="Q149" s="80" t="str">
        <f>IF('Old Model Comparator'!Q9="",IF('Model Comparator'!Q9="","",'Model Comparator'!Q9),'Old Model Comparator'!Q9)</f>
        <v/>
      </c>
      <c r="R149" s="78" t="str">
        <f>IF('Old Model Comparator'!R9="",IF('Model Comparator'!R9="","",'Model Comparator'!R9),'Old Model Comparator'!R9)</f>
        <v/>
      </c>
    </row>
    <row r="150" spans="1:29" x14ac:dyDescent="0.3">
      <c r="A150" s="19" t="str">
        <f>'Model Comparator'!A10</f>
        <v>1.1</v>
      </c>
      <c r="G150" s="78" t="str">
        <f>IF($AB150="",IF('Model Comparator'!G10="","",'Model Comparator'!G10),IF(INDEX('Old Model Comparator'!$G:$G,$AB150)="","",INDEX('Old Model Comparator'!$G:$G,$AB150)))</f>
        <v/>
      </c>
      <c r="H150" s="78" t="str">
        <f>IF($AB150="",IF('Model Comparator'!H10="","",'Model Comparator'!H10),IF(INDEX('Old Model Comparator'!$H:$H,$AB150)="","",INDEX('Old Model Comparator'!$H:$H,$AB150)))</f>
        <v/>
      </c>
      <c r="I150" s="78" t="str">
        <f>IF($AB150="",IF('Model Comparator'!I10="","",'Model Comparator'!I10),IF(INDEX('Old Model Comparator'!$I:$I,$AB150)="","",INDEX('Old Model Comparator'!$I:$I,$AB150)))</f>
        <v/>
      </c>
      <c r="J150" s="78" t="str">
        <f>IF($AB150="",IF('Model Comparator'!J10="","",'Model Comparator'!J10),IF(INDEX('Old Model Comparator'!$J:$J,$AB150)="","",INDEX('Old Model Comparator'!$J:$J,$AB150)))</f>
        <v/>
      </c>
      <c r="K150" s="78" t="str">
        <f>IF($AB150="",IF('Model Comparator'!K10="","",'Model Comparator'!K10),IF(INDEX('Old Model Comparator'!$K:$K,$AB150)="","",INDEX('Old Model Comparator'!$K:$K,$AB150)))</f>
        <v/>
      </c>
      <c r="L150" s="78" t="str">
        <f>IF($AB150="",IF('Model Comparator'!L10="","",'Model Comparator'!L10),IF(INDEX('Old Model Comparator'!$L:$L,$AB150)="","",INDEX('Old Model Comparator'!$L:$L,$AB150)))</f>
        <v/>
      </c>
      <c r="M150" s="78" t="str">
        <f>IF($AB150="",IF('Model Comparator'!M10="","",'Model Comparator'!M10),IF(INDEX('Old Model Comparator'!$M:$M,$AB150)="","",INDEX('Old Model Comparator'!$M:$M,$AB150)))</f>
        <v/>
      </c>
      <c r="N150" s="78" t="str">
        <f>IF($AB150="",IF('Model Comparator'!N10="","",'Model Comparator'!N10),IF(INDEX('Old Model Comparator'!$N:$N,$AB150)="","",INDEX('Old Model Comparator'!$N:$N,$AB150)))</f>
        <v/>
      </c>
      <c r="P150" s="78" t="str">
        <f>IF('Old Model Comparator'!P10="",IF('Model Comparator'!P10="","",'Model Comparator'!P10),'Old Model Comparator'!P10)</f>
        <v/>
      </c>
      <c r="Q150" s="80" t="str">
        <f>IF('Old Model Comparator'!Q10="",IF('Model Comparator'!Q10="","",'Model Comparator'!Q10),'Old Model Comparator'!Q10)</f>
        <v/>
      </c>
      <c r="R150" s="78" t="str">
        <f>IF('Old Model Comparator'!R10="",IF('Model Comparator'!R10="","",'Model Comparator'!R10),'Old Model Comparator'!R10)</f>
        <v/>
      </c>
      <c r="AB150" s="79" t="str">
        <f>IFERROR(MATCH($A150,'Old Model Comparator'!$A:$A,0),"")</f>
        <v/>
      </c>
      <c r="AC150" s="79" t="str">
        <f t="shared" ref="AC150:AC181" si="3">IF(AND($A150&lt;&gt;"",$AB150=""),$A150,"")</f>
        <v>1.1</v>
      </c>
    </row>
    <row r="151" spans="1:29" x14ac:dyDescent="0.3">
      <c r="A151" s="19" t="str">
        <f>'Model Comparator'!A11</f>
        <v>1.2</v>
      </c>
      <c r="G151" s="78" t="str">
        <f>IF($AB151="",IF('Model Comparator'!G11="","",'Model Comparator'!G11),IF(INDEX('Old Model Comparator'!$G:$G,$AB151)="","",INDEX('Old Model Comparator'!$G:$G,$AB151)))</f>
        <v/>
      </c>
      <c r="H151" s="78" t="str">
        <f>IF($AB151="",IF('Model Comparator'!H11="","",'Model Comparator'!H11),IF(INDEX('Old Model Comparator'!$H:$H,$AB151)="","",INDEX('Old Model Comparator'!$H:$H,$AB151)))</f>
        <v/>
      </c>
      <c r="I151" s="78" t="str">
        <f>IF($AB151="",IF('Model Comparator'!I11="","",'Model Comparator'!I11),IF(INDEX('Old Model Comparator'!$I:$I,$AB151)="","",INDEX('Old Model Comparator'!$I:$I,$AB151)))</f>
        <v/>
      </c>
      <c r="J151" s="78" t="str">
        <f>IF($AB151="",IF('Model Comparator'!J11="","",'Model Comparator'!J11),IF(INDEX('Old Model Comparator'!$J:$J,$AB151)="","",INDEX('Old Model Comparator'!$J:$J,$AB151)))</f>
        <v/>
      </c>
      <c r="K151" s="78" t="str">
        <f>IF($AB151="",IF('Model Comparator'!K11="","",'Model Comparator'!K11),IF(INDEX('Old Model Comparator'!$K:$K,$AB151)="","",INDEX('Old Model Comparator'!$K:$K,$AB151)))</f>
        <v/>
      </c>
      <c r="L151" s="78" t="str">
        <f>IF($AB151="",IF('Model Comparator'!L11="","",'Model Comparator'!L11),IF(INDEX('Old Model Comparator'!$L:$L,$AB151)="","",INDEX('Old Model Comparator'!$L:$L,$AB151)))</f>
        <v/>
      </c>
      <c r="M151" s="78" t="str">
        <f>IF($AB151="",IF('Model Comparator'!M11="","",'Model Comparator'!M11),IF(INDEX('Old Model Comparator'!$M:$M,$AB151)="","",INDEX('Old Model Comparator'!$M:$M,$AB151)))</f>
        <v/>
      </c>
      <c r="N151" s="78" t="str">
        <f>IF($AB151="",IF('Model Comparator'!N11="","",'Model Comparator'!N11),IF(INDEX('Old Model Comparator'!$N:$N,$AB151)="","",INDEX('Old Model Comparator'!$N:$N,$AB151)))</f>
        <v/>
      </c>
      <c r="P151" s="78" t="str">
        <f>IF('Old Model Comparator'!P11="",IF('Model Comparator'!P11="","",'Model Comparator'!P11),'Old Model Comparator'!P11)</f>
        <v/>
      </c>
      <c r="Q151" s="80" t="str">
        <f>IF('Old Model Comparator'!Q11="",IF('Model Comparator'!Q11="","",'Model Comparator'!Q11),'Old Model Comparator'!Q11)</f>
        <v/>
      </c>
      <c r="R151" s="78" t="str">
        <f>IF('Old Model Comparator'!R11="",IF('Model Comparator'!R11="","",'Model Comparator'!R11),'Old Model Comparator'!R11)</f>
        <v/>
      </c>
      <c r="AB151" s="79" t="str">
        <f>IFERROR(MATCH($A151,'Old Model Comparator'!$A:$A,0),"")</f>
        <v/>
      </c>
      <c r="AC151" s="79" t="str">
        <f t="shared" si="3"/>
        <v>1.2</v>
      </c>
    </row>
    <row r="152" spans="1:29" x14ac:dyDescent="0.3">
      <c r="A152" s="19" t="str">
        <f>'Model Comparator'!A12</f>
        <v>1.3</v>
      </c>
      <c r="G152" s="78" t="str">
        <f>IF($AB152="",IF('Model Comparator'!G12="","",'Model Comparator'!G12),IF(INDEX('Old Model Comparator'!$G:$G,$AB152)="","",INDEX('Old Model Comparator'!$G:$G,$AB152)))</f>
        <v/>
      </c>
      <c r="H152" s="78" t="str">
        <f>IF($AB152="",IF('Model Comparator'!H12="","",'Model Comparator'!H12),IF(INDEX('Old Model Comparator'!$H:$H,$AB152)="","",INDEX('Old Model Comparator'!$H:$H,$AB152)))</f>
        <v/>
      </c>
      <c r="I152" s="78" t="str">
        <f>IF($AB152="",IF('Model Comparator'!I12="","",'Model Comparator'!I12),IF(INDEX('Old Model Comparator'!$I:$I,$AB152)="","",INDEX('Old Model Comparator'!$I:$I,$AB152)))</f>
        <v/>
      </c>
      <c r="J152" s="78" t="str">
        <f>IF($AB152="",IF('Model Comparator'!J12="","",'Model Comparator'!J12),IF(INDEX('Old Model Comparator'!$J:$J,$AB152)="","",INDEX('Old Model Comparator'!$J:$J,$AB152)))</f>
        <v/>
      </c>
      <c r="K152" s="78" t="str">
        <f>IF($AB152="",IF('Model Comparator'!K12="","",'Model Comparator'!K12),IF(INDEX('Old Model Comparator'!$K:$K,$AB152)="","",INDEX('Old Model Comparator'!$K:$K,$AB152)))</f>
        <v/>
      </c>
      <c r="L152" s="78" t="str">
        <f>IF($AB152="",IF('Model Comparator'!L12="","",'Model Comparator'!L12),IF(INDEX('Old Model Comparator'!$L:$L,$AB152)="","",INDEX('Old Model Comparator'!$L:$L,$AB152)))</f>
        <v/>
      </c>
      <c r="M152" s="78" t="str">
        <f>IF($AB152="",IF('Model Comparator'!M12="","",'Model Comparator'!M12),IF(INDEX('Old Model Comparator'!$M:$M,$AB152)="","",INDEX('Old Model Comparator'!$M:$M,$AB152)))</f>
        <v/>
      </c>
      <c r="N152" s="78" t="str">
        <f>IF($AB152="",IF('Model Comparator'!N12="","",'Model Comparator'!N12),IF(INDEX('Old Model Comparator'!$N:$N,$AB152)="","",INDEX('Old Model Comparator'!$N:$N,$AB152)))</f>
        <v/>
      </c>
      <c r="AB152" s="79" t="str">
        <f>IFERROR(MATCH($A152,'Old Model Comparator'!$A:$A,0),"")</f>
        <v/>
      </c>
      <c r="AC152" s="79" t="str">
        <f t="shared" si="3"/>
        <v>1.3</v>
      </c>
    </row>
    <row r="153" spans="1:29" x14ac:dyDescent="0.3">
      <c r="A153" s="19" t="str">
        <f>'Model Comparator'!A13</f>
        <v>1.4</v>
      </c>
      <c r="G153" s="78" t="str">
        <f>IF($AB153="",IF('Model Comparator'!G13="","",'Model Comparator'!G13),IF(INDEX('Old Model Comparator'!$G:$G,$AB153)="","",INDEX('Old Model Comparator'!$G:$G,$AB153)))</f>
        <v/>
      </c>
      <c r="H153" s="78" t="str">
        <f>IF($AB153="",IF('Model Comparator'!H13="","",'Model Comparator'!H13),IF(INDEX('Old Model Comparator'!$H:$H,$AB153)="","",INDEX('Old Model Comparator'!$H:$H,$AB153)))</f>
        <v/>
      </c>
      <c r="I153" s="78" t="str">
        <f>IF($AB153="",IF('Model Comparator'!I13="","",'Model Comparator'!I13),IF(INDEX('Old Model Comparator'!$I:$I,$AB153)="","",INDEX('Old Model Comparator'!$I:$I,$AB153)))</f>
        <v/>
      </c>
      <c r="J153" s="78" t="str">
        <f>IF($AB153="",IF('Model Comparator'!J13="","",'Model Comparator'!J13),IF(INDEX('Old Model Comparator'!$J:$J,$AB153)="","",INDEX('Old Model Comparator'!$J:$J,$AB153)))</f>
        <v/>
      </c>
      <c r="K153" s="78" t="str">
        <f>IF($AB153="",IF('Model Comparator'!K13="","",'Model Comparator'!K13),IF(INDEX('Old Model Comparator'!$K:$K,$AB153)="","",INDEX('Old Model Comparator'!$K:$K,$AB153)))</f>
        <v/>
      </c>
      <c r="L153" s="78" t="str">
        <f>IF($AB153="",IF('Model Comparator'!L13="","",'Model Comparator'!L13),IF(INDEX('Old Model Comparator'!$L:$L,$AB153)="","",INDEX('Old Model Comparator'!$L:$L,$AB153)))</f>
        <v/>
      </c>
      <c r="M153" s="78" t="str">
        <f>IF($AB153="",IF('Model Comparator'!M13="","",'Model Comparator'!M13),IF(INDEX('Old Model Comparator'!$M:$M,$AB153)="","",INDEX('Old Model Comparator'!$M:$M,$AB153)))</f>
        <v/>
      </c>
      <c r="N153" s="78" t="str">
        <f>IF($AB153="",IF('Model Comparator'!N13="","",'Model Comparator'!N13),IF(INDEX('Old Model Comparator'!$N:$N,$AB153)="","",INDEX('Old Model Comparator'!$N:$N,$AB153)))</f>
        <v/>
      </c>
      <c r="AB153" s="79" t="str">
        <f>IFERROR(MATCH($A153,'Old Model Comparator'!$A:$A,0),"")</f>
        <v/>
      </c>
      <c r="AC153" s="79" t="str">
        <f t="shared" si="3"/>
        <v>1.4</v>
      </c>
    </row>
    <row r="154" spans="1:29" x14ac:dyDescent="0.3">
      <c r="A154" s="19" t="str">
        <f>'Model Comparator'!A14</f>
        <v>1.5</v>
      </c>
      <c r="G154" s="78" t="str">
        <f>IF($AB154="",IF('Model Comparator'!G14="","",'Model Comparator'!G14),IF(INDEX('Old Model Comparator'!$G:$G,$AB154)="","",INDEX('Old Model Comparator'!$G:$G,$AB154)))</f>
        <v/>
      </c>
      <c r="H154" s="78" t="str">
        <f>IF($AB154="",IF('Model Comparator'!H14="","",'Model Comparator'!H14),IF(INDEX('Old Model Comparator'!$H:$H,$AB154)="","",INDEX('Old Model Comparator'!$H:$H,$AB154)))</f>
        <v/>
      </c>
      <c r="I154" s="78" t="str">
        <f>IF($AB154="",IF('Model Comparator'!I14="","",'Model Comparator'!I14),IF(INDEX('Old Model Comparator'!$I:$I,$AB154)="","",INDEX('Old Model Comparator'!$I:$I,$AB154)))</f>
        <v/>
      </c>
      <c r="J154" s="78" t="str">
        <f>IF($AB154="",IF('Model Comparator'!J14="","",'Model Comparator'!J14),IF(INDEX('Old Model Comparator'!$J:$J,$AB154)="","",INDEX('Old Model Comparator'!$J:$J,$AB154)))</f>
        <v/>
      </c>
      <c r="K154" s="78" t="str">
        <f>IF($AB154="",IF('Model Comparator'!K14="","",'Model Comparator'!K14),IF(INDEX('Old Model Comparator'!$K:$K,$AB154)="","",INDEX('Old Model Comparator'!$K:$K,$AB154)))</f>
        <v/>
      </c>
      <c r="L154" s="78" t="str">
        <f>IF($AB154="",IF('Model Comparator'!L14="","",'Model Comparator'!L14),IF(INDEX('Old Model Comparator'!$L:$L,$AB154)="","",INDEX('Old Model Comparator'!$L:$L,$AB154)))</f>
        <v/>
      </c>
      <c r="M154" s="78" t="str">
        <f>IF($AB154="",IF('Model Comparator'!M14="","",'Model Comparator'!M14),IF(INDEX('Old Model Comparator'!$M:$M,$AB154)="","",INDEX('Old Model Comparator'!$M:$M,$AB154)))</f>
        <v/>
      </c>
      <c r="N154" s="78" t="str">
        <f>IF($AB154="",IF('Model Comparator'!N14="","",'Model Comparator'!N14),IF(INDEX('Old Model Comparator'!$N:$N,$AB154)="","",INDEX('Old Model Comparator'!$N:$N,$AB154)))</f>
        <v/>
      </c>
      <c r="AB154" s="79" t="str">
        <f>IFERROR(MATCH($A154,'Old Model Comparator'!$A:$A,0),"")</f>
        <v/>
      </c>
      <c r="AC154" s="79" t="str">
        <f t="shared" si="3"/>
        <v>1.5</v>
      </c>
    </row>
    <row r="155" spans="1:29" x14ac:dyDescent="0.3">
      <c r="A155" s="19" t="str">
        <f>'Model Comparator'!A15</f>
        <v>2.1</v>
      </c>
      <c r="G155" s="78" t="str">
        <f>IF($AB155="",IF('Model Comparator'!G15="","",'Model Comparator'!G15),IF(INDEX('Old Model Comparator'!$G:$G,$AB155)="","",INDEX('Old Model Comparator'!$G:$G,$AB155)))</f>
        <v/>
      </c>
      <c r="H155" s="78" t="str">
        <f>IF($AB155="",IF('Model Comparator'!H15="","",'Model Comparator'!H15),IF(INDEX('Old Model Comparator'!$H:$H,$AB155)="","",INDEX('Old Model Comparator'!$H:$H,$AB155)))</f>
        <v/>
      </c>
      <c r="I155" s="78" t="str">
        <f>IF($AB155="",IF('Model Comparator'!I15="","",'Model Comparator'!I15),IF(INDEX('Old Model Comparator'!$I:$I,$AB155)="","",INDEX('Old Model Comparator'!$I:$I,$AB155)))</f>
        <v/>
      </c>
      <c r="J155" s="78" t="str">
        <f>IF($AB155="",IF('Model Comparator'!J15="","",'Model Comparator'!J15),IF(INDEX('Old Model Comparator'!$J:$J,$AB155)="","",INDEX('Old Model Comparator'!$J:$J,$AB155)))</f>
        <v/>
      </c>
      <c r="K155" s="78" t="str">
        <f>IF($AB155="",IF('Model Comparator'!K15="","",'Model Comparator'!K15),IF(INDEX('Old Model Comparator'!$K:$K,$AB155)="","",INDEX('Old Model Comparator'!$K:$K,$AB155)))</f>
        <v/>
      </c>
      <c r="L155" s="78" t="str">
        <f>IF($AB155="",IF('Model Comparator'!L15="","",'Model Comparator'!L15),IF(INDEX('Old Model Comparator'!$L:$L,$AB155)="","",INDEX('Old Model Comparator'!$L:$L,$AB155)))</f>
        <v/>
      </c>
      <c r="M155" s="78" t="str">
        <f>IF($AB155="",IF('Model Comparator'!M15="","",'Model Comparator'!M15),IF(INDEX('Old Model Comparator'!$M:$M,$AB155)="","",INDEX('Old Model Comparator'!$M:$M,$AB155)))</f>
        <v/>
      </c>
      <c r="N155" s="78" t="str">
        <f>IF($AB155="",IF('Model Comparator'!N15="","",'Model Comparator'!N15),IF(INDEX('Old Model Comparator'!$N:$N,$AB155)="","",INDEX('Old Model Comparator'!$N:$N,$AB155)))</f>
        <v/>
      </c>
      <c r="AB155" s="79" t="str">
        <f>IFERROR(MATCH($A155,'Old Model Comparator'!$A:$A,0),"")</f>
        <v/>
      </c>
      <c r="AC155" s="79" t="str">
        <f t="shared" si="3"/>
        <v>2.1</v>
      </c>
    </row>
    <row r="156" spans="1:29" x14ac:dyDescent="0.3">
      <c r="A156" s="19" t="str">
        <f>'Model Comparator'!A16</f>
        <v>2.2</v>
      </c>
      <c r="G156" s="78" t="str">
        <f>IF($AB156="",IF('Model Comparator'!G16="","",'Model Comparator'!G16),IF(INDEX('Old Model Comparator'!$G:$G,$AB156)="","",INDEX('Old Model Comparator'!$G:$G,$AB156)))</f>
        <v/>
      </c>
      <c r="H156" s="78" t="str">
        <f>IF($AB156="",IF('Model Comparator'!H16="","",'Model Comparator'!H16),IF(INDEX('Old Model Comparator'!$H:$H,$AB156)="","",INDEX('Old Model Comparator'!$H:$H,$AB156)))</f>
        <v/>
      </c>
      <c r="I156" s="78" t="str">
        <f>IF($AB156="",IF('Model Comparator'!I16="","",'Model Comparator'!I16),IF(INDEX('Old Model Comparator'!$I:$I,$AB156)="","",INDEX('Old Model Comparator'!$I:$I,$AB156)))</f>
        <v/>
      </c>
      <c r="J156" s="78" t="str">
        <f>IF($AB156="",IF('Model Comparator'!J16="","",'Model Comparator'!J16),IF(INDEX('Old Model Comparator'!$J:$J,$AB156)="","",INDEX('Old Model Comparator'!$J:$J,$AB156)))</f>
        <v/>
      </c>
      <c r="K156" s="78" t="str">
        <f>IF($AB156="",IF('Model Comparator'!K16="","",'Model Comparator'!K16),IF(INDEX('Old Model Comparator'!$K:$K,$AB156)="","",INDEX('Old Model Comparator'!$K:$K,$AB156)))</f>
        <v/>
      </c>
      <c r="L156" s="78" t="str">
        <f>IF($AB156="",IF('Model Comparator'!L16="","",'Model Comparator'!L16),IF(INDEX('Old Model Comparator'!$L:$L,$AB156)="","",INDEX('Old Model Comparator'!$L:$L,$AB156)))</f>
        <v/>
      </c>
      <c r="M156" s="78" t="str">
        <f>IF($AB156="",IF('Model Comparator'!M16="","",'Model Comparator'!M16),IF(INDEX('Old Model Comparator'!$M:$M,$AB156)="","",INDEX('Old Model Comparator'!$M:$M,$AB156)))</f>
        <v/>
      </c>
      <c r="N156" s="78" t="str">
        <f>IF($AB156="",IF('Model Comparator'!N16="","",'Model Comparator'!N16),IF(INDEX('Old Model Comparator'!$N:$N,$AB156)="","",INDEX('Old Model Comparator'!$N:$N,$AB156)))</f>
        <v/>
      </c>
      <c r="AB156" s="79" t="str">
        <f>IFERROR(MATCH($A156,'Old Model Comparator'!$A:$A,0),"")</f>
        <v/>
      </c>
      <c r="AC156" s="79" t="str">
        <f t="shared" si="3"/>
        <v>2.2</v>
      </c>
    </row>
    <row r="157" spans="1:29" x14ac:dyDescent="0.3">
      <c r="A157" s="19" t="str">
        <f>'Model Comparator'!A17</f>
        <v>2.3</v>
      </c>
      <c r="G157" s="78" t="str">
        <f>IF($AB157="",IF('Model Comparator'!G17="","",'Model Comparator'!G17),IF(INDEX('Old Model Comparator'!$G:$G,$AB157)="","",INDEX('Old Model Comparator'!$G:$G,$AB157)))</f>
        <v/>
      </c>
      <c r="H157" s="78" t="str">
        <f>IF($AB157="",IF('Model Comparator'!H17="","",'Model Comparator'!H17),IF(INDEX('Old Model Comparator'!$H:$H,$AB157)="","",INDEX('Old Model Comparator'!$H:$H,$AB157)))</f>
        <v/>
      </c>
      <c r="I157" s="78" t="str">
        <f>IF($AB157="",IF('Model Comparator'!I17="","",'Model Comparator'!I17),IF(INDEX('Old Model Comparator'!$I:$I,$AB157)="","",INDEX('Old Model Comparator'!$I:$I,$AB157)))</f>
        <v/>
      </c>
      <c r="J157" s="78" t="str">
        <f>IF($AB157="",IF('Model Comparator'!J17="","",'Model Comparator'!J17),IF(INDEX('Old Model Comparator'!$J:$J,$AB157)="","",INDEX('Old Model Comparator'!$J:$J,$AB157)))</f>
        <v/>
      </c>
      <c r="K157" s="78" t="str">
        <f>IF($AB157="",IF('Model Comparator'!K17="","",'Model Comparator'!K17),IF(INDEX('Old Model Comparator'!$K:$K,$AB157)="","",INDEX('Old Model Comparator'!$K:$K,$AB157)))</f>
        <v/>
      </c>
      <c r="L157" s="78" t="str">
        <f>IF($AB157="",IF('Model Comparator'!L17="","",'Model Comparator'!L17),IF(INDEX('Old Model Comparator'!$L:$L,$AB157)="","",INDEX('Old Model Comparator'!$L:$L,$AB157)))</f>
        <v/>
      </c>
      <c r="M157" s="78" t="str">
        <f>IF($AB157="",IF('Model Comparator'!M17="","",'Model Comparator'!M17),IF(INDEX('Old Model Comparator'!$M:$M,$AB157)="","",INDEX('Old Model Comparator'!$M:$M,$AB157)))</f>
        <v/>
      </c>
      <c r="N157" s="78" t="str">
        <f>IF($AB157="",IF('Model Comparator'!N17="","",'Model Comparator'!N17),IF(INDEX('Old Model Comparator'!$N:$N,$AB157)="","",INDEX('Old Model Comparator'!$N:$N,$AB157)))</f>
        <v/>
      </c>
      <c r="AB157" s="79" t="str">
        <f>IFERROR(MATCH($A157,'Old Model Comparator'!$A:$A,0),"")</f>
        <v/>
      </c>
      <c r="AC157" s="79" t="str">
        <f t="shared" si="3"/>
        <v>2.3</v>
      </c>
    </row>
    <row r="158" spans="1:29" x14ac:dyDescent="0.3">
      <c r="A158" s="19" t="str">
        <f>'Model Comparator'!A18</f>
        <v>2.4</v>
      </c>
      <c r="G158" s="78" t="str">
        <f>IF($AB158="",IF('Model Comparator'!G18="","",'Model Comparator'!G18),IF(INDEX('Old Model Comparator'!$G:$G,$AB158)="","",INDEX('Old Model Comparator'!$G:$G,$AB158)))</f>
        <v/>
      </c>
      <c r="H158" s="78" t="str">
        <f>IF($AB158="",IF('Model Comparator'!H18="","",'Model Comparator'!H18),IF(INDEX('Old Model Comparator'!$H:$H,$AB158)="","",INDEX('Old Model Comparator'!$H:$H,$AB158)))</f>
        <v/>
      </c>
      <c r="I158" s="78" t="str">
        <f>IF($AB158="",IF('Model Comparator'!I18="","",'Model Comparator'!I18),IF(INDEX('Old Model Comparator'!$I:$I,$AB158)="","",INDEX('Old Model Comparator'!$I:$I,$AB158)))</f>
        <v/>
      </c>
      <c r="J158" s="78" t="str">
        <f>IF($AB158="",IF('Model Comparator'!J18="","",'Model Comparator'!J18),IF(INDEX('Old Model Comparator'!$J:$J,$AB158)="","",INDEX('Old Model Comparator'!$J:$J,$AB158)))</f>
        <v/>
      </c>
      <c r="K158" s="78" t="str">
        <f>IF($AB158="",IF('Model Comparator'!K18="","",'Model Comparator'!K18),IF(INDEX('Old Model Comparator'!$K:$K,$AB158)="","",INDEX('Old Model Comparator'!$K:$K,$AB158)))</f>
        <v/>
      </c>
      <c r="L158" s="78" t="str">
        <f>IF($AB158="",IF('Model Comparator'!L18="","",'Model Comparator'!L18),IF(INDEX('Old Model Comparator'!$L:$L,$AB158)="","",INDEX('Old Model Comparator'!$L:$L,$AB158)))</f>
        <v/>
      </c>
      <c r="M158" s="78" t="str">
        <f>IF($AB158="",IF('Model Comparator'!M18="","",'Model Comparator'!M18),IF(INDEX('Old Model Comparator'!$M:$M,$AB158)="","",INDEX('Old Model Comparator'!$M:$M,$AB158)))</f>
        <v/>
      </c>
      <c r="N158" s="78" t="str">
        <f>IF($AB158="",IF('Model Comparator'!N18="","",'Model Comparator'!N18),IF(INDEX('Old Model Comparator'!$N:$N,$AB158)="","",INDEX('Old Model Comparator'!$N:$N,$AB158)))</f>
        <v/>
      </c>
      <c r="AB158" s="79" t="str">
        <f>IFERROR(MATCH($A158,'Old Model Comparator'!$A:$A,0),"")</f>
        <v/>
      </c>
      <c r="AC158" s="79" t="str">
        <f t="shared" si="3"/>
        <v>2.4</v>
      </c>
    </row>
    <row r="159" spans="1:29" x14ac:dyDescent="0.3">
      <c r="A159" s="19" t="str">
        <f>'Model Comparator'!A19</f>
        <v>2.5</v>
      </c>
      <c r="G159" s="78" t="str">
        <f>IF($AB159="",IF('Model Comparator'!G19="","",'Model Comparator'!G19),IF(INDEX('Old Model Comparator'!$G:$G,$AB159)="","",INDEX('Old Model Comparator'!$G:$G,$AB159)))</f>
        <v/>
      </c>
      <c r="H159" s="78" t="str">
        <f>IF($AB159="",IF('Model Comparator'!H19="","",'Model Comparator'!H19),IF(INDEX('Old Model Comparator'!$H:$H,$AB159)="","",INDEX('Old Model Comparator'!$H:$H,$AB159)))</f>
        <v/>
      </c>
      <c r="I159" s="78" t="str">
        <f>IF($AB159="",IF('Model Comparator'!I19="","",'Model Comparator'!I19),IF(INDEX('Old Model Comparator'!$I:$I,$AB159)="","",INDEX('Old Model Comparator'!$I:$I,$AB159)))</f>
        <v/>
      </c>
      <c r="J159" s="78" t="str">
        <f>IF($AB159="",IF('Model Comparator'!J19="","",'Model Comparator'!J19),IF(INDEX('Old Model Comparator'!$J:$J,$AB159)="","",INDEX('Old Model Comparator'!$J:$J,$AB159)))</f>
        <v/>
      </c>
      <c r="K159" s="78" t="str">
        <f>IF($AB159="",IF('Model Comparator'!K19="","",'Model Comparator'!K19),IF(INDEX('Old Model Comparator'!$K:$K,$AB159)="","",INDEX('Old Model Comparator'!$K:$K,$AB159)))</f>
        <v/>
      </c>
      <c r="L159" s="78" t="str">
        <f>IF($AB159="",IF('Model Comparator'!L19="","",'Model Comparator'!L19),IF(INDEX('Old Model Comparator'!$L:$L,$AB159)="","",INDEX('Old Model Comparator'!$L:$L,$AB159)))</f>
        <v/>
      </c>
      <c r="M159" s="78" t="str">
        <f>IF($AB159="",IF('Model Comparator'!M19="","",'Model Comparator'!M19),IF(INDEX('Old Model Comparator'!$M:$M,$AB159)="","",INDEX('Old Model Comparator'!$M:$M,$AB159)))</f>
        <v/>
      </c>
      <c r="N159" s="78" t="str">
        <f>IF($AB159="",IF('Model Comparator'!N19="","",'Model Comparator'!N19),IF(INDEX('Old Model Comparator'!$N:$N,$AB159)="","",INDEX('Old Model Comparator'!$N:$N,$AB159)))</f>
        <v/>
      </c>
      <c r="AB159" s="79" t="str">
        <f>IFERROR(MATCH($A159,'Old Model Comparator'!$A:$A,0),"")</f>
        <v/>
      </c>
      <c r="AC159" s="79" t="str">
        <f t="shared" si="3"/>
        <v>2.5</v>
      </c>
    </row>
    <row r="160" spans="1:29" x14ac:dyDescent="0.3">
      <c r="A160" s="19" t="str">
        <f>'Model Comparator'!A20</f>
        <v>2.6</v>
      </c>
      <c r="G160" s="78" t="str">
        <f>IF($AB160="",IF('Model Comparator'!G20="","",'Model Comparator'!G20),IF(INDEX('Old Model Comparator'!$G:$G,$AB160)="","",INDEX('Old Model Comparator'!$G:$G,$AB160)))</f>
        <v/>
      </c>
      <c r="H160" s="78" t="str">
        <f>IF($AB160="",IF('Model Comparator'!H20="","",'Model Comparator'!H20),IF(INDEX('Old Model Comparator'!$H:$H,$AB160)="","",INDEX('Old Model Comparator'!$H:$H,$AB160)))</f>
        <v/>
      </c>
      <c r="I160" s="78" t="str">
        <f>IF($AB160="",IF('Model Comparator'!I20="","",'Model Comparator'!I20),IF(INDEX('Old Model Comparator'!$I:$I,$AB160)="","",INDEX('Old Model Comparator'!$I:$I,$AB160)))</f>
        <v/>
      </c>
      <c r="J160" s="78" t="str">
        <f>IF($AB160="",IF('Model Comparator'!J20="","",'Model Comparator'!J20),IF(INDEX('Old Model Comparator'!$J:$J,$AB160)="","",INDEX('Old Model Comparator'!$J:$J,$AB160)))</f>
        <v/>
      </c>
      <c r="K160" s="78" t="str">
        <f>IF($AB160="",IF('Model Comparator'!K20="","",'Model Comparator'!K20),IF(INDEX('Old Model Comparator'!$K:$K,$AB160)="","",INDEX('Old Model Comparator'!$K:$K,$AB160)))</f>
        <v/>
      </c>
      <c r="L160" s="78" t="str">
        <f>IF($AB160="",IF('Model Comparator'!L20="","",'Model Comparator'!L20),IF(INDEX('Old Model Comparator'!$L:$L,$AB160)="","",INDEX('Old Model Comparator'!$L:$L,$AB160)))</f>
        <v/>
      </c>
      <c r="M160" s="78" t="str">
        <f>IF($AB160="",IF('Model Comparator'!M20="","",'Model Comparator'!M20),IF(INDEX('Old Model Comparator'!$M:$M,$AB160)="","",INDEX('Old Model Comparator'!$M:$M,$AB160)))</f>
        <v/>
      </c>
      <c r="N160" s="78" t="str">
        <f>IF($AB160="",IF('Model Comparator'!N20="","",'Model Comparator'!N20),IF(INDEX('Old Model Comparator'!$N:$N,$AB160)="","",INDEX('Old Model Comparator'!$N:$N,$AB160)))</f>
        <v/>
      </c>
      <c r="AB160" s="79" t="str">
        <f>IFERROR(MATCH($A160,'Old Model Comparator'!$A:$A,0),"")</f>
        <v/>
      </c>
      <c r="AC160" s="79" t="str">
        <f t="shared" si="3"/>
        <v>2.6</v>
      </c>
    </row>
    <row r="161" spans="1:29" x14ac:dyDescent="0.3">
      <c r="A161" s="19" t="str">
        <f>'Model Comparator'!A21</f>
        <v>2.7</v>
      </c>
      <c r="G161" s="78" t="str">
        <f>IF($AB161="",IF('Model Comparator'!G21="","",'Model Comparator'!G21),IF(INDEX('Old Model Comparator'!$G:$G,$AB161)="","",INDEX('Old Model Comparator'!$G:$G,$AB161)))</f>
        <v/>
      </c>
      <c r="H161" s="78" t="str">
        <f>IF($AB161="",IF('Model Comparator'!H21="","",'Model Comparator'!H21),IF(INDEX('Old Model Comparator'!$H:$H,$AB161)="","",INDEX('Old Model Comparator'!$H:$H,$AB161)))</f>
        <v/>
      </c>
      <c r="I161" s="78" t="str">
        <f>IF($AB161="",IF('Model Comparator'!I21="","",'Model Comparator'!I21),IF(INDEX('Old Model Comparator'!$I:$I,$AB161)="","",INDEX('Old Model Comparator'!$I:$I,$AB161)))</f>
        <v/>
      </c>
      <c r="J161" s="78" t="str">
        <f>IF($AB161="",IF('Model Comparator'!J21="","",'Model Comparator'!J21),IF(INDEX('Old Model Comparator'!$J:$J,$AB161)="","",INDEX('Old Model Comparator'!$J:$J,$AB161)))</f>
        <v/>
      </c>
      <c r="K161" s="78" t="str">
        <f>IF($AB161="",IF('Model Comparator'!K21="","",'Model Comparator'!K21),IF(INDEX('Old Model Comparator'!$K:$K,$AB161)="","",INDEX('Old Model Comparator'!$K:$K,$AB161)))</f>
        <v/>
      </c>
      <c r="L161" s="78" t="str">
        <f>IF($AB161="",IF('Model Comparator'!L21="","",'Model Comparator'!L21),IF(INDEX('Old Model Comparator'!$L:$L,$AB161)="","",INDEX('Old Model Comparator'!$L:$L,$AB161)))</f>
        <v/>
      </c>
      <c r="M161" s="78" t="str">
        <f>IF($AB161="",IF('Model Comparator'!M21="","",'Model Comparator'!M21),IF(INDEX('Old Model Comparator'!$M:$M,$AB161)="","",INDEX('Old Model Comparator'!$M:$M,$AB161)))</f>
        <v/>
      </c>
      <c r="N161" s="78" t="str">
        <f>IF($AB161="",IF('Model Comparator'!N21="","",'Model Comparator'!N21),IF(INDEX('Old Model Comparator'!$N:$N,$AB161)="","",INDEX('Old Model Comparator'!$N:$N,$AB161)))</f>
        <v/>
      </c>
      <c r="AB161" s="79" t="str">
        <f>IFERROR(MATCH($A161,'Old Model Comparator'!$A:$A,0),"")</f>
        <v/>
      </c>
      <c r="AC161" s="79" t="str">
        <f t="shared" si="3"/>
        <v>2.7</v>
      </c>
    </row>
    <row r="162" spans="1:29" x14ac:dyDescent="0.3">
      <c r="A162" s="19" t="str">
        <f>'Model Comparator'!A22</f>
        <v>3.1</v>
      </c>
      <c r="G162" s="78" t="str">
        <f>IF($AB162="",IF('Model Comparator'!G22="","",'Model Comparator'!G22),IF(INDEX('Old Model Comparator'!$G:$G,$AB162)="","",INDEX('Old Model Comparator'!$G:$G,$AB162)))</f>
        <v/>
      </c>
      <c r="H162" s="78" t="str">
        <f>IF($AB162="",IF('Model Comparator'!H22="","",'Model Comparator'!H22),IF(INDEX('Old Model Comparator'!$H:$H,$AB162)="","",INDEX('Old Model Comparator'!$H:$H,$AB162)))</f>
        <v/>
      </c>
      <c r="I162" s="78" t="str">
        <f>IF($AB162="",IF('Model Comparator'!I22="","",'Model Comparator'!I22),IF(INDEX('Old Model Comparator'!$I:$I,$AB162)="","",INDEX('Old Model Comparator'!$I:$I,$AB162)))</f>
        <v/>
      </c>
      <c r="J162" s="78" t="str">
        <f>IF($AB162="",IF('Model Comparator'!J22="","",'Model Comparator'!J22),IF(INDEX('Old Model Comparator'!$J:$J,$AB162)="","",INDEX('Old Model Comparator'!$J:$J,$AB162)))</f>
        <v/>
      </c>
      <c r="K162" s="78" t="str">
        <f>IF($AB162="",IF('Model Comparator'!K22="","",'Model Comparator'!K22),IF(INDEX('Old Model Comparator'!$K:$K,$AB162)="","",INDEX('Old Model Comparator'!$K:$K,$AB162)))</f>
        <v/>
      </c>
      <c r="L162" s="78" t="str">
        <f>IF($AB162="",IF('Model Comparator'!L22="","",'Model Comparator'!L22),IF(INDEX('Old Model Comparator'!$L:$L,$AB162)="","",INDEX('Old Model Comparator'!$L:$L,$AB162)))</f>
        <v/>
      </c>
      <c r="M162" s="78" t="str">
        <f>IF($AB162="",IF('Model Comparator'!M22="","",'Model Comparator'!M22),IF(INDEX('Old Model Comparator'!$M:$M,$AB162)="","",INDEX('Old Model Comparator'!$M:$M,$AB162)))</f>
        <v/>
      </c>
      <c r="N162" s="78" t="str">
        <f>IF($AB162="",IF('Model Comparator'!N22="","",'Model Comparator'!N22),IF(INDEX('Old Model Comparator'!$N:$N,$AB162)="","",INDEX('Old Model Comparator'!$N:$N,$AB162)))</f>
        <v/>
      </c>
      <c r="AB162" s="79" t="str">
        <f>IFERROR(MATCH($A162,'Old Model Comparator'!$A:$A,0),"")</f>
        <v/>
      </c>
      <c r="AC162" s="79" t="str">
        <f t="shared" si="3"/>
        <v>3.1</v>
      </c>
    </row>
    <row r="163" spans="1:29" x14ac:dyDescent="0.3">
      <c r="A163" s="19" t="str">
        <f>'Model Comparator'!A23</f>
        <v>3.2</v>
      </c>
      <c r="G163" s="78" t="str">
        <f>IF($AB163="",IF('Model Comparator'!G23="","",'Model Comparator'!G23),IF(INDEX('Old Model Comparator'!$G:$G,$AB163)="","",INDEX('Old Model Comparator'!$G:$G,$AB163)))</f>
        <v/>
      </c>
      <c r="H163" s="78" t="str">
        <f>IF($AB163="",IF('Model Comparator'!H23="","",'Model Comparator'!H23),IF(INDEX('Old Model Comparator'!$H:$H,$AB163)="","",INDEX('Old Model Comparator'!$H:$H,$AB163)))</f>
        <v/>
      </c>
      <c r="I163" s="78" t="str">
        <f>IF($AB163="",IF('Model Comparator'!I23="","",'Model Comparator'!I23),IF(INDEX('Old Model Comparator'!$I:$I,$AB163)="","",INDEX('Old Model Comparator'!$I:$I,$AB163)))</f>
        <v/>
      </c>
      <c r="J163" s="78" t="str">
        <f>IF($AB163="",IF('Model Comparator'!J23="","",'Model Comparator'!J23),IF(INDEX('Old Model Comparator'!$J:$J,$AB163)="","",INDEX('Old Model Comparator'!$J:$J,$AB163)))</f>
        <v/>
      </c>
      <c r="K163" s="78" t="str">
        <f>IF($AB163="",IF('Model Comparator'!K23="","",'Model Comparator'!K23),IF(INDEX('Old Model Comparator'!$K:$K,$AB163)="","",INDEX('Old Model Comparator'!$K:$K,$AB163)))</f>
        <v/>
      </c>
      <c r="L163" s="78" t="str">
        <f>IF($AB163="",IF('Model Comparator'!L23="","",'Model Comparator'!L23),IF(INDEX('Old Model Comparator'!$L:$L,$AB163)="","",INDEX('Old Model Comparator'!$L:$L,$AB163)))</f>
        <v/>
      </c>
      <c r="M163" s="78" t="str">
        <f>IF($AB163="",IF('Model Comparator'!M23="","",'Model Comparator'!M23),IF(INDEX('Old Model Comparator'!$M:$M,$AB163)="","",INDEX('Old Model Comparator'!$M:$M,$AB163)))</f>
        <v/>
      </c>
      <c r="N163" s="78" t="str">
        <f>IF($AB163="",IF('Model Comparator'!N23="","",'Model Comparator'!N23),IF(INDEX('Old Model Comparator'!$N:$N,$AB163)="","",INDEX('Old Model Comparator'!$N:$N,$AB163)))</f>
        <v/>
      </c>
      <c r="AB163" s="79" t="str">
        <f>IFERROR(MATCH($A163,'Old Model Comparator'!$A:$A,0),"")</f>
        <v/>
      </c>
      <c r="AC163" s="79" t="str">
        <f t="shared" si="3"/>
        <v>3.2</v>
      </c>
    </row>
    <row r="164" spans="1:29" x14ac:dyDescent="0.3">
      <c r="A164" s="19" t="str">
        <f>'Model Comparator'!A24</f>
        <v>3.3</v>
      </c>
      <c r="G164" s="78" t="str">
        <f>IF($AB164="",IF('Model Comparator'!G24="","",'Model Comparator'!G24),IF(INDEX('Old Model Comparator'!$G:$G,$AB164)="","",INDEX('Old Model Comparator'!$G:$G,$AB164)))</f>
        <v/>
      </c>
      <c r="H164" s="78" t="str">
        <f>IF($AB164="",IF('Model Comparator'!H24="","",'Model Comparator'!H24),IF(INDEX('Old Model Comparator'!$H:$H,$AB164)="","",INDEX('Old Model Comparator'!$H:$H,$AB164)))</f>
        <v/>
      </c>
      <c r="I164" s="78" t="str">
        <f>IF($AB164="",IF('Model Comparator'!I24="","",'Model Comparator'!I24),IF(INDEX('Old Model Comparator'!$I:$I,$AB164)="","",INDEX('Old Model Comparator'!$I:$I,$AB164)))</f>
        <v/>
      </c>
      <c r="J164" s="78" t="str">
        <f>IF($AB164="",IF('Model Comparator'!J24="","",'Model Comparator'!J24),IF(INDEX('Old Model Comparator'!$J:$J,$AB164)="","",INDEX('Old Model Comparator'!$J:$J,$AB164)))</f>
        <v/>
      </c>
      <c r="K164" s="78" t="str">
        <f>IF($AB164="",IF('Model Comparator'!K24="","",'Model Comparator'!K24),IF(INDEX('Old Model Comparator'!$K:$K,$AB164)="","",INDEX('Old Model Comparator'!$K:$K,$AB164)))</f>
        <v/>
      </c>
      <c r="L164" s="78" t="str">
        <f>IF($AB164="",IF('Model Comparator'!L24="","",'Model Comparator'!L24),IF(INDEX('Old Model Comparator'!$L:$L,$AB164)="","",INDEX('Old Model Comparator'!$L:$L,$AB164)))</f>
        <v/>
      </c>
      <c r="M164" s="78" t="str">
        <f>IF($AB164="",IF('Model Comparator'!M24="","",'Model Comparator'!M24),IF(INDEX('Old Model Comparator'!$M:$M,$AB164)="","",INDEX('Old Model Comparator'!$M:$M,$AB164)))</f>
        <v/>
      </c>
      <c r="N164" s="78" t="str">
        <f>IF($AB164="",IF('Model Comparator'!N24="","",'Model Comparator'!N24),IF(INDEX('Old Model Comparator'!$N:$N,$AB164)="","",INDEX('Old Model Comparator'!$N:$N,$AB164)))</f>
        <v/>
      </c>
      <c r="AB164" s="79" t="str">
        <f>IFERROR(MATCH($A164,'Old Model Comparator'!$A:$A,0),"")</f>
        <v/>
      </c>
      <c r="AC164" s="79" t="str">
        <f t="shared" si="3"/>
        <v>3.3</v>
      </c>
    </row>
    <row r="165" spans="1:29" x14ac:dyDescent="0.3">
      <c r="A165" s="19" t="str">
        <f>'Model Comparator'!A25</f>
        <v>3.4</v>
      </c>
      <c r="G165" s="78" t="str">
        <f>IF($AB165="",IF('Model Comparator'!G25="","",'Model Comparator'!G25),IF(INDEX('Old Model Comparator'!$G:$G,$AB165)="","",INDEX('Old Model Comparator'!$G:$G,$AB165)))</f>
        <v/>
      </c>
      <c r="H165" s="78" t="str">
        <f>IF($AB165="",IF('Model Comparator'!H25="","",'Model Comparator'!H25),IF(INDEX('Old Model Comparator'!$H:$H,$AB165)="","",INDEX('Old Model Comparator'!$H:$H,$AB165)))</f>
        <v/>
      </c>
      <c r="I165" s="78" t="str">
        <f>IF($AB165="",IF('Model Comparator'!I25="","",'Model Comparator'!I25),IF(INDEX('Old Model Comparator'!$I:$I,$AB165)="","",INDEX('Old Model Comparator'!$I:$I,$AB165)))</f>
        <v/>
      </c>
      <c r="J165" s="78" t="str">
        <f>IF($AB165="",IF('Model Comparator'!J25="","",'Model Comparator'!J25),IF(INDEX('Old Model Comparator'!$J:$J,$AB165)="","",INDEX('Old Model Comparator'!$J:$J,$AB165)))</f>
        <v/>
      </c>
      <c r="K165" s="78" t="str">
        <f>IF($AB165="",IF('Model Comparator'!K25="","",'Model Comparator'!K25),IF(INDEX('Old Model Comparator'!$K:$K,$AB165)="","",INDEX('Old Model Comparator'!$K:$K,$AB165)))</f>
        <v/>
      </c>
      <c r="L165" s="78" t="str">
        <f>IF($AB165="",IF('Model Comparator'!L25="","",'Model Comparator'!L25),IF(INDEX('Old Model Comparator'!$L:$L,$AB165)="","",INDEX('Old Model Comparator'!$L:$L,$AB165)))</f>
        <v/>
      </c>
      <c r="M165" s="78" t="str">
        <f>IF($AB165="",IF('Model Comparator'!M25="","",'Model Comparator'!M25),IF(INDEX('Old Model Comparator'!$M:$M,$AB165)="","",INDEX('Old Model Comparator'!$M:$M,$AB165)))</f>
        <v/>
      </c>
      <c r="N165" s="78" t="str">
        <f>IF($AB165="",IF('Model Comparator'!N25="","",'Model Comparator'!N25),IF(INDEX('Old Model Comparator'!$N:$N,$AB165)="","",INDEX('Old Model Comparator'!$N:$N,$AB165)))</f>
        <v/>
      </c>
      <c r="AB165" s="79" t="str">
        <f>IFERROR(MATCH($A165,'Old Model Comparator'!$A:$A,0),"")</f>
        <v/>
      </c>
      <c r="AC165" s="79" t="str">
        <f t="shared" si="3"/>
        <v>3.4</v>
      </c>
    </row>
    <row r="166" spans="1:29" x14ac:dyDescent="0.3">
      <c r="A166" s="19" t="str">
        <f>'Model Comparator'!A26</f>
        <v>3.5</v>
      </c>
      <c r="G166" s="78" t="str">
        <f>IF($AB166="",IF('Model Comparator'!G26="","",'Model Comparator'!G26),IF(INDEX('Old Model Comparator'!$G:$G,$AB166)="","",INDEX('Old Model Comparator'!$G:$G,$AB166)))</f>
        <v/>
      </c>
      <c r="H166" s="78" t="str">
        <f>IF($AB166="",IF('Model Comparator'!H26="","",'Model Comparator'!H26),IF(INDEX('Old Model Comparator'!$H:$H,$AB166)="","",INDEX('Old Model Comparator'!$H:$H,$AB166)))</f>
        <v/>
      </c>
      <c r="I166" s="78" t="str">
        <f>IF($AB166="",IF('Model Comparator'!I26="","",'Model Comparator'!I26),IF(INDEX('Old Model Comparator'!$I:$I,$AB166)="","",INDEX('Old Model Comparator'!$I:$I,$AB166)))</f>
        <v/>
      </c>
      <c r="J166" s="78" t="str">
        <f>IF($AB166="",IF('Model Comparator'!J26="","",'Model Comparator'!J26),IF(INDEX('Old Model Comparator'!$J:$J,$AB166)="","",INDEX('Old Model Comparator'!$J:$J,$AB166)))</f>
        <v/>
      </c>
      <c r="K166" s="78" t="str">
        <f>IF($AB166="",IF('Model Comparator'!K26="","",'Model Comparator'!K26),IF(INDEX('Old Model Comparator'!$K:$K,$AB166)="","",INDEX('Old Model Comparator'!$K:$K,$AB166)))</f>
        <v/>
      </c>
      <c r="L166" s="78" t="str">
        <f>IF($AB166="",IF('Model Comparator'!L26="","",'Model Comparator'!L26),IF(INDEX('Old Model Comparator'!$L:$L,$AB166)="","",INDEX('Old Model Comparator'!$L:$L,$AB166)))</f>
        <v/>
      </c>
      <c r="M166" s="78" t="str">
        <f>IF($AB166="",IF('Model Comparator'!M26="","",'Model Comparator'!M26),IF(INDEX('Old Model Comparator'!$M:$M,$AB166)="","",INDEX('Old Model Comparator'!$M:$M,$AB166)))</f>
        <v/>
      </c>
      <c r="N166" s="78" t="str">
        <f>IF($AB166="",IF('Model Comparator'!N26="","",'Model Comparator'!N26),IF(INDEX('Old Model Comparator'!$N:$N,$AB166)="","",INDEX('Old Model Comparator'!$N:$N,$AB166)))</f>
        <v/>
      </c>
      <c r="AB166" s="79" t="str">
        <f>IFERROR(MATCH($A166,'Old Model Comparator'!$A:$A,0),"")</f>
        <v/>
      </c>
      <c r="AC166" s="79" t="str">
        <f t="shared" si="3"/>
        <v>3.5</v>
      </c>
    </row>
    <row r="167" spans="1:29" x14ac:dyDescent="0.3">
      <c r="A167" s="19" t="str">
        <f>'Model Comparator'!A27</f>
        <v>3.6</v>
      </c>
      <c r="G167" s="78" t="str">
        <f>IF($AB167="",IF('Model Comparator'!G27="","",'Model Comparator'!G27),IF(INDEX('Old Model Comparator'!$G:$G,$AB167)="","",INDEX('Old Model Comparator'!$G:$G,$AB167)))</f>
        <v/>
      </c>
      <c r="H167" s="78" t="str">
        <f>IF($AB167="",IF('Model Comparator'!H27="","",'Model Comparator'!H27),IF(INDEX('Old Model Comparator'!$H:$H,$AB167)="","",INDEX('Old Model Comparator'!$H:$H,$AB167)))</f>
        <v/>
      </c>
      <c r="I167" s="78" t="str">
        <f>IF($AB167="",IF('Model Comparator'!I27="","",'Model Comparator'!I27),IF(INDEX('Old Model Comparator'!$I:$I,$AB167)="","",INDEX('Old Model Comparator'!$I:$I,$AB167)))</f>
        <v/>
      </c>
      <c r="J167" s="78" t="str">
        <f>IF($AB167="",IF('Model Comparator'!J27="","",'Model Comparator'!J27),IF(INDEX('Old Model Comparator'!$J:$J,$AB167)="","",INDEX('Old Model Comparator'!$J:$J,$AB167)))</f>
        <v/>
      </c>
      <c r="K167" s="78" t="str">
        <f>IF($AB167="",IF('Model Comparator'!K27="","",'Model Comparator'!K27),IF(INDEX('Old Model Comparator'!$K:$K,$AB167)="","",INDEX('Old Model Comparator'!$K:$K,$AB167)))</f>
        <v/>
      </c>
      <c r="L167" s="78" t="str">
        <f>IF($AB167="",IF('Model Comparator'!L27="","",'Model Comparator'!L27),IF(INDEX('Old Model Comparator'!$L:$L,$AB167)="","",INDEX('Old Model Comparator'!$L:$L,$AB167)))</f>
        <v/>
      </c>
      <c r="M167" s="78" t="str">
        <f>IF($AB167="",IF('Model Comparator'!M27="","",'Model Comparator'!M27),IF(INDEX('Old Model Comparator'!$M:$M,$AB167)="","",INDEX('Old Model Comparator'!$M:$M,$AB167)))</f>
        <v/>
      </c>
      <c r="N167" s="78" t="str">
        <f>IF($AB167="",IF('Model Comparator'!N27="","",'Model Comparator'!N27),IF(INDEX('Old Model Comparator'!$N:$N,$AB167)="","",INDEX('Old Model Comparator'!$N:$N,$AB167)))</f>
        <v/>
      </c>
      <c r="AB167" s="79" t="str">
        <f>IFERROR(MATCH($A167,'Old Model Comparator'!$A:$A,0),"")</f>
        <v/>
      </c>
      <c r="AC167" s="79" t="str">
        <f t="shared" si="3"/>
        <v>3.6</v>
      </c>
    </row>
    <row r="168" spans="1:29" x14ac:dyDescent="0.3">
      <c r="A168" s="19" t="str">
        <f>'Model Comparator'!A28</f>
        <v>3.7</v>
      </c>
      <c r="G168" s="78" t="str">
        <f>IF($AB168="",IF('Model Comparator'!G28="","",'Model Comparator'!G28),IF(INDEX('Old Model Comparator'!$G:$G,$AB168)="","",INDEX('Old Model Comparator'!$G:$G,$AB168)))</f>
        <v/>
      </c>
      <c r="H168" s="78" t="str">
        <f>IF($AB168="",IF('Model Comparator'!H28="","",'Model Comparator'!H28),IF(INDEX('Old Model Comparator'!$H:$H,$AB168)="","",INDEX('Old Model Comparator'!$H:$H,$AB168)))</f>
        <v/>
      </c>
      <c r="I168" s="78" t="str">
        <f>IF($AB168="",IF('Model Comparator'!I28="","",'Model Comparator'!I28),IF(INDEX('Old Model Comparator'!$I:$I,$AB168)="","",INDEX('Old Model Comparator'!$I:$I,$AB168)))</f>
        <v/>
      </c>
      <c r="J168" s="78" t="str">
        <f>IF($AB168="",IF('Model Comparator'!J28="","",'Model Comparator'!J28),IF(INDEX('Old Model Comparator'!$J:$J,$AB168)="","",INDEX('Old Model Comparator'!$J:$J,$AB168)))</f>
        <v/>
      </c>
      <c r="K168" s="78" t="str">
        <f>IF($AB168="",IF('Model Comparator'!K28="","",'Model Comparator'!K28),IF(INDEX('Old Model Comparator'!$K:$K,$AB168)="","",INDEX('Old Model Comparator'!$K:$K,$AB168)))</f>
        <v/>
      </c>
      <c r="L168" s="78" t="str">
        <f>IF($AB168="",IF('Model Comparator'!L28="","",'Model Comparator'!L28),IF(INDEX('Old Model Comparator'!$L:$L,$AB168)="","",INDEX('Old Model Comparator'!$L:$L,$AB168)))</f>
        <v/>
      </c>
      <c r="M168" s="78" t="str">
        <f>IF($AB168="",IF('Model Comparator'!M28="","",'Model Comparator'!M28),IF(INDEX('Old Model Comparator'!$M:$M,$AB168)="","",INDEX('Old Model Comparator'!$M:$M,$AB168)))</f>
        <v/>
      </c>
      <c r="N168" s="78" t="str">
        <f>IF($AB168="",IF('Model Comparator'!N28="","",'Model Comparator'!N28),IF(INDEX('Old Model Comparator'!$N:$N,$AB168)="","",INDEX('Old Model Comparator'!$N:$N,$AB168)))</f>
        <v/>
      </c>
      <c r="AB168" s="79" t="str">
        <f>IFERROR(MATCH($A168,'Old Model Comparator'!$A:$A,0),"")</f>
        <v/>
      </c>
      <c r="AC168" s="79" t="str">
        <f t="shared" si="3"/>
        <v>3.7</v>
      </c>
    </row>
    <row r="169" spans="1:29" x14ac:dyDescent="0.3">
      <c r="A169" s="19" t="str">
        <f>'Model Comparator'!A29</f>
        <v>3.8</v>
      </c>
      <c r="G169" s="78" t="str">
        <f>IF($AB169="",IF('Model Comparator'!G29="","",'Model Comparator'!G29),IF(INDEX('Old Model Comparator'!$G:$G,$AB169)="","",INDEX('Old Model Comparator'!$G:$G,$AB169)))</f>
        <v/>
      </c>
      <c r="H169" s="78" t="str">
        <f>IF($AB169="",IF('Model Comparator'!H29="","",'Model Comparator'!H29),IF(INDEX('Old Model Comparator'!$H:$H,$AB169)="","",INDEX('Old Model Comparator'!$H:$H,$AB169)))</f>
        <v/>
      </c>
      <c r="I169" s="78" t="str">
        <f>IF($AB169="",IF('Model Comparator'!I29="","",'Model Comparator'!I29),IF(INDEX('Old Model Comparator'!$I:$I,$AB169)="","",INDEX('Old Model Comparator'!$I:$I,$AB169)))</f>
        <v/>
      </c>
      <c r="J169" s="78" t="str">
        <f>IF($AB169="",IF('Model Comparator'!J29="","",'Model Comparator'!J29),IF(INDEX('Old Model Comparator'!$J:$J,$AB169)="","",INDEX('Old Model Comparator'!$J:$J,$AB169)))</f>
        <v/>
      </c>
      <c r="K169" s="78" t="str">
        <f>IF($AB169="",IF('Model Comparator'!K29="","",'Model Comparator'!K29),IF(INDEX('Old Model Comparator'!$K:$K,$AB169)="","",INDEX('Old Model Comparator'!$K:$K,$AB169)))</f>
        <v/>
      </c>
      <c r="L169" s="78" t="str">
        <f>IF($AB169="",IF('Model Comparator'!L29="","",'Model Comparator'!L29),IF(INDEX('Old Model Comparator'!$L:$L,$AB169)="","",INDEX('Old Model Comparator'!$L:$L,$AB169)))</f>
        <v/>
      </c>
      <c r="M169" s="78" t="str">
        <f>IF($AB169="",IF('Model Comparator'!M29="","",'Model Comparator'!M29),IF(INDEX('Old Model Comparator'!$M:$M,$AB169)="","",INDEX('Old Model Comparator'!$M:$M,$AB169)))</f>
        <v/>
      </c>
      <c r="N169" s="78" t="str">
        <f>IF($AB169="",IF('Model Comparator'!N29="","",'Model Comparator'!N29),IF(INDEX('Old Model Comparator'!$N:$N,$AB169)="","",INDEX('Old Model Comparator'!$N:$N,$AB169)))</f>
        <v/>
      </c>
      <c r="AB169" s="79" t="str">
        <f>IFERROR(MATCH($A169,'Old Model Comparator'!$A:$A,0),"")</f>
        <v/>
      </c>
      <c r="AC169" s="79" t="str">
        <f t="shared" si="3"/>
        <v>3.8</v>
      </c>
    </row>
    <row r="170" spans="1:29" x14ac:dyDescent="0.3">
      <c r="A170" s="19" t="str">
        <f>'Model Comparator'!A30</f>
        <v>3.9</v>
      </c>
      <c r="G170" s="78" t="str">
        <f>IF($AB170="",IF('Model Comparator'!G30="","",'Model Comparator'!G30),IF(INDEX('Old Model Comparator'!$G:$G,$AB170)="","",INDEX('Old Model Comparator'!$G:$G,$AB170)))</f>
        <v/>
      </c>
      <c r="H170" s="78" t="str">
        <f>IF($AB170="",IF('Model Comparator'!H30="","",'Model Comparator'!H30),IF(INDEX('Old Model Comparator'!$H:$H,$AB170)="","",INDEX('Old Model Comparator'!$H:$H,$AB170)))</f>
        <v/>
      </c>
      <c r="I170" s="78" t="str">
        <f>IF($AB170="",IF('Model Comparator'!I30="","",'Model Comparator'!I30),IF(INDEX('Old Model Comparator'!$I:$I,$AB170)="","",INDEX('Old Model Comparator'!$I:$I,$AB170)))</f>
        <v/>
      </c>
      <c r="J170" s="78" t="str">
        <f>IF($AB170="",IF('Model Comparator'!J30="","",'Model Comparator'!J30),IF(INDEX('Old Model Comparator'!$J:$J,$AB170)="","",INDEX('Old Model Comparator'!$J:$J,$AB170)))</f>
        <v/>
      </c>
      <c r="K170" s="78" t="str">
        <f>IF($AB170="",IF('Model Comparator'!K30="","",'Model Comparator'!K30),IF(INDEX('Old Model Comparator'!$K:$K,$AB170)="","",INDEX('Old Model Comparator'!$K:$K,$AB170)))</f>
        <v/>
      </c>
      <c r="L170" s="78" t="str">
        <f>IF($AB170="",IF('Model Comparator'!L30="","",'Model Comparator'!L30),IF(INDEX('Old Model Comparator'!$L:$L,$AB170)="","",INDEX('Old Model Comparator'!$L:$L,$AB170)))</f>
        <v/>
      </c>
      <c r="M170" s="78" t="str">
        <f>IF($AB170="",IF('Model Comparator'!M30="","",'Model Comparator'!M30),IF(INDEX('Old Model Comparator'!$M:$M,$AB170)="","",INDEX('Old Model Comparator'!$M:$M,$AB170)))</f>
        <v/>
      </c>
      <c r="N170" s="78" t="str">
        <f>IF($AB170="",IF('Model Comparator'!N30="","",'Model Comparator'!N30),IF(INDEX('Old Model Comparator'!$N:$N,$AB170)="","",INDEX('Old Model Comparator'!$N:$N,$AB170)))</f>
        <v/>
      </c>
      <c r="AB170" s="79" t="str">
        <f>IFERROR(MATCH($A170,'Old Model Comparator'!$A:$A,0),"")</f>
        <v/>
      </c>
      <c r="AC170" s="79" t="str">
        <f t="shared" si="3"/>
        <v>3.9</v>
      </c>
    </row>
    <row r="171" spans="1:29" x14ac:dyDescent="0.3">
      <c r="A171" s="19" t="str">
        <f>'Model Comparator'!A31</f>
        <v>4.1</v>
      </c>
      <c r="G171" s="78" t="str">
        <f>IF($AB171="",IF('Model Comparator'!G31="","",'Model Comparator'!G31),IF(INDEX('Old Model Comparator'!$G:$G,$AB171)="","",INDEX('Old Model Comparator'!$G:$G,$AB171)))</f>
        <v/>
      </c>
      <c r="H171" s="78" t="str">
        <f>IF($AB171="",IF('Model Comparator'!H31="","",'Model Comparator'!H31),IF(INDEX('Old Model Comparator'!$H:$H,$AB171)="","",INDEX('Old Model Comparator'!$H:$H,$AB171)))</f>
        <v/>
      </c>
      <c r="I171" s="78" t="str">
        <f>IF($AB171="",IF('Model Comparator'!I31="","",'Model Comparator'!I31),IF(INDEX('Old Model Comparator'!$I:$I,$AB171)="","",INDEX('Old Model Comparator'!$I:$I,$AB171)))</f>
        <v/>
      </c>
      <c r="J171" s="78" t="str">
        <f>IF($AB171="",IF('Model Comparator'!J31="","",'Model Comparator'!J31),IF(INDEX('Old Model Comparator'!$J:$J,$AB171)="","",INDEX('Old Model Comparator'!$J:$J,$AB171)))</f>
        <v/>
      </c>
      <c r="K171" s="78" t="str">
        <f>IF($AB171="",IF('Model Comparator'!K31="","",'Model Comparator'!K31),IF(INDEX('Old Model Comparator'!$K:$K,$AB171)="","",INDEX('Old Model Comparator'!$K:$K,$AB171)))</f>
        <v/>
      </c>
      <c r="L171" s="78" t="str">
        <f>IF($AB171="",IF('Model Comparator'!L31="","",'Model Comparator'!L31),IF(INDEX('Old Model Comparator'!$L:$L,$AB171)="","",INDEX('Old Model Comparator'!$L:$L,$AB171)))</f>
        <v/>
      </c>
      <c r="M171" s="78" t="str">
        <f>IF($AB171="",IF('Model Comparator'!M31="","",'Model Comparator'!M31),IF(INDEX('Old Model Comparator'!$M:$M,$AB171)="","",INDEX('Old Model Comparator'!$M:$M,$AB171)))</f>
        <v/>
      </c>
      <c r="N171" s="78" t="str">
        <f>IF($AB171="",IF('Model Comparator'!N31="","",'Model Comparator'!N31),IF(INDEX('Old Model Comparator'!$N:$N,$AB171)="","",INDEX('Old Model Comparator'!$N:$N,$AB171)))</f>
        <v/>
      </c>
      <c r="AB171" s="79" t="str">
        <f>IFERROR(MATCH($A171,'Old Model Comparator'!$A:$A,0),"")</f>
        <v/>
      </c>
      <c r="AC171" s="79" t="str">
        <f t="shared" si="3"/>
        <v>4.1</v>
      </c>
    </row>
    <row r="172" spans="1:29" x14ac:dyDescent="0.3">
      <c r="A172" s="19" t="str">
        <f>'Model Comparator'!A32</f>
        <v>4.2</v>
      </c>
      <c r="G172" s="78" t="str">
        <f>IF($AB172="",IF('Model Comparator'!G32="","",'Model Comparator'!G32),IF(INDEX('Old Model Comparator'!$G:$G,$AB172)="","",INDEX('Old Model Comparator'!$G:$G,$AB172)))</f>
        <v/>
      </c>
      <c r="H172" s="78" t="str">
        <f>IF($AB172="",IF('Model Comparator'!H32="","",'Model Comparator'!H32),IF(INDEX('Old Model Comparator'!$H:$H,$AB172)="","",INDEX('Old Model Comparator'!$H:$H,$AB172)))</f>
        <v/>
      </c>
      <c r="I172" s="78" t="str">
        <f>IF($AB172="",IF('Model Comparator'!I32="","",'Model Comparator'!I32),IF(INDEX('Old Model Comparator'!$I:$I,$AB172)="","",INDEX('Old Model Comparator'!$I:$I,$AB172)))</f>
        <v/>
      </c>
      <c r="J172" s="78" t="str">
        <f>IF($AB172="",IF('Model Comparator'!J32="","",'Model Comparator'!J32),IF(INDEX('Old Model Comparator'!$J:$J,$AB172)="","",INDEX('Old Model Comparator'!$J:$J,$AB172)))</f>
        <v/>
      </c>
      <c r="K172" s="78" t="str">
        <f>IF($AB172="",IF('Model Comparator'!K32="","",'Model Comparator'!K32),IF(INDEX('Old Model Comparator'!$K:$K,$AB172)="","",INDEX('Old Model Comparator'!$K:$K,$AB172)))</f>
        <v/>
      </c>
      <c r="L172" s="78" t="str">
        <f>IF($AB172="",IF('Model Comparator'!L32="","",'Model Comparator'!L32),IF(INDEX('Old Model Comparator'!$L:$L,$AB172)="","",INDEX('Old Model Comparator'!$L:$L,$AB172)))</f>
        <v/>
      </c>
      <c r="M172" s="78" t="str">
        <f>IF($AB172="",IF('Model Comparator'!M32="","",'Model Comparator'!M32),IF(INDEX('Old Model Comparator'!$M:$M,$AB172)="","",INDEX('Old Model Comparator'!$M:$M,$AB172)))</f>
        <v/>
      </c>
      <c r="N172" s="78" t="str">
        <f>IF($AB172="",IF('Model Comparator'!N32="","",'Model Comparator'!N32),IF(INDEX('Old Model Comparator'!$N:$N,$AB172)="","",INDEX('Old Model Comparator'!$N:$N,$AB172)))</f>
        <v/>
      </c>
      <c r="AB172" s="79" t="str">
        <f>IFERROR(MATCH($A172,'Old Model Comparator'!$A:$A,0),"")</f>
        <v/>
      </c>
      <c r="AC172" s="79" t="str">
        <f t="shared" si="3"/>
        <v>4.2</v>
      </c>
    </row>
    <row r="173" spans="1:29" x14ac:dyDescent="0.3">
      <c r="A173" s="19" t="str">
        <f>'Model Comparator'!A33</f>
        <v>4.3</v>
      </c>
      <c r="G173" s="78" t="str">
        <f>IF($AB173="",IF('Model Comparator'!G33="","",'Model Comparator'!G33),IF(INDEX('Old Model Comparator'!$G:$G,$AB173)="","",INDEX('Old Model Comparator'!$G:$G,$AB173)))</f>
        <v/>
      </c>
      <c r="H173" s="78" t="str">
        <f>IF($AB173="",IF('Model Comparator'!H33="","",'Model Comparator'!H33),IF(INDEX('Old Model Comparator'!$H:$H,$AB173)="","",INDEX('Old Model Comparator'!$H:$H,$AB173)))</f>
        <v/>
      </c>
      <c r="I173" s="78" t="str">
        <f>IF($AB173="",IF('Model Comparator'!I33="","",'Model Comparator'!I33),IF(INDEX('Old Model Comparator'!$I:$I,$AB173)="","",INDEX('Old Model Comparator'!$I:$I,$AB173)))</f>
        <v/>
      </c>
      <c r="J173" s="78" t="str">
        <f>IF($AB173="",IF('Model Comparator'!J33="","",'Model Comparator'!J33),IF(INDEX('Old Model Comparator'!$J:$J,$AB173)="","",INDEX('Old Model Comparator'!$J:$J,$AB173)))</f>
        <v/>
      </c>
      <c r="K173" s="78" t="str">
        <f>IF($AB173="",IF('Model Comparator'!K33="","",'Model Comparator'!K33),IF(INDEX('Old Model Comparator'!$K:$K,$AB173)="","",INDEX('Old Model Comparator'!$K:$K,$AB173)))</f>
        <v/>
      </c>
      <c r="L173" s="78" t="str">
        <f>IF($AB173="",IF('Model Comparator'!L33="","",'Model Comparator'!L33),IF(INDEX('Old Model Comparator'!$L:$L,$AB173)="","",INDEX('Old Model Comparator'!$L:$L,$AB173)))</f>
        <v/>
      </c>
      <c r="M173" s="78" t="str">
        <f>IF($AB173="",IF('Model Comparator'!M33="","",'Model Comparator'!M33),IF(INDEX('Old Model Comparator'!$M:$M,$AB173)="","",INDEX('Old Model Comparator'!$M:$M,$AB173)))</f>
        <v/>
      </c>
      <c r="N173" s="78" t="str">
        <f>IF($AB173="",IF('Model Comparator'!N33="","",'Model Comparator'!N33),IF(INDEX('Old Model Comparator'!$N:$N,$AB173)="","",INDEX('Old Model Comparator'!$N:$N,$AB173)))</f>
        <v/>
      </c>
      <c r="AB173" s="79" t="str">
        <f>IFERROR(MATCH($A173,'Old Model Comparator'!$A:$A,0),"")</f>
        <v/>
      </c>
      <c r="AC173" s="79" t="str">
        <f t="shared" si="3"/>
        <v>4.3</v>
      </c>
    </row>
    <row r="174" spans="1:29" x14ac:dyDescent="0.3">
      <c r="A174" s="19" t="str">
        <f>'Model Comparator'!A34</f>
        <v>4.4</v>
      </c>
      <c r="G174" s="78" t="str">
        <f>IF($AB174="",IF('Model Comparator'!G34="","",'Model Comparator'!G34),IF(INDEX('Old Model Comparator'!$G:$G,$AB174)="","",INDEX('Old Model Comparator'!$G:$G,$AB174)))</f>
        <v/>
      </c>
      <c r="H174" s="78" t="str">
        <f>IF($AB174="",IF('Model Comparator'!H34="","",'Model Comparator'!H34),IF(INDEX('Old Model Comparator'!$H:$H,$AB174)="","",INDEX('Old Model Comparator'!$H:$H,$AB174)))</f>
        <v/>
      </c>
      <c r="I174" s="78" t="str">
        <f>IF($AB174="",IF('Model Comparator'!I34="","",'Model Comparator'!I34),IF(INDEX('Old Model Comparator'!$I:$I,$AB174)="","",INDEX('Old Model Comparator'!$I:$I,$AB174)))</f>
        <v/>
      </c>
      <c r="J174" s="78" t="str">
        <f>IF($AB174="",IF('Model Comparator'!J34="","",'Model Comparator'!J34),IF(INDEX('Old Model Comparator'!$J:$J,$AB174)="","",INDEX('Old Model Comparator'!$J:$J,$AB174)))</f>
        <v/>
      </c>
      <c r="K174" s="78" t="str">
        <f>IF($AB174="",IF('Model Comparator'!K34="","",'Model Comparator'!K34),IF(INDEX('Old Model Comparator'!$K:$K,$AB174)="","",INDEX('Old Model Comparator'!$K:$K,$AB174)))</f>
        <v/>
      </c>
      <c r="L174" s="78" t="str">
        <f>IF($AB174="",IF('Model Comparator'!L34="","",'Model Comparator'!L34),IF(INDEX('Old Model Comparator'!$L:$L,$AB174)="","",INDEX('Old Model Comparator'!$L:$L,$AB174)))</f>
        <v/>
      </c>
      <c r="M174" s="78" t="str">
        <f>IF($AB174="",IF('Model Comparator'!M34="","",'Model Comparator'!M34),IF(INDEX('Old Model Comparator'!$M:$M,$AB174)="","",INDEX('Old Model Comparator'!$M:$M,$AB174)))</f>
        <v/>
      </c>
      <c r="N174" s="78" t="str">
        <f>IF($AB174="",IF('Model Comparator'!N34="","",'Model Comparator'!N34),IF(INDEX('Old Model Comparator'!$N:$N,$AB174)="","",INDEX('Old Model Comparator'!$N:$N,$AB174)))</f>
        <v/>
      </c>
      <c r="AB174" s="79" t="str">
        <f>IFERROR(MATCH($A174,'Old Model Comparator'!$A:$A,0),"")</f>
        <v/>
      </c>
      <c r="AC174" s="79" t="str">
        <f t="shared" si="3"/>
        <v>4.4</v>
      </c>
    </row>
    <row r="175" spans="1:29" x14ac:dyDescent="0.3">
      <c r="A175" s="19" t="str">
        <f>'Model Comparator'!A35</f>
        <v>4.5</v>
      </c>
      <c r="G175" s="78" t="str">
        <f>IF($AB175="",IF('Model Comparator'!G35="","",'Model Comparator'!G35),IF(INDEX('Old Model Comparator'!$G:$G,$AB175)="","",INDEX('Old Model Comparator'!$G:$G,$AB175)))</f>
        <v/>
      </c>
      <c r="H175" s="78" t="str">
        <f>IF($AB175="",IF('Model Comparator'!H35="","",'Model Comparator'!H35),IF(INDEX('Old Model Comparator'!$H:$H,$AB175)="","",INDEX('Old Model Comparator'!$H:$H,$AB175)))</f>
        <v/>
      </c>
      <c r="I175" s="78" t="str">
        <f>IF($AB175="",IF('Model Comparator'!I35="","",'Model Comparator'!I35),IF(INDEX('Old Model Comparator'!$I:$I,$AB175)="","",INDEX('Old Model Comparator'!$I:$I,$AB175)))</f>
        <v/>
      </c>
      <c r="J175" s="78" t="str">
        <f>IF($AB175="",IF('Model Comparator'!J35="","",'Model Comparator'!J35),IF(INDEX('Old Model Comparator'!$J:$J,$AB175)="","",INDEX('Old Model Comparator'!$J:$J,$AB175)))</f>
        <v/>
      </c>
      <c r="K175" s="78" t="str">
        <f>IF($AB175="",IF('Model Comparator'!K35="","",'Model Comparator'!K35),IF(INDEX('Old Model Comparator'!$K:$K,$AB175)="","",INDEX('Old Model Comparator'!$K:$K,$AB175)))</f>
        <v/>
      </c>
      <c r="L175" s="78" t="str">
        <f>IF($AB175="",IF('Model Comparator'!L35="","",'Model Comparator'!L35),IF(INDEX('Old Model Comparator'!$L:$L,$AB175)="","",INDEX('Old Model Comparator'!$L:$L,$AB175)))</f>
        <v/>
      </c>
      <c r="M175" s="78" t="str">
        <f>IF($AB175="",IF('Model Comparator'!M35="","",'Model Comparator'!M35),IF(INDEX('Old Model Comparator'!$M:$M,$AB175)="","",INDEX('Old Model Comparator'!$M:$M,$AB175)))</f>
        <v/>
      </c>
      <c r="N175" s="78" t="str">
        <f>IF($AB175="",IF('Model Comparator'!N35="","",'Model Comparator'!N35),IF(INDEX('Old Model Comparator'!$N:$N,$AB175)="","",INDEX('Old Model Comparator'!$N:$N,$AB175)))</f>
        <v/>
      </c>
      <c r="AB175" s="79" t="str">
        <f>IFERROR(MATCH($A175,'Old Model Comparator'!$A:$A,0),"")</f>
        <v/>
      </c>
      <c r="AC175" s="79" t="str">
        <f t="shared" si="3"/>
        <v>4.5</v>
      </c>
    </row>
    <row r="176" spans="1:29" x14ac:dyDescent="0.3">
      <c r="A176" s="19" t="str">
        <f>'Model Comparator'!A36</f>
        <v>4.6</v>
      </c>
      <c r="G176" s="78" t="str">
        <f>IF($AB176="",IF('Model Comparator'!G36="","",'Model Comparator'!G36),IF(INDEX('Old Model Comparator'!$G:$G,$AB176)="","",INDEX('Old Model Comparator'!$G:$G,$AB176)))</f>
        <v/>
      </c>
      <c r="H176" s="78" t="str">
        <f>IF($AB176="",IF('Model Comparator'!H36="","",'Model Comparator'!H36),IF(INDEX('Old Model Comparator'!$H:$H,$AB176)="","",INDEX('Old Model Comparator'!$H:$H,$AB176)))</f>
        <v/>
      </c>
      <c r="I176" s="78" t="str">
        <f>IF($AB176="",IF('Model Comparator'!I36="","",'Model Comparator'!I36),IF(INDEX('Old Model Comparator'!$I:$I,$AB176)="","",INDEX('Old Model Comparator'!$I:$I,$AB176)))</f>
        <v/>
      </c>
      <c r="J176" s="78" t="str">
        <f>IF($AB176="",IF('Model Comparator'!J36="","",'Model Comparator'!J36),IF(INDEX('Old Model Comparator'!$J:$J,$AB176)="","",INDEX('Old Model Comparator'!$J:$J,$AB176)))</f>
        <v/>
      </c>
      <c r="K176" s="78" t="str">
        <f>IF($AB176="",IF('Model Comparator'!K36="","",'Model Comparator'!K36),IF(INDEX('Old Model Comparator'!$K:$K,$AB176)="","",INDEX('Old Model Comparator'!$K:$K,$AB176)))</f>
        <v/>
      </c>
      <c r="L176" s="78" t="str">
        <f>IF($AB176="",IF('Model Comparator'!L36="","",'Model Comparator'!L36),IF(INDEX('Old Model Comparator'!$L:$L,$AB176)="","",INDEX('Old Model Comparator'!$L:$L,$AB176)))</f>
        <v/>
      </c>
      <c r="M176" s="78" t="str">
        <f>IF($AB176="",IF('Model Comparator'!M36="","",'Model Comparator'!M36),IF(INDEX('Old Model Comparator'!$M:$M,$AB176)="","",INDEX('Old Model Comparator'!$M:$M,$AB176)))</f>
        <v/>
      </c>
      <c r="N176" s="78" t="str">
        <f>IF($AB176="",IF('Model Comparator'!N36="","",'Model Comparator'!N36),IF(INDEX('Old Model Comparator'!$N:$N,$AB176)="","",INDEX('Old Model Comparator'!$N:$N,$AB176)))</f>
        <v/>
      </c>
      <c r="AB176" s="79" t="str">
        <f>IFERROR(MATCH($A176,'Old Model Comparator'!$A:$A,0),"")</f>
        <v/>
      </c>
      <c r="AC176" s="79" t="str">
        <f t="shared" si="3"/>
        <v>4.6</v>
      </c>
    </row>
    <row r="177" spans="1:29" x14ac:dyDescent="0.3">
      <c r="A177" s="19" t="str">
        <f>'Model Comparator'!A37</f>
        <v>4.7</v>
      </c>
      <c r="G177" s="78" t="str">
        <f>IF($AB177="",IF('Model Comparator'!G37="","",'Model Comparator'!G37),IF(INDEX('Old Model Comparator'!$G:$G,$AB177)="","",INDEX('Old Model Comparator'!$G:$G,$AB177)))</f>
        <v/>
      </c>
      <c r="H177" s="78" t="str">
        <f>IF($AB177="",IF('Model Comparator'!H37="","",'Model Comparator'!H37),IF(INDEX('Old Model Comparator'!$H:$H,$AB177)="","",INDEX('Old Model Comparator'!$H:$H,$AB177)))</f>
        <v/>
      </c>
      <c r="I177" s="78" t="str">
        <f>IF($AB177="",IF('Model Comparator'!I37="","",'Model Comparator'!I37),IF(INDEX('Old Model Comparator'!$I:$I,$AB177)="","",INDEX('Old Model Comparator'!$I:$I,$AB177)))</f>
        <v/>
      </c>
      <c r="J177" s="78" t="str">
        <f>IF($AB177="",IF('Model Comparator'!J37="","",'Model Comparator'!J37),IF(INDEX('Old Model Comparator'!$J:$J,$AB177)="","",INDEX('Old Model Comparator'!$J:$J,$AB177)))</f>
        <v/>
      </c>
      <c r="K177" s="78" t="str">
        <f>IF($AB177="",IF('Model Comparator'!K37="","",'Model Comparator'!K37),IF(INDEX('Old Model Comparator'!$K:$K,$AB177)="","",INDEX('Old Model Comparator'!$K:$K,$AB177)))</f>
        <v/>
      </c>
      <c r="L177" s="78" t="str">
        <f>IF($AB177="",IF('Model Comparator'!L37="","",'Model Comparator'!L37),IF(INDEX('Old Model Comparator'!$L:$L,$AB177)="","",INDEX('Old Model Comparator'!$L:$L,$AB177)))</f>
        <v/>
      </c>
      <c r="M177" s="78" t="str">
        <f>IF($AB177="",IF('Model Comparator'!M37="","",'Model Comparator'!M37),IF(INDEX('Old Model Comparator'!$M:$M,$AB177)="","",INDEX('Old Model Comparator'!$M:$M,$AB177)))</f>
        <v/>
      </c>
      <c r="N177" s="78" t="str">
        <f>IF($AB177="",IF('Model Comparator'!N37="","",'Model Comparator'!N37),IF(INDEX('Old Model Comparator'!$N:$N,$AB177)="","",INDEX('Old Model Comparator'!$N:$N,$AB177)))</f>
        <v/>
      </c>
      <c r="AB177" s="79" t="str">
        <f>IFERROR(MATCH($A177,'Old Model Comparator'!$A:$A,0),"")</f>
        <v/>
      </c>
      <c r="AC177" s="79" t="str">
        <f t="shared" si="3"/>
        <v>4.7</v>
      </c>
    </row>
    <row r="178" spans="1:29" x14ac:dyDescent="0.3">
      <c r="A178" s="19" t="str">
        <f>'Model Comparator'!A38</f>
        <v>4.8</v>
      </c>
      <c r="G178" s="78" t="str">
        <f>IF($AB178="",IF('Model Comparator'!G38="","",'Model Comparator'!G38),IF(INDEX('Old Model Comparator'!$G:$G,$AB178)="","",INDEX('Old Model Comparator'!$G:$G,$AB178)))</f>
        <v/>
      </c>
      <c r="H178" s="78" t="str">
        <f>IF($AB178="",IF('Model Comparator'!H38="","",'Model Comparator'!H38),IF(INDEX('Old Model Comparator'!$H:$H,$AB178)="","",INDEX('Old Model Comparator'!$H:$H,$AB178)))</f>
        <v/>
      </c>
      <c r="I178" s="78" t="str">
        <f>IF($AB178="",IF('Model Comparator'!I38="","",'Model Comparator'!I38),IF(INDEX('Old Model Comparator'!$I:$I,$AB178)="","",INDEX('Old Model Comparator'!$I:$I,$AB178)))</f>
        <v/>
      </c>
      <c r="J178" s="78" t="str">
        <f>IF($AB178="",IF('Model Comparator'!J38="","",'Model Comparator'!J38),IF(INDEX('Old Model Comparator'!$J:$J,$AB178)="","",INDEX('Old Model Comparator'!$J:$J,$AB178)))</f>
        <v/>
      </c>
      <c r="K178" s="78" t="str">
        <f>IF($AB178="",IF('Model Comparator'!K38="","",'Model Comparator'!K38),IF(INDEX('Old Model Comparator'!$K:$K,$AB178)="","",INDEX('Old Model Comparator'!$K:$K,$AB178)))</f>
        <v/>
      </c>
      <c r="L178" s="78" t="str">
        <f>IF($AB178="",IF('Model Comparator'!L38="","",'Model Comparator'!L38),IF(INDEX('Old Model Comparator'!$L:$L,$AB178)="","",INDEX('Old Model Comparator'!$L:$L,$AB178)))</f>
        <v/>
      </c>
      <c r="M178" s="78" t="str">
        <f>IF($AB178="",IF('Model Comparator'!M38="","",'Model Comparator'!M38),IF(INDEX('Old Model Comparator'!$M:$M,$AB178)="","",INDEX('Old Model Comparator'!$M:$M,$AB178)))</f>
        <v/>
      </c>
      <c r="N178" s="78" t="str">
        <f>IF($AB178="",IF('Model Comparator'!N38="","",'Model Comparator'!N38),IF(INDEX('Old Model Comparator'!$N:$N,$AB178)="","",INDEX('Old Model Comparator'!$N:$N,$AB178)))</f>
        <v/>
      </c>
      <c r="AB178" s="79" t="str">
        <f>IFERROR(MATCH($A178,'Old Model Comparator'!$A:$A,0),"")</f>
        <v/>
      </c>
      <c r="AC178" s="79" t="str">
        <f t="shared" si="3"/>
        <v>4.8</v>
      </c>
    </row>
    <row r="179" spans="1:29" x14ac:dyDescent="0.3">
      <c r="A179" s="19" t="str">
        <f>'Model Comparator'!A39</f>
        <v>4.9</v>
      </c>
      <c r="G179" s="78" t="str">
        <f>IF($AB179="",IF('Model Comparator'!G39="","",'Model Comparator'!G39),IF(INDEX('Old Model Comparator'!$G:$G,$AB179)="","",INDEX('Old Model Comparator'!$G:$G,$AB179)))</f>
        <v/>
      </c>
      <c r="H179" s="78" t="str">
        <f>IF($AB179="",IF('Model Comparator'!H39="","",'Model Comparator'!H39),IF(INDEX('Old Model Comparator'!$H:$H,$AB179)="","",INDEX('Old Model Comparator'!$H:$H,$AB179)))</f>
        <v/>
      </c>
      <c r="I179" s="78" t="str">
        <f>IF($AB179="",IF('Model Comparator'!I39="","",'Model Comparator'!I39),IF(INDEX('Old Model Comparator'!$I:$I,$AB179)="","",INDEX('Old Model Comparator'!$I:$I,$AB179)))</f>
        <v/>
      </c>
      <c r="J179" s="78" t="str">
        <f>IF($AB179="",IF('Model Comparator'!J39="","",'Model Comparator'!J39),IF(INDEX('Old Model Comparator'!$J:$J,$AB179)="","",INDEX('Old Model Comparator'!$J:$J,$AB179)))</f>
        <v/>
      </c>
      <c r="K179" s="78" t="str">
        <f>IF($AB179="",IF('Model Comparator'!K39="","",'Model Comparator'!K39),IF(INDEX('Old Model Comparator'!$K:$K,$AB179)="","",INDEX('Old Model Comparator'!$K:$K,$AB179)))</f>
        <v/>
      </c>
      <c r="L179" s="78" t="str">
        <f>IF($AB179="",IF('Model Comparator'!L39="","",'Model Comparator'!L39),IF(INDEX('Old Model Comparator'!$L:$L,$AB179)="","",INDEX('Old Model Comparator'!$L:$L,$AB179)))</f>
        <v/>
      </c>
      <c r="M179" s="78" t="str">
        <f>IF($AB179="",IF('Model Comparator'!M39="","",'Model Comparator'!M39),IF(INDEX('Old Model Comparator'!$M:$M,$AB179)="","",INDEX('Old Model Comparator'!$M:$M,$AB179)))</f>
        <v/>
      </c>
      <c r="N179" s="78" t="str">
        <f>IF($AB179="",IF('Model Comparator'!N39="","",'Model Comparator'!N39),IF(INDEX('Old Model Comparator'!$N:$N,$AB179)="","",INDEX('Old Model Comparator'!$N:$N,$AB179)))</f>
        <v/>
      </c>
      <c r="AB179" s="79" t="str">
        <f>IFERROR(MATCH($A179,'Old Model Comparator'!$A:$A,0),"")</f>
        <v/>
      </c>
      <c r="AC179" s="79" t="str">
        <f t="shared" si="3"/>
        <v>4.9</v>
      </c>
    </row>
    <row r="180" spans="1:29" x14ac:dyDescent="0.3">
      <c r="A180" s="19" t="str">
        <f>'Model Comparator'!A40</f>
        <v>4.10</v>
      </c>
      <c r="G180" s="78" t="str">
        <f>IF($AB180="",IF('Model Comparator'!G40="","",'Model Comparator'!G40),IF(INDEX('Old Model Comparator'!$G:$G,$AB180)="","",INDEX('Old Model Comparator'!$G:$G,$AB180)))</f>
        <v/>
      </c>
      <c r="H180" s="78" t="str">
        <f>IF($AB180="",IF('Model Comparator'!H40="","",'Model Comparator'!H40),IF(INDEX('Old Model Comparator'!$H:$H,$AB180)="","",INDEX('Old Model Comparator'!$H:$H,$AB180)))</f>
        <v/>
      </c>
      <c r="I180" s="78" t="str">
        <f>IF($AB180="",IF('Model Comparator'!I40="","",'Model Comparator'!I40),IF(INDEX('Old Model Comparator'!$I:$I,$AB180)="","",INDEX('Old Model Comparator'!$I:$I,$AB180)))</f>
        <v/>
      </c>
      <c r="J180" s="78" t="str">
        <f>IF($AB180="",IF('Model Comparator'!J40="","",'Model Comparator'!J40),IF(INDEX('Old Model Comparator'!$J:$J,$AB180)="","",INDEX('Old Model Comparator'!$J:$J,$AB180)))</f>
        <v/>
      </c>
      <c r="K180" s="78" t="str">
        <f>IF($AB180="",IF('Model Comparator'!K40="","",'Model Comparator'!K40),IF(INDEX('Old Model Comparator'!$K:$K,$AB180)="","",INDEX('Old Model Comparator'!$K:$K,$AB180)))</f>
        <v/>
      </c>
      <c r="L180" s="78" t="str">
        <f>IF($AB180="",IF('Model Comparator'!L40="","",'Model Comparator'!L40),IF(INDEX('Old Model Comparator'!$L:$L,$AB180)="","",INDEX('Old Model Comparator'!$L:$L,$AB180)))</f>
        <v/>
      </c>
      <c r="M180" s="78" t="str">
        <f>IF($AB180="",IF('Model Comparator'!M40="","",'Model Comparator'!M40),IF(INDEX('Old Model Comparator'!$M:$M,$AB180)="","",INDEX('Old Model Comparator'!$M:$M,$AB180)))</f>
        <v/>
      </c>
      <c r="N180" s="78" t="str">
        <f>IF($AB180="",IF('Model Comparator'!N40="","",'Model Comparator'!N40),IF(INDEX('Old Model Comparator'!$N:$N,$AB180)="","",INDEX('Old Model Comparator'!$N:$N,$AB180)))</f>
        <v/>
      </c>
      <c r="AB180" s="79" t="str">
        <f>IFERROR(MATCH($A180,'Old Model Comparator'!$A:$A,0),"")</f>
        <v/>
      </c>
      <c r="AC180" s="79" t="str">
        <f t="shared" si="3"/>
        <v>4.10</v>
      </c>
    </row>
    <row r="181" spans="1:29" x14ac:dyDescent="0.3">
      <c r="A181" s="19" t="str">
        <f>'Model Comparator'!A41</f>
        <v>5.1</v>
      </c>
      <c r="G181" s="78" t="str">
        <f>IF($AB181="",IF('Model Comparator'!G41="","",'Model Comparator'!G41),IF(INDEX('Old Model Comparator'!$G:$G,$AB181)="","",INDEX('Old Model Comparator'!$G:$G,$AB181)))</f>
        <v/>
      </c>
      <c r="H181" s="78" t="str">
        <f>IF($AB181="",IF('Model Comparator'!H41="","",'Model Comparator'!H41),IF(INDEX('Old Model Comparator'!$H:$H,$AB181)="","",INDEX('Old Model Comparator'!$H:$H,$AB181)))</f>
        <v/>
      </c>
      <c r="I181" s="78" t="str">
        <f>IF($AB181="",IF('Model Comparator'!I41="","",'Model Comparator'!I41),IF(INDEX('Old Model Comparator'!$I:$I,$AB181)="","",INDEX('Old Model Comparator'!$I:$I,$AB181)))</f>
        <v/>
      </c>
      <c r="J181" s="78" t="str">
        <f>IF($AB181="",IF('Model Comparator'!J41="","",'Model Comparator'!J41),IF(INDEX('Old Model Comparator'!$J:$J,$AB181)="","",INDEX('Old Model Comparator'!$J:$J,$AB181)))</f>
        <v/>
      </c>
      <c r="K181" s="78" t="str">
        <f>IF($AB181="",IF('Model Comparator'!K41="","",'Model Comparator'!K41),IF(INDEX('Old Model Comparator'!$K:$K,$AB181)="","",INDEX('Old Model Comparator'!$K:$K,$AB181)))</f>
        <v/>
      </c>
      <c r="L181" s="78" t="str">
        <f>IF($AB181="",IF('Model Comparator'!L41="","",'Model Comparator'!L41),IF(INDEX('Old Model Comparator'!$L:$L,$AB181)="","",INDEX('Old Model Comparator'!$L:$L,$AB181)))</f>
        <v/>
      </c>
      <c r="M181" s="78" t="str">
        <f>IF($AB181="",IF('Model Comparator'!M41="","",'Model Comparator'!M41),IF(INDEX('Old Model Comparator'!$M:$M,$AB181)="","",INDEX('Old Model Comparator'!$M:$M,$AB181)))</f>
        <v/>
      </c>
      <c r="N181" s="78" t="str">
        <f>IF($AB181="",IF('Model Comparator'!N41="","",'Model Comparator'!N41),IF(INDEX('Old Model Comparator'!$N:$N,$AB181)="","",INDEX('Old Model Comparator'!$N:$N,$AB181)))</f>
        <v/>
      </c>
      <c r="AB181" s="79" t="str">
        <f>IFERROR(MATCH($A181,'Old Model Comparator'!$A:$A,0),"")</f>
        <v/>
      </c>
      <c r="AC181" s="79" t="str">
        <f t="shared" si="3"/>
        <v>5.1</v>
      </c>
    </row>
    <row r="182" spans="1:29" x14ac:dyDescent="0.3">
      <c r="A182" s="19" t="str">
        <f>'Model Comparator'!A42</f>
        <v>5.2</v>
      </c>
      <c r="G182" s="78" t="str">
        <f>IF($AB182="",IF('Model Comparator'!G42="","",'Model Comparator'!G42),IF(INDEX('Old Model Comparator'!$G:$G,$AB182)="","",INDEX('Old Model Comparator'!$G:$G,$AB182)))</f>
        <v/>
      </c>
      <c r="H182" s="78" t="str">
        <f>IF($AB182="",IF('Model Comparator'!H42="","",'Model Comparator'!H42),IF(INDEX('Old Model Comparator'!$H:$H,$AB182)="","",INDEX('Old Model Comparator'!$H:$H,$AB182)))</f>
        <v/>
      </c>
      <c r="I182" s="78" t="str">
        <f>IF($AB182="",IF('Model Comparator'!I42="","",'Model Comparator'!I42),IF(INDEX('Old Model Comparator'!$I:$I,$AB182)="","",INDEX('Old Model Comparator'!$I:$I,$AB182)))</f>
        <v/>
      </c>
      <c r="J182" s="78" t="str">
        <f>IF($AB182="",IF('Model Comparator'!J42="","",'Model Comparator'!J42),IF(INDEX('Old Model Comparator'!$J:$J,$AB182)="","",INDEX('Old Model Comparator'!$J:$J,$AB182)))</f>
        <v/>
      </c>
      <c r="K182" s="78" t="str">
        <f>IF($AB182="",IF('Model Comparator'!K42="","",'Model Comparator'!K42),IF(INDEX('Old Model Comparator'!$K:$K,$AB182)="","",INDEX('Old Model Comparator'!$K:$K,$AB182)))</f>
        <v/>
      </c>
      <c r="L182" s="78" t="str">
        <f>IF($AB182="",IF('Model Comparator'!L42="","",'Model Comparator'!L42),IF(INDEX('Old Model Comparator'!$L:$L,$AB182)="","",INDEX('Old Model Comparator'!$L:$L,$AB182)))</f>
        <v/>
      </c>
      <c r="M182" s="78" t="str">
        <f>IF($AB182="",IF('Model Comparator'!M42="","",'Model Comparator'!M42),IF(INDEX('Old Model Comparator'!$M:$M,$AB182)="","",INDEX('Old Model Comparator'!$M:$M,$AB182)))</f>
        <v/>
      </c>
      <c r="N182" s="78" t="str">
        <f>IF($AB182="",IF('Model Comparator'!N42="","",'Model Comparator'!N42),IF(INDEX('Old Model Comparator'!$N:$N,$AB182)="","",INDEX('Old Model Comparator'!$N:$N,$AB182)))</f>
        <v/>
      </c>
      <c r="AB182" s="79" t="str">
        <f>IFERROR(MATCH($A182,'Old Model Comparator'!$A:$A,0),"")</f>
        <v/>
      </c>
      <c r="AC182" s="79" t="str">
        <f t="shared" ref="AC182:AC217" si="4">IF(AND($A182&lt;&gt;"",$AB182=""),$A182,"")</f>
        <v>5.2</v>
      </c>
    </row>
    <row r="183" spans="1:29" x14ac:dyDescent="0.3">
      <c r="A183" s="19" t="str">
        <f>'Model Comparator'!A43</f>
        <v>5.3</v>
      </c>
      <c r="G183" s="78" t="str">
        <f>IF($AB183="",IF('Model Comparator'!G43="","",'Model Comparator'!G43),IF(INDEX('Old Model Comparator'!$G:$G,$AB183)="","",INDEX('Old Model Comparator'!$G:$G,$AB183)))</f>
        <v/>
      </c>
      <c r="H183" s="78" t="str">
        <f>IF($AB183="",IF('Model Comparator'!H43="","",'Model Comparator'!H43),IF(INDEX('Old Model Comparator'!$H:$H,$AB183)="","",INDEX('Old Model Comparator'!$H:$H,$AB183)))</f>
        <v/>
      </c>
      <c r="I183" s="78" t="str">
        <f>IF($AB183="",IF('Model Comparator'!I43="","",'Model Comparator'!I43),IF(INDEX('Old Model Comparator'!$I:$I,$AB183)="","",INDEX('Old Model Comparator'!$I:$I,$AB183)))</f>
        <v/>
      </c>
      <c r="J183" s="78" t="str">
        <f>IF($AB183="",IF('Model Comparator'!J43="","",'Model Comparator'!J43),IF(INDEX('Old Model Comparator'!$J:$J,$AB183)="","",INDEX('Old Model Comparator'!$J:$J,$AB183)))</f>
        <v/>
      </c>
      <c r="K183" s="78" t="str">
        <f>IF($AB183="",IF('Model Comparator'!K43="","",'Model Comparator'!K43),IF(INDEX('Old Model Comparator'!$K:$K,$AB183)="","",INDEX('Old Model Comparator'!$K:$K,$AB183)))</f>
        <v/>
      </c>
      <c r="L183" s="78" t="str">
        <f>IF($AB183="",IF('Model Comparator'!L43="","",'Model Comparator'!L43),IF(INDEX('Old Model Comparator'!$L:$L,$AB183)="","",INDEX('Old Model Comparator'!$L:$L,$AB183)))</f>
        <v/>
      </c>
      <c r="M183" s="78" t="str">
        <f>IF($AB183="",IF('Model Comparator'!M43="","",'Model Comparator'!M43),IF(INDEX('Old Model Comparator'!$M:$M,$AB183)="","",INDEX('Old Model Comparator'!$M:$M,$AB183)))</f>
        <v/>
      </c>
      <c r="N183" s="78" t="str">
        <f>IF($AB183="",IF('Model Comparator'!N43="","",'Model Comparator'!N43),IF(INDEX('Old Model Comparator'!$N:$N,$AB183)="","",INDEX('Old Model Comparator'!$N:$N,$AB183)))</f>
        <v/>
      </c>
      <c r="AB183" s="79" t="str">
        <f>IFERROR(MATCH($A183,'Old Model Comparator'!$A:$A,0),"")</f>
        <v/>
      </c>
      <c r="AC183" s="79" t="str">
        <f t="shared" si="4"/>
        <v>5.3</v>
      </c>
    </row>
    <row r="184" spans="1:29" x14ac:dyDescent="0.3">
      <c r="A184" s="19" t="str">
        <f>'Model Comparator'!A44</f>
        <v>5.4</v>
      </c>
      <c r="G184" s="78" t="str">
        <f>IF($AB184="",IF('Model Comparator'!G44="","",'Model Comparator'!G44),IF(INDEX('Old Model Comparator'!$G:$G,$AB184)="","",INDEX('Old Model Comparator'!$G:$G,$AB184)))</f>
        <v/>
      </c>
      <c r="H184" s="78" t="str">
        <f>IF($AB184="",IF('Model Comparator'!H44="","",'Model Comparator'!H44),IF(INDEX('Old Model Comparator'!$H:$H,$AB184)="","",INDEX('Old Model Comparator'!$H:$H,$AB184)))</f>
        <v/>
      </c>
      <c r="I184" s="78" t="str">
        <f>IF($AB184="",IF('Model Comparator'!I44="","",'Model Comparator'!I44),IF(INDEX('Old Model Comparator'!$I:$I,$AB184)="","",INDEX('Old Model Comparator'!$I:$I,$AB184)))</f>
        <v/>
      </c>
      <c r="J184" s="78" t="str">
        <f>IF($AB184="",IF('Model Comparator'!J44="","",'Model Comparator'!J44),IF(INDEX('Old Model Comparator'!$J:$J,$AB184)="","",INDEX('Old Model Comparator'!$J:$J,$AB184)))</f>
        <v/>
      </c>
      <c r="K184" s="78" t="str">
        <f>IF($AB184="",IF('Model Comparator'!K44="","",'Model Comparator'!K44),IF(INDEX('Old Model Comparator'!$K:$K,$AB184)="","",INDEX('Old Model Comparator'!$K:$K,$AB184)))</f>
        <v/>
      </c>
      <c r="L184" s="78" t="str">
        <f>IF($AB184="",IF('Model Comparator'!L44="","",'Model Comparator'!L44),IF(INDEX('Old Model Comparator'!$L:$L,$AB184)="","",INDEX('Old Model Comparator'!$L:$L,$AB184)))</f>
        <v/>
      </c>
      <c r="M184" s="78" t="str">
        <f>IF($AB184="",IF('Model Comparator'!M44="","",'Model Comparator'!M44),IF(INDEX('Old Model Comparator'!$M:$M,$AB184)="","",INDEX('Old Model Comparator'!$M:$M,$AB184)))</f>
        <v/>
      </c>
      <c r="N184" s="78" t="str">
        <f>IF($AB184="",IF('Model Comparator'!N44="","",'Model Comparator'!N44),IF(INDEX('Old Model Comparator'!$N:$N,$AB184)="","",INDEX('Old Model Comparator'!$N:$N,$AB184)))</f>
        <v/>
      </c>
      <c r="AB184" s="79" t="str">
        <f>IFERROR(MATCH($A184,'Old Model Comparator'!$A:$A,0),"")</f>
        <v/>
      </c>
      <c r="AC184" s="79" t="str">
        <f t="shared" si="4"/>
        <v>5.4</v>
      </c>
    </row>
    <row r="185" spans="1:29" x14ac:dyDescent="0.3">
      <c r="A185" s="19" t="str">
        <f>'Model Comparator'!A45</f>
        <v>5.5</v>
      </c>
      <c r="G185" s="78" t="str">
        <f>IF($AB185="",IF('Model Comparator'!G45="","",'Model Comparator'!G45),IF(INDEX('Old Model Comparator'!$G:$G,$AB185)="","",INDEX('Old Model Comparator'!$G:$G,$AB185)))</f>
        <v/>
      </c>
      <c r="H185" s="78" t="str">
        <f>IF($AB185="",IF('Model Comparator'!H45="","",'Model Comparator'!H45),IF(INDEX('Old Model Comparator'!$H:$H,$AB185)="","",INDEX('Old Model Comparator'!$H:$H,$AB185)))</f>
        <v/>
      </c>
      <c r="I185" s="78" t="str">
        <f>IF($AB185="",IF('Model Comparator'!I45="","",'Model Comparator'!I45),IF(INDEX('Old Model Comparator'!$I:$I,$AB185)="","",INDEX('Old Model Comparator'!$I:$I,$AB185)))</f>
        <v/>
      </c>
      <c r="J185" s="78" t="str">
        <f>IF($AB185="",IF('Model Comparator'!J45="","",'Model Comparator'!J45),IF(INDEX('Old Model Comparator'!$J:$J,$AB185)="","",INDEX('Old Model Comparator'!$J:$J,$AB185)))</f>
        <v/>
      </c>
      <c r="K185" s="78" t="str">
        <f>IF($AB185="",IF('Model Comparator'!K45="","",'Model Comparator'!K45),IF(INDEX('Old Model Comparator'!$K:$K,$AB185)="","",INDEX('Old Model Comparator'!$K:$K,$AB185)))</f>
        <v/>
      </c>
      <c r="L185" s="78" t="str">
        <f>IF($AB185="",IF('Model Comparator'!L45="","",'Model Comparator'!L45),IF(INDEX('Old Model Comparator'!$L:$L,$AB185)="","",INDEX('Old Model Comparator'!$L:$L,$AB185)))</f>
        <v/>
      </c>
      <c r="M185" s="78" t="str">
        <f>IF($AB185="",IF('Model Comparator'!M45="","",'Model Comparator'!M45),IF(INDEX('Old Model Comparator'!$M:$M,$AB185)="","",INDEX('Old Model Comparator'!$M:$M,$AB185)))</f>
        <v/>
      </c>
      <c r="N185" s="78" t="str">
        <f>IF($AB185="",IF('Model Comparator'!N45="","",'Model Comparator'!N45),IF(INDEX('Old Model Comparator'!$N:$N,$AB185)="","",INDEX('Old Model Comparator'!$N:$N,$AB185)))</f>
        <v/>
      </c>
      <c r="AB185" s="79" t="str">
        <f>IFERROR(MATCH($A185,'Old Model Comparator'!$A:$A,0),"")</f>
        <v/>
      </c>
      <c r="AC185" s="79" t="str">
        <f t="shared" si="4"/>
        <v>5.5</v>
      </c>
    </row>
    <row r="186" spans="1:29" x14ac:dyDescent="0.3">
      <c r="A186" s="19" t="str">
        <f>'Model Comparator'!A46</f>
        <v>5.6</v>
      </c>
      <c r="G186" s="78" t="str">
        <f>IF($AB186="",IF('Model Comparator'!G46="","",'Model Comparator'!G46),IF(INDEX('Old Model Comparator'!$G:$G,$AB186)="","",INDEX('Old Model Comparator'!$G:$G,$AB186)))</f>
        <v/>
      </c>
      <c r="H186" s="78" t="str">
        <f>IF($AB186="",IF('Model Comparator'!H46="","",'Model Comparator'!H46),IF(INDEX('Old Model Comparator'!$H:$H,$AB186)="","",INDEX('Old Model Comparator'!$H:$H,$AB186)))</f>
        <v/>
      </c>
      <c r="I186" s="78" t="str">
        <f>IF($AB186="",IF('Model Comparator'!I46="","",'Model Comparator'!I46),IF(INDEX('Old Model Comparator'!$I:$I,$AB186)="","",INDEX('Old Model Comparator'!$I:$I,$AB186)))</f>
        <v/>
      </c>
      <c r="J186" s="78" t="str">
        <f>IF($AB186="",IF('Model Comparator'!J46="","",'Model Comparator'!J46),IF(INDEX('Old Model Comparator'!$J:$J,$AB186)="","",INDEX('Old Model Comparator'!$J:$J,$AB186)))</f>
        <v/>
      </c>
      <c r="K186" s="78" t="str">
        <f>IF($AB186="",IF('Model Comparator'!K46="","",'Model Comparator'!K46),IF(INDEX('Old Model Comparator'!$K:$K,$AB186)="","",INDEX('Old Model Comparator'!$K:$K,$AB186)))</f>
        <v/>
      </c>
      <c r="L186" s="78" t="str">
        <f>IF($AB186="",IF('Model Comparator'!L46="","",'Model Comparator'!L46),IF(INDEX('Old Model Comparator'!$L:$L,$AB186)="","",INDEX('Old Model Comparator'!$L:$L,$AB186)))</f>
        <v/>
      </c>
      <c r="M186" s="78" t="str">
        <f>IF($AB186="",IF('Model Comparator'!M46="","",'Model Comparator'!M46),IF(INDEX('Old Model Comparator'!$M:$M,$AB186)="","",INDEX('Old Model Comparator'!$M:$M,$AB186)))</f>
        <v/>
      </c>
      <c r="N186" s="78" t="str">
        <f>IF($AB186="",IF('Model Comparator'!N46="","",'Model Comparator'!N46),IF(INDEX('Old Model Comparator'!$N:$N,$AB186)="","",INDEX('Old Model Comparator'!$N:$N,$AB186)))</f>
        <v/>
      </c>
      <c r="AB186" s="79" t="str">
        <f>IFERROR(MATCH($A186,'Old Model Comparator'!$A:$A,0),"")</f>
        <v/>
      </c>
      <c r="AC186" s="79" t="str">
        <f t="shared" si="4"/>
        <v>5.6</v>
      </c>
    </row>
    <row r="187" spans="1:29" x14ac:dyDescent="0.3">
      <c r="A187" s="19" t="str">
        <f>'Model Comparator'!A47</f>
        <v>5.7</v>
      </c>
      <c r="G187" s="78" t="str">
        <f>IF($AB187="",IF('Model Comparator'!G47="","",'Model Comparator'!G47),IF(INDEX('Old Model Comparator'!$G:$G,$AB187)="","",INDEX('Old Model Comparator'!$G:$G,$AB187)))</f>
        <v/>
      </c>
      <c r="H187" s="78" t="str">
        <f>IF($AB187="",IF('Model Comparator'!H47="","",'Model Comparator'!H47),IF(INDEX('Old Model Comparator'!$H:$H,$AB187)="","",INDEX('Old Model Comparator'!$H:$H,$AB187)))</f>
        <v/>
      </c>
      <c r="I187" s="78" t="str">
        <f>IF($AB187="",IF('Model Comparator'!I47="","",'Model Comparator'!I47),IF(INDEX('Old Model Comparator'!$I:$I,$AB187)="","",INDEX('Old Model Comparator'!$I:$I,$AB187)))</f>
        <v/>
      </c>
      <c r="J187" s="78" t="str">
        <f>IF($AB187="",IF('Model Comparator'!J47="","",'Model Comparator'!J47),IF(INDEX('Old Model Comparator'!$J:$J,$AB187)="","",INDEX('Old Model Comparator'!$J:$J,$AB187)))</f>
        <v/>
      </c>
      <c r="K187" s="78" t="str">
        <f>IF($AB187="",IF('Model Comparator'!K47="","",'Model Comparator'!K47),IF(INDEX('Old Model Comparator'!$K:$K,$AB187)="","",INDEX('Old Model Comparator'!$K:$K,$AB187)))</f>
        <v/>
      </c>
      <c r="L187" s="78" t="str">
        <f>IF($AB187="",IF('Model Comparator'!L47="","",'Model Comparator'!L47),IF(INDEX('Old Model Comparator'!$L:$L,$AB187)="","",INDEX('Old Model Comparator'!$L:$L,$AB187)))</f>
        <v/>
      </c>
      <c r="M187" s="78" t="str">
        <f>IF($AB187="",IF('Model Comparator'!M47="","",'Model Comparator'!M47),IF(INDEX('Old Model Comparator'!$M:$M,$AB187)="","",INDEX('Old Model Comparator'!$M:$M,$AB187)))</f>
        <v/>
      </c>
      <c r="N187" s="78" t="str">
        <f>IF($AB187="",IF('Model Comparator'!N47="","",'Model Comparator'!N47),IF(INDEX('Old Model Comparator'!$N:$N,$AB187)="","",INDEX('Old Model Comparator'!$N:$N,$AB187)))</f>
        <v/>
      </c>
      <c r="AB187" s="79" t="str">
        <f>IFERROR(MATCH($A187,'Old Model Comparator'!$A:$A,0),"")</f>
        <v/>
      </c>
      <c r="AC187" s="79" t="str">
        <f t="shared" si="4"/>
        <v>5.7</v>
      </c>
    </row>
    <row r="188" spans="1:29" x14ac:dyDescent="0.3">
      <c r="A188" s="19" t="str">
        <f>'Model Comparator'!A48</f>
        <v>5.8</v>
      </c>
      <c r="G188" s="78" t="str">
        <f>IF($AB188="",IF('Model Comparator'!G48="","",'Model Comparator'!G48),IF(INDEX('Old Model Comparator'!$G:$G,$AB188)="","",INDEX('Old Model Comparator'!$G:$G,$AB188)))</f>
        <v/>
      </c>
      <c r="H188" s="78" t="str">
        <f>IF($AB188="",IF('Model Comparator'!H48="","",'Model Comparator'!H48),IF(INDEX('Old Model Comparator'!$H:$H,$AB188)="","",INDEX('Old Model Comparator'!$H:$H,$AB188)))</f>
        <v/>
      </c>
      <c r="I188" s="78" t="str">
        <f>IF($AB188="",IF('Model Comparator'!I48="","",'Model Comparator'!I48),IF(INDEX('Old Model Comparator'!$I:$I,$AB188)="","",INDEX('Old Model Comparator'!$I:$I,$AB188)))</f>
        <v/>
      </c>
      <c r="J188" s="78" t="str">
        <f>IF($AB188="",IF('Model Comparator'!J48="","",'Model Comparator'!J48),IF(INDEX('Old Model Comparator'!$J:$J,$AB188)="","",INDEX('Old Model Comparator'!$J:$J,$AB188)))</f>
        <v/>
      </c>
      <c r="K188" s="78" t="str">
        <f>IF($AB188="",IF('Model Comparator'!K48="","",'Model Comparator'!K48),IF(INDEX('Old Model Comparator'!$K:$K,$AB188)="","",INDEX('Old Model Comparator'!$K:$K,$AB188)))</f>
        <v/>
      </c>
      <c r="L188" s="78" t="str">
        <f>IF($AB188="",IF('Model Comparator'!L48="","",'Model Comparator'!L48),IF(INDEX('Old Model Comparator'!$L:$L,$AB188)="","",INDEX('Old Model Comparator'!$L:$L,$AB188)))</f>
        <v/>
      </c>
      <c r="M188" s="78" t="str">
        <f>IF($AB188="",IF('Model Comparator'!M48="","",'Model Comparator'!M48),IF(INDEX('Old Model Comparator'!$M:$M,$AB188)="","",INDEX('Old Model Comparator'!$M:$M,$AB188)))</f>
        <v/>
      </c>
      <c r="N188" s="78" t="str">
        <f>IF($AB188="",IF('Model Comparator'!N48="","",'Model Comparator'!N48),IF(INDEX('Old Model Comparator'!$N:$N,$AB188)="","",INDEX('Old Model Comparator'!$N:$N,$AB188)))</f>
        <v/>
      </c>
      <c r="AB188" s="79" t="str">
        <f>IFERROR(MATCH($A188,'Old Model Comparator'!$A:$A,0),"")</f>
        <v/>
      </c>
      <c r="AC188" s="79" t="str">
        <f t="shared" si="4"/>
        <v>5.8</v>
      </c>
    </row>
    <row r="189" spans="1:29" x14ac:dyDescent="0.3">
      <c r="A189" s="19" t="str">
        <f>'Model Comparator'!A49</f>
        <v>6.1</v>
      </c>
      <c r="G189" s="78" t="str">
        <f>IF($AB189="",IF('Model Comparator'!G49="","",'Model Comparator'!G49),IF(INDEX('Old Model Comparator'!$G:$G,$AB189)="","",INDEX('Old Model Comparator'!$G:$G,$AB189)))</f>
        <v/>
      </c>
      <c r="H189" s="78" t="str">
        <f>IF($AB189="",IF('Model Comparator'!H49="","",'Model Comparator'!H49),IF(INDEX('Old Model Comparator'!$H:$H,$AB189)="","",INDEX('Old Model Comparator'!$H:$H,$AB189)))</f>
        <v/>
      </c>
      <c r="I189" s="78" t="str">
        <f>IF($AB189="",IF('Model Comparator'!I49="","",'Model Comparator'!I49),IF(INDEX('Old Model Comparator'!$I:$I,$AB189)="","",INDEX('Old Model Comparator'!$I:$I,$AB189)))</f>
        <v/>
      </c>
      <c r="J189" s="78" t="str">
        <f>IF($AB189="",IF('Model Comparator'!J49="","",'Model Comparator'!J49),IF(INDEX('Old Model Comparator'!$J:$J,$AB189)="","",INDEX('Old Model Comparator'!$J:$J,$AB189)))</f>
        <v/>
      </c>
      <c r="K189" s="78" t="str">
        <f>IF($AB189="",IF('Model Comparator'!K49="","",'Model Comparator'!K49),IF(INDEX('Old Model Comparator'!$K:$K,$AB189)="","",INDEX('Old Model Comparator'!$K:$K,$AB189)))</f>
        <v/>
      </c>
      <c r="L189" s="78" t="str">
        <f>IF($AB189="",IF('Model Comparator'!L49="","",'Model Comparator'!L49),IF(INDEX('Old Model Comparator'!$L:$L,$AB189)="","",INDEX('Old Model Comparator'!$L:$L,$AB189)))</f>
        <v/>
      </c>
      <c r="M189" s="78" t="str">
        <f>IF($AB189="",IF('Model Comparator'!M49="","",'Model Comparator'!M49),IF(INDEX('Old Model Comparator'!$M:$M,$AB189)="","",INDEX('Old Model Comparator'!$M:$M,$AB189)))</f>
        <v/>
      </c>
      <c r="N189" s="78" t="str">
        <f>IF($AB189="",IF('Model Comparator'!N49="","",'Model Comparator'!N49),IF(INDEX('Old Model Comparator'!$N:$N,$AB189)="","",INDEX('Old Model Comparator'!$N:$N,$AB189)))</f>
        <v/>
      </c>
      <c r="AB189" s="79" t="str">
        <f>IFERROR(MATCH($A189,'Old Model Comparator'!$A:$A,0),"")</f>
        <v/>
      </c>
      <c r="AC189" s="79" t="str">
        <f t="shared" si="4"/>
        <v>6.1</v>
      </c>
    </row>
    <row r="190" spans="1:29" x14ac:dyDescent="0.3">
      <c r="A190" s="19" t="str">
        <f>'Model Comparator'!A50</f>
        <v>6.2</v>
      </c>
      <c r="G190" s="78" t="str">
        <f>IF($AB190="",IF('Model Comparator'!G50="","",'Model Comparator'!G50),IF(INDEX('Old Model Comparator'!$G:$G,$AB190)="","",INDEX('Old Model Comparator'!$G:$G,$AB190)))</f>
        <v/>
      </c>
      <c r="H190" s="78" t="str">
        <f>IF($AB190="",IF('Model Comparator'!H50="","",'Model Comparator'!H50),IF(INDEX('Old Model Comparator'!$H:$H,$AB190)="","",INDEX('Old Model Comparator'!$H:$H,$AB190)))</f>
        <v/>
      </c>
      <c r="I190" s="78" t="str">
        <f>IF($AB190="",IF('Model Comparator'!I50="","",'Model Comparator'!I50),IF(INDEX('Old Model Comparator'!$I:$I,$AB190)="","",INDEX('Old Model Comparator'!$I:$I,$AB190)))</f>
        <v/>
      </c>
      <c r="J190" s="78" t="str">
        <f>IF($AB190="",IF('Model Comparator'!J50="","",'Model Comparator'!J50),IF(INDEX('Old Model Comparator'!$J:$J,$AB190)="","",INDEX('Old Model Comparator'!$J:$J,$AB190)))</f>
        <v/>
      </c>
      <c r="K190" s="78" t="str">
        <f>IF($AB190="",IF('Model Comparator'!K50="","",'Model Comparator'!K50),IF(INDEX('Old Model Comparator'!$K:$K,$AB190)="","",INDEX('Old Model Comparator'!$K:$K,$AB190)))</f>
        <v/>
      </c>
      <c r="L190" s="78" t="str">
        <f>IF($AB190="",IF('Model Comparator'!L50="","",'Model Comparator'!L50),IF(INDEX('Old Model Comparator'!$L:$L,$AB190)="","",INDEX('Old Model Comparator'!$L:$L,$AB190)))</f>
        <v/>
      </c>
      <c r="M190" s="78" t="str">
        <f>IF($AB190="",IF('Model Comparator'!M50="","",'Model Comparator'!M50),IF(INDEX('Old Model Comparator'!$M:$M,$AB190)="","",INDEX('Old Model Comparator'!$M:$M,$AB190)))</f>
        <v/>
      </c>
      <c r="N190" s="78" t="str">
        <f>IF($AB190="",IF('Model Comparator'!N50="","",'Model Comparator'!N50),IF(INDEX('Old Model Comparator'!$N:$N,$AB190)="","",INDEX('Old Model Comparator'!$N:$N,$AB190)))</f>
        <v/>
      </c>
      <c r="AB190" s="79" t="str">
        <f>IFERROR(MATCH($A190,'Old Model Comparator'!$A:$A,0),"")</f>
        <v/>
      </c>
      <c r="AC190" s="79" t="str">
        <f t="shared" si="4"/>
        <v>6.2</v>
      </c>
    </row>
    <row r="191" spans="1:29" x14ac:dyDescent="0.3">
      <c r="A191" s="19" t="str">
        <f>'Model Comparator'!A51</f>
        <v>6.3</v>
      </c>
      <c r="G191" s="78" t="str">
        <f>IF($AB191="",IF('Model Comparator'!G51="","",'Model Comparator'!G51),IF(INDEX('Old Model Comparator'!$G:$G,$AB191)="","",INDEX('Old Model Comparator'!$G:$G,$AB191)))</f>
        <v/>
      </c>
      <c r="H191" s="78" t="str">
        <f>IF($AB191="",IF('Model Comparator'!H51="","",'Model Comparator'!H51),IF(INDEX('Old Model Comparator'!$H:$H,$AB191)="","",INDEX('Old Model Comparator'!$H:$H,$AB191)))</f>
        <v/>
      </c>
      <c r="I191" s="78" t="str">
        <f>IF($AB191="",IF('Model Comparator'!I51="","",'Model Comparator'!I51),IF(INDEX('Old Model Comparator'!$I:$I,$AB191)="","",INDEX('Old Model Comparator'!$I:$I,$AB191)))</f>
        <v/>
      </c>
      <c r="J191" s="78" t="str">
        <f>IF($AB191="",IF('Model Comparator'!J51="","",'Model Comparator'!J51),IF(INDEX('Old Model Comparator'!$J:$J,$AB191)="","",INDEX('Old Model Comparator'!$J:$J,$AB191)))</f>
        <v/>
      </c>
      <c r="K191" s="78" t="str">
        <f>IF($AB191="",IF('Model Comparator'!K51="","",'Model Comparator'!K51),IF(INDEX('Old Model Comparator'!$K:$K,$AB191)="","",INDEX('Old Model Comparator'!$K:$K,$AB191)))</f>
        <v/>
      </c>
      <c r="L191" s="78" t="str">
        <f>IF($AB191="",IF('Model Comparator'!L51="","",'Model Comparator'!L51),IF(INDEX('Old Model Comparator'!$L:$L,$AB191)="","",INDEX('Old Model Comparator'!$L:$L,$AB191)))</f>
        <v/>
      </c>
      <c r="M191" s="78" t="str">
        <f>IF($AB191="",IF('Model Comparator'!M51="","",'Model Comparator'!M51),IF(INDEX('Old Model Comparator'!$M:$M,$AB191)="","",INDEX('Old Model Comparator'!$M:$M,$AB191)))</f>
        <v/>
      </c>
      <c r="N191" s="78" t="str">
        <f>IF($AB191="",IF('Model Comparator'!N51="","",'Model Comparator'!N51),IF(INDEX('Old Model Comparator'!$N:$N,$AB191)="","",INDEX('Old Model Comparator'!$N:$N,$AB191)))</f>
        <v/>
      </c>
      <c r="AB191" s="79" t="str">
        <f>IFERROR(MATCH($A191,'Old Model Comparator'!$A:$A,0),"")</f>
        <v/>
      </c>
      <c r="AC191" s="79" t="str">
        <f t="shared" si="4"/>
        <v>6.3</v>
      </c>
    </row>
    <row r="192" spans="1:29" x14ac:dyDescent="0.3">
      <c r="A192" s="19" t="str">
        <f>'Model Comparator'!A52</f>
        <v>6.4</v>
      </c>
      <c r="G192" s="78" t="str">
        <f>IF($AB192="",IF('Model Comparator'!G52="","",'Model Comparator'!G52),IF(INDEX('Old Model Comparator'!$G:$G,$AB192)="","",INDEX('Old Model Comparator'!$G:$G,$AB192)))</f>
        <v/>
      </c>
      <c r="H192" s="78" t="str">
        <f>IF($AB192="",IF('Model Comparator'!H52="","",'Model Comparator'!H52),IF(INDEX('Old Model Comparator'!$H:$H,$AB192)="","",INDEX('Old Model Comparator'!$H:$H,$AB192)))</f>
        <v/>
      </c>
      <c r="I192" s="78" t="str">
        <f>IF($AB192="",IF('Model Comparator'!I52="","",'Model Comparator'!I52),IF(INDEX('Old Model Comparator'!$I:$I,$AB192)="","",INDEX('Old Model Comparator'!$I:$I,$AB192)))</f>
        <v/>
      </c>
      <c r="J192" s="78" t="str">
        <f>IF($AB192="",IF('Model Comparator'!J52="","",'Model Comparator'!J52),IF(INDEX('Old Model Comparator'!$J:$J,$AB192)="","",INDEX('Old Model Comparator'!$J:$J,$AB192)))</f>
        <v/>
      </c>
      <c r="K192" s="78" t="str">
        <f>IF($AB192="",IF('Model Comparator'!K52="","",'Model Comparator'!K52),IF(INDEX('Old Model Comparator'!$K:$K,$AB192)="","",INDEX('Old Model Comparator'!$K:$K,$AB192)))</f>
        <v/>
      </c>
      <c r="L192" s="78" t="str">
        <f>IF($AB192="",IF('Model Comparator'!L52="","",'Model Comparator'!L52),IF(INDEX('Old Model Comparator'!$L:$L,$AB192)="","",INDEX('Old Model Comparator'!$L:$L,$AB192)))</f>
        <v/>
      </c>
      <c r="M192" s="78" t="str">
        <f>IF($AB192="",IF('Model Comparator'!M52="","",'Model Comparator'!M52),IF(INDEX('Old Model Comparator'!$M:$M,$AB192)="","",INDEX('Old Model Comparator'!$M:$M,$AB192)))</f>
        <v/>
      </c>
      <c r="N192" s="78" t="str">
        <f>IF($AB192="",IF('Model Comparator'!N52="","",'Model Comparator'!N52),IF(INDEX('Old Model Comparator'!$N:$N,$AB192)="","",INDEX('Old Model Comparator'!$N:$N,$AB192)))</f>
        <v/>
      </c>
      <c r="AB192" s="79" t="str">
        <f>IFERROR(MATCH($A192,'Old Model Comparator'!$A:$A,0),"")</f>
        <v/>
      </c>
      <c r="AC192" s="79" t="str">
        <f t="shared" si="4"/>
        <v>6.4</v>
      </c>
    </row>
    <row r="193" spans="1:29" x14ac:dyDescent="0.3">
      <c r="A193" s="19" t="str">
        <f>'Model Comparator'!A53</f>
        <v>6.5</v>
      </c>
      <c r="G193" s="78" t="str">
        <f>IF($AB193="",IF('Model Comparator'!G53="","",'Model Comparator'!G53),IF(INDEX('Old Model Comparator'!$G:$G,$AB193)="","",INDEX('Old Model Comparator'!$G:$G,$AB193)))</f>
        <v/>
      </c>
      <c r="H193" s="78" t="str">
        <f>IF($AB193="",IF('Model Comparator'!H53="","",'Model Comparator'!H53),IF(INDEX('Old Model Comparator'!$H:$H,$AB193)="","",INDEX('Old Model Comparator'!$H:$H,$AB193)))</f>
        <v/>
      </c>
      <c r="I193" s="78" t="str">
        <f>IF($AB193="",IF('Model Comparator'!I53="","",'Model Comparator'!I53),IF(INDEX('Old Model Comparator'!$I:$I,$AB193)="","",INDEX('Old Model Comparator'!$I:$I,$AB193)))</f>
        <v/>
      </c>
      <c r="J193" s="78" t="str">
        <f>IF($AB193="",IF('Model Comparator'!J53="","",'Model Comparator'!J53),IF(INDEX('Old Model Comparator'!$J:$J,$AB193)="","",INDEX('Old Model Comparator'!$J:$J,$AB193)))</f>
        <v/>
      </c>
      <c r="K193" s="78" t="str">
        <f>IF($AB193="",IF('Model Comparator'!K53="","",'Model Comparator'!K53),IF(INDEX('Old Model Comparator'!$K:$K,$AB193)="","",INDEX('Old Model Comparator'!$K:$K,$AB193)))</f>
        <v/>
      </c>
      <c r="L193" s="78" t="str">
        <f>IF($AB193="",IF('Model Comparator'!L53="","",'Model Comparator'!L53),IF(INDEX('Old Model Comparator'!$L:$L,$AB193)="","",INDEX('Old Model Comparator'!$L:$L,$AB193)))</f>
        <v/>
      </c>
      <c r="M193" s="78" t="str">
        <f>IF($AB193="",IF('Model Comparator'!M53="","",'Model Comparator'!M53),IF(INDEX('Old Model Comparator'!$M:$M,$AB193)="","",INDEX('Old Model Comparator'!$M:$M,$AB193)))</f>
        <v/>
      </c>
      <c r="N193" s="78" t="str">
        <f>IF($AB193="",IF('Model Comparator'!N53="","",'Model Comparator'!N53),IF(INDEX('Old Model Comparator'!$N:$N,$AB193)="","",INDEX('Old Model Comparator'!$N:$N,$AB193)))</f>
        <v/>
      </c>
      <c r="AB193" s="79" t="str">
        <f>IFERROR(MATCH($A193,'Old Model Comparator'!$A:$A,0),"")</f>
        <v/>
      </c>
      <c r="AC193" s="79" t="str">
        <f t="shared" si="4"/>
        <v>6.5</v>
      </c>
    </row>
    <row r="194" spans="1:29" x14ac:dyDescent="0.3">
      <c r="A194" s="19" t="str">
        <f>'Model Comparator'!A54</f>
        <v>6.6</v>
      </c>
      <c r="G194" s="78" t="str">
        <f>IF($AB194="",IF('Model Comparator'!G54="","",'Model Comparator'!G54),IF(INDEX('Old Model Comparator'!$G:$G,$AB194)="","",INDEX('Old Model Comparator'!$G:$G,$AB194)))</f>
        <v/>
      </c>
      <c r="H194" s="78" t="str">
        <f>IF($AB194="",IF('Model Comparator'!H54="","",'Model Comparator'!H54),IF(INDEX('Old Model Comparator'!$H:$H,$AB194)="","",INDEX('Old Model Comparator'!$H:$H,$AB194)))</f>
        <v/>
      </c>
      <c r="I194" s="78" t="str">
        <f>IF($AB194="",IF('Model Comparator'!I54="","",'Model Comparator'!I54),IF(INDEX('Old Model Comparator'!$I:$I,$AB194)="","",INDEX('Old Model Comparator'!$I:$I,$AB194)))</f>
        <v/>
      </c>
      <c r="J194" s="78" t="str">
        <f>IF($AB194="",IF('Model Comparator'!J54="","",'Model Comparator'!J54),IF(INDEX('Old Model Comparator'!$J:$J,$AB194)="","",INDEX('Old Model Comparator'!$J:$J,$AB194)))</f>
        <v/>
      </c>
      <c r="K194" s="78" t="str">
        <f>IF($AB194="",IF('Model Comparator'!K54="","",'Model Comparator'!K54),IF(INDEX('Old Model Comparator'!$K:$K,$AB194)="","",INDEX('Old Model Comparator'!$K:$K,$AB194)))</f>
        <v/>
      </c>
      <c r="L194" s="78" t="str">
        <f>IF($AB194="",IF('Model Comparator'!L54="","",'Model Comparator'!L54),IF(INDEX('Old Model Comparator'!$L:$L,$AB194)="","",INDEX('Old Model Comparator'!$L:$L,$AB194)))</f>
        <v/>
      </c>
      <c r="M194" s="78" t="str">
        <f>IF($AB194="",IF('Model Comparator'!M54="","",'Model Comparator'!M54),IF(INDEX('Old Model Comparator'!$M:$M,$AB194)="","",INDEX('Old Model Comparator'!$M:$M,$AB194)))</f>
        <v/>
      </c>
      <c r="N194" s="78" t="str">
        <f>IF($AB194="",IF('Model Comparator'!N54="","",'Model Comparator'!N54),IF(INDEX('Old Model Comparator'!$N:$N,$AB194)="","",INDEX('Old Model Comparator'!$N:$N,$AB194)))</f>
        <v/>
      </c>
      <c r="AB194" s="79" t="str">
        <f>IFERROR(MATCH($A194,'Old Model Comparator'!$A:$A,0),"")</f>
        <v/>
      </c>
      <c r="AC194" s="79" t="str">
        <f t="shared" si="4"/>
        <v>6.6</v>
      </c>
    </row>
    <row r="195" spans="1:29" x14ac:dyDescent="0.3">
      <c r="A195" s="19" t="str">
        <f>'Model Comparator'!A55</f>
        <v>7.1</v>
      </c>
      <c r="G195" s="78" t="str">
        <f>IF($AB195="",IF('Model Comparator'!G55="","",'Model Comparator'!G55),IF(INDEX('Old Model Comparator'!$G:$G,$AB195)="","",INDEX('Old Model Comparator'!$G:$G,$AB195)))</f>
        <v/>
      </c>
      <c r="H195" s="78" t="str">
        <f>IF($AB195="",IF('Model Comparator'!H55="","",'Model Comparator'!H55),IF(INDEX('Old Model Comparator'!$H:$H,$AB195)="","",INDEX('Old Model Comparator'!$H:$H,$AB195)))</f>
        <v/>
      </c>
      <c r="I195" s="78" t="str">
        <f>IF($AB195="",IF('Model Comparator'!I55="","",'Model Comparator'!I55),IF(INDEX('Old Model Comparator'!$I:$I,$AB195)="","",INDEX('Old Model Comparator'!$I:$I,$AB195)))</f>
        <v/>
      </c>
      <c r="J195" s="78" t="str">
        <f>IF($AB195="",IF('Model Comparator'!J55="","",'Model Comparator'!J55),IF(INDEX('Old Model Comparator'!$J:$J,$AB195)="","",INDEX('Old Model Comparator'!$J:$J,$AB195)))</f>
        <v/>
      </c>
      <c r="K195" s="78" t="str">
        <f>IF($AB195="",IF('Model Comparator'!K55="","",'Model Comparator'!K55),IF(INDEX('Old Model Comparator'!$K:$K,$AB195)="","",INDEX('Old Model Comparator'!$K:$K,$AB195)))</f>
        <v/>
      </c>
      <c r="L195" s="78" t="str">
        <f>IF($AB195="",IF('Model Comparator'!L55="","",'Model Comparator'!L55),IF(INDEX('Old Model Comparator'!$L:$L,$AB195)="","",INDEX('Old Model Comparator'!$L:$L,$AB195)))</f>
        <v/>
      </c>
      <c r="M195" s="78" t="str">
        <f>IF($AB195="",IF('Model Comparator'!M55="","",'Model Comparator'!M55),IF(INDEX('Old Model Comparator'!$M:$M,$AB195)="","",INDEX('Old Model Comparator'!$M:$M,$AB195)))</f>
        <v/>
      </c>
      <c r="N195" s="78" t="str">
        <f>IF($AB195="",IF('Model Comparator'!N55="","",'Model Comparator'!N55),IF(INDEX('Old Model Comparator'!$N:$N,$AB195)="","",INDEX('Old Model Comparator'!$N:$N,$AB195)))</f>
        <v/>
      </c>
      <c r="AB195" s="79" t="str">
        <f>IFERROR(MATCH($A195,'Old Model Comparator'!$A:$A,0),"")</f>
        <v/>
      </c>
      <c r="AC195" s="79" t="str">
        <f t="shared" si="4"/>
        <v>7.1</v>
      </c>
    </row>
    <row r="196" spans="1:29" x14ac:dyDescent="0.3">
      <c r="A196" s="19" t="str">
        <f>'Model Comparator'!A56</f>
        <v>7.2</v>
      </c>
      <c r="G196" s="78" t="str">
        <f>IF($AB196="",IF('Model Comparator'!G56="","",'Model Comparator'!G56),IF(INDEX('Old Model Comparator'!$G:$G,$AB196)="","",INDEX('Old Model Comparator'!$G:$G,$AB196)))</f>
        <v/>
      </c>
      <c r="H196" s="78" t="str">
        <f>IF($AB196="",IF('Model Comparator'!H56="","",'Model Comparator'!H56),IF(INDEX('Old Model Comparator'!$H:$H,$AB196)="","",INDEX('Old Model Comparator'!$H:$H,$AB196)))</f>
        <v/>
      </c>
      <c r="I196" s="78" t="str">
        <f>IF($AB196="",IF('Model Comparator'!I56="","",'Model Comparator'!I56),IF(INDEX('Old Model Comparator'!$I:$I,$AB196)="","",INDEX('Old Model Comparator'!$I:$I,$AB196)))</f>
        <v/>
      </c>
      <c r="J196" s="78" t="str">
        <f>IF($AB196="",IF('Model Comparator'!J56="","",'Model Comparator'!J56),IF(INDEX('Old Model Comparator'!$J:$J,$AB196)="","",INDEX('Old Model Comparator'!$J:$J,$AB196)))</f>
        <v/>
      </c>
      <c r="K196" s="78" t="str">
        <f>IF($AB196="",IF('Model Comparator'!K56="","",'Model Comparator'!K56),IF(INDEX('Old Model Comparator'!$K:$K,$AB196)="","",INDEX('Old Model Comparator'!$K:$K,$AB196)))</f>
        <v/>
      </c>
      <c r="L196" s="78" t="str">
        <f>IF($AB196="",IF('Model Comparator'!L56="","",'Model Comparator'!L56),IF(INDEX('Old Model Comparator'!$L:$L,$AB196)="","",INDEX('Old Model Comparator'!$L:$L,$AB196)))</f>
        <v/>
      </c>
      <c r="M196" s="78" t="str">
        <f>IF($AB196="",IF('Model Comparator'!M56="","",'Model Comparator'!M56),IF(INDEX('Old Model Comparator'!$M:$M,$AB196)="","",INDEX('Old Model Comparator'!$M:$M,$AB196)))</f>
        <v/>
      </c>
      <c r="N196" s="78" t="str">
        <f>IF($AB196="",IF('Model Comparator'!N56="","",'Model Comparator'!N56),IF(INDEX('Old Model Comparator'!$N:$N,$AB196)="","",INDEX('Old Model Comparator'!$N:$N,$AB196)))</f>
        <v/>
      </c>
      <c r="AB196" s="79" t="str">
        <f>IFERROR(MATCH($A196,'Old Model Comparator'!$A:$A,0),"")</f>
        <v/>
      </c>
      <c r="AC196" s="79" t="str">
        <f t="shared" si="4"/>
        <v>7.2</v>
      </c>
    </row>
    <row r="197" spans="1:29" x14ac:dyDescent="0.3">
      <c r="A197" s="19" t="str">
        <f>'Model Comparator'!A57</f>
        <v>7.3</v>
      </c>
      <c r="G197" s="78" t="str">
        <f>IF($AB197="",IF('Model Comparator'!G57="","",'Model Comparator'!G57),IF(INDEX('Old Model Comparator'!$G:$G,$AB197)="","",INDEX('Old Model Comparator'!$G:$G,$AB197)))</f>
        <v/>
      </c>
      <c r="H197" s="78" t="str">
        <f>IF($AB197="",IF('Model Comparator'!H57="","",'Model Comparator'!H57),IF(INDEX('Old Model Comparator'!$H:$H,$AB197)="","",INDEX('Old Model Comparator'!$H:$H,$AB197)))</f>
        <v/>
      </c>
      <c r="I197" s="78" t="str">
        <f>IF($AB197="",IF('Model Comparator'!I57="","",'Model Comparator'!I57),IF(INDEX('Old Model Comparator'!$I:$I,$AB197)="","",INDEX('Old Model Comparator'!$I:$I,$AB197)))</f>
        <v/>
      </c>
      <c r="J197" s="78" t="str">
        <f>IF($AB197="",IF('Model Comparator'!J57="","",'Model Comparator'!J57),IF(INDEX('Old Model Comparator'!$J:$J,$AB197)="","",INDEX('Old Model Comparator'!$J:$J,$AB197)))</f>
        <v/>
      </c>
      <c r="K197" s="78" t="str">
        <f>IF($AB197="",IF('Model Comparator'!K57="","",'Model Comparator'!K57),IF(INDEX('Old Model Comparator'!$K:$K,$AB197)="","",INDEX('Old Model Comparator'!$K:$K,$AB197)))</f>
        <v/>
      </c>
      <c r="L197" s="78" t="str">
        <f>IF($AB197="",IF('Model Comparator'!L57="","",'Model Comparator'!L57),IF(INDEX('Old Model Comparator'!$L:$L,$AB197)="","",INDEX('Old Model Comparator'!$L:$L,$AB197)))</f>
        <v/>
      </c>
      <c r="M197" s="78" t="str">
        <f>IF($AB197="",IF('Model Comparator'!M57="","",'Model Comparator'!M57),IF(INDEX('Old Model Comparator'!$M:$M,$AB197)="","",INDEX('Old Model Comparator'!$M:$M,$AB197)))</f>
        <v/>
      </c>
      <c r="N197" s="78" t="str">
        <f>IF($AB197="",IF('Model Comparator'!N57="","",'Model Comparator'!N57),IF(INDEX('Old Model Comparator'!$N:$N,$AB197)="","",INDEX('Old Model Comparator'!$N:$N,$AB197)))</f>
        <v/>
      </c>
      <c r="AB197" s="79" t="str">
        <f>IFERROR(MATCH($A197,'Old Model Comparator'!$A:$A,0),"")</f>
        <v/>
      </c>
      <c r="AC197" s="79" t="str">
        <f t="shared" si="4"/>
        <v>7.3</v>
      </c>
    </row>
    <row r="198" spans="1:29" x14ac:dyDescent="0.3">
      <c r="A198" s="19" t="str">
        <f>'Model Comparator'!A58</f>
        <v>7.4</v>
      </c>
      <c r="G198" s="78" t="str">
        <f>IF($AB198="",IF('Model Comparator'!G58="","",'Model Comparator'!G58),IF(INDEX('Old Model Comparator'!$G:$G,$AB198)="","",INDEX('Old Model Comparator'!$G:$G,$AB198)))</f>
        <v/>
      </c>
      <c r="H198" s="78" t="str">
        <f>IF($AB198="",IF('Model Comparator'!H58="","",'Model Comparator'!H58),IF(INDEX('Old Model Comparator'!$H:$H,$AB198)="","",INDEX('Old Model Comparator'!$H:$H,$AB198)))</f>
        <v/>
      </c>
      <c r="I198" s="78" t="str">
        <f>IF($AB198="",IF('Model Comparator'!I58="","",'Model Comparator'!I58),IF(INDEX('Old Model Comparator'!$I:$I,$AB198)="","",INDEX('Old Model Comparator'!$I:$I,$AB198)))</f>
        <v/>
      </c>
      <c r="J198" s="78" t="str">
        <f>IF($AB198="",IF('Model Comparator'!J58="","",'Model Comparator'!J58),IF(INDEX('Old Model Comparator'!$J:$J,$AB198)="","",INDEX('Old Model Comparator'!$J:$J,$AB198)))</f>
        <v/>
      </c>
      <c r="K198" s="78" t="str">
        <f>IF($AB198="",IF('Model Comparator'!K58="","",'Model Comparator'!K58),IF(INDEX('Old Model Comparator'!$K:$K,$AB198)="","",INDEX('Old Model Comparator'!$K:$K,$AB198)))</f>
        <v/>
      </c>
      <c r="L198" s="78" t="str">
        <f>IF($AB198="",IF('Model Comparator'!L58="","",'Model Comparator'!L58),IF(INDEX('Old Model Comparator'!$L:$L,$AB198)="","",INDEX('Old Model Comparator'!$L:$L,$AB198)))</f>
        <v/>
      </c>
      <c r="M198" s="78" t="str">
        <f>IF($AB198="",IF('Model Comparator'!M58="","",'Model Comparator'!M58),IF(INDEX('Old Model Comparator'!$M:$M,$AB198)="","",INDEX('Old Model Comparator'!$M:$M,$AB198)))</f>
        <v/>
      </c>
      <c r="N198" s="78" t="str">
        <f>IF($AB198="",IF('Model Comparator'!N58="","",'Model Comparator'!N58),IF(INDEX('Old Model Comparator'!$N:$N,$AB198)="","",INDEX('Old Model Comparator'!$N:$N,$AB198)))</f>
        <v/>
      </c>
      <c r="AB198" s="79" t="str">
        <f>IFERROR(MATCH($A198,'Old Model Comparator'!$A:$A,0),"")</f>
        <v/>
      </c>
      <c r="AC198" s="79" t="str">
        <f t="shared" si="4"/>
        <v>7.4</v>
      </c>
    </row>
    <row r="199" spans="1:29" x14ac:dyDescent="0.3">
      <c r="A199" s="19" t="str">
        <f>'Model Comparator'!A59</f>
        <v>7.5</v>
      </c>
      <c r="G199" s="78" t="str">
        <f>IF($AB199="",IF('Model Comparator'!G59="","",'Model Comparator'!G59),IF(INDEX('Old Model Comparator'!$G:$G,$AB199)="","",INDEX('Old Model Comparator'!$G:$G,$AB199)))</f>
        <v/>
      </c>
      <c r="H199" s="78" t="str">
        <f>IF($AB199="",IF('Model Comparator'!H59="","",'Model Comparator'!H59),IF(INDEX('Old Model Comparator'!$H:$H,$AB199)="","",INDEX('Old Model Comparator'!$H:$H,$AB199)))</f>
        <v/>
      </c>
      <c r="I199" s="78" t="str">
        <f>IF($AB199="",IF('Model Comparator'!I59="","",'Model Comparator'!I59),IF(INDEX('Old Model Comparator'!$I:$I,$AB199)="","",INDEX('Old Model Comparator'!$I:$I,$AB199)))</f>
        <v/>
      </c>
      <c r="J199" s="78" t="str">
        <f>IF($AB199="",IF('Model Comparator'!J59="","",'Model Comparator'!J59),IF(INDEX('Old Model Comparator'!$J:$J,$AB199)="","",INDEX('Old Model Comparator'!$J:$J,$AB199)))</f>
        <v/>
      </c>
      <c r="K199" s="78" t="str">
        <f>IF($AB199="",IF('Model Comparator'!K59="","",'Model Comparator'!K59),IF(INDEX('Old Model Comparator'!$K:$K,$AB199)="","",INDEX('Old Model Comparator'!$K:$K,$AB199)))</f>
        <v/>
      </c>
      <c r="L199" s="78" t="str">
        <f>IF($AB199="",IF('Model Comparator'!L59="","",'Model Comparator'!L59),IF(INDEX('Old Model Comparator'!$L:$L,$AB199)="","",INDEX('Old Model Comparator'!$L:$L,$AB199)))</f>
        <v/>
      </c>
      <c r="M199" s="78" t="str">
        <f>IF($AB199="",IF('Model Comparator'!M59="","",'Model Comparator'!M59),IF(INDEX('Old Model Comparator'!$M:$M,$AB199)="","",INDEX('Old Model Comparator'!$M:$M,$AB199)))</f>
        <v/>
      </c>
      <c r="N199" s="78" t="str">
        <f>IF($AB199="",IF('Model Comparator'!N59="","",'Model Comparator'!N59),IF(INDEX('Old Model Comparator'!$N:$N,$AB199)="","",INDEX('Old Model Comparator'!$N:$N,$AB199)))</f>
        <v/>
      </c>
      <c r="AB199" s="79" t="str">
        <f>IFERROR(MATCH($A199,'Old Model Comparator'!$A:$A,0),"")</f>
        <v/>
      </c>
      <c r="AC199" s="79" t="str">
        <f t="shared" si="4"/>
        <v>7.5</v>
      </c>
    </row>
    <row r="200" spans="1:29" x14ac:dyDescent="0.3">
      <c r="A200" s="19" t="str">
        <f>'Model Comparator'!A60</f>
        <v>8.1</v>
      </c>
      <c r="G200" s="78" t="str">
        <f>IF($AB200="",IF('Model Comparator'!G60="","",'Model Comparator'!G60),IF(INDEX('Old Model Comparator'!$G:$G,$AB200)="","",INDEX('Old Model Comparator'!$G:$G,$AB200)))</f>
        <v/>
      </c>
      <c r="H200" s="78" t="str">
        <f>IF($AB200="",IF('Model Comparator'!H60="","",'Model Comparator'!H60),IF(INDEX('Old Model Comparator'!$H:$H,$AB200)="","",INDEX('Old Model Comparator'!$H:$H,$AB200)))</f>
        <v/>
      </c>
      <c r="I200" s="78" t="str">
        <f>IF($AB200="",IF('Model Comparator'!I60="","",'Model Comparator'!I60),IF(INDEX('Old Model Comparator'!$I:$I,$AB200)="","",INDEX('Old Model Comparator'!$I:$I,$AB200)))</f>
        <v/>
      </c>
      <c r="J200" s="78" t="str">
        <f>IF($AB200="",IF('Model Comparator'!J60="","",'Model Comparator'!J60),IF(INDEX('Old Model Comparator'!$J:$J,$AB200)="","",INDEX('Old Model Comparator'!$J:$J,$AB200)))</f>
        <v/>
      </c>
      <c r="K200" s="78" t="str">
        <f>IF($AB200="",IF('Model Comparator'!K60="","",'Model Comparator'!K60),IF(INDEX('Old Model Comparator'!$K:$K,$AB200)="","",INDEX('Old Model Comparator'!$K:$K,$AB200)))</f>
        <v/>
      </c>
      <c r="L200" s="78" t="str">
        <f>IF($AB200="",IF('Model Comparator'!L60="","",'Model Comparator'!L60),IF(INDEX('Old Model Comparator'!$L:$L,$AB200)="","",INDEX('Old Model Comparator'!$L:$L,$AB200)))</f>
        <v/>
      </c>
      <c r="M200" s="78" t="str">
        <f>IF($AB200="",IF('Model Comparator'!M60="","",'Model Comparator'!M60),IF(INDEX('Old Model Comparator'!$M:$M,$AB200)="","",INDEX('Old Model Comparator'!$M:$M,$AB200)))</f>
        <v/>
      </c>
      <c r="N200" s="78" t="str">
        <f>IF($AB200="",IF('Model Comparator'!N60="","",'Model Comparator'!N60),IF(INDEX('Old Model Comparator'!$N:$N,$AB200)="","",INDEX('Old Model Comparator'!$N:$N,$AB200)))</f>
        <v/>
      </c>
      <c r="AB200" s="79" t="str">
        <f>IFERROR(MATCH($A200,'Old Model Comparator'!$A:$A,0),"")</f>
        <v/>
      </c>
      <c r="AC200" s="79" t="str">
        <f t="shared" si="4"/>
        <v>8.1</v>
      </c>
    </row>
    <row r="201" spans="1:29" x14ac:dyDescent="0.3">
      <c r="A201" s="19" t="str">
        <f>'Model Comparator'!A61</f>
        <v>8.2</v>
      </c>
      <c r="G201" s="78" t="str">
        <f>IF($AB201="",IF('Model Comparator'!G61="","",'Model Comparator'!G61),IF(INDEX('Old Model Comparator'!$G:$G,$AB201)="","",INDEX('Old Model Comparator'!$G:$G,$AB201)))</f>
        <v/>
      </c>
      <c r="H201" s="78" t="str">
        <f>IF($AB201="",IF('Model Comparator'!H61="","",'Model Comparator'!H61),IF(INDEX('Old Model Comparator'!$H:$H,$AB201)="","",INDEX('Old Model Comparator'!$H:$H,$AB201)))</f>
        <v/>
      </c>
      <c r="I201" s="78" t="str">
        <f>IF($AB201="",IF('Model Comparator'!I61="","",'Model Comparator'!I61),IF(INDEX('Old Model Comparator'!$I:$I,$AB201)="","",INDEX('Old Model Comparator'!$I:$I,$AB201)))</f>
        <v/>
      </c>
      <c r="J201" s="78" t="str">
        <f>IF($AB201="",IF('Model Comparator'!J61="","",'Model Comparator'!J61),IF(INDEX('Old Model Comparator'!$J:$J,$AB201)="","",INDEX('Old Model Comparator'!$J:$J,$AB201)))</f>
        <v/>
      </c>
      <c r="K201" s="78" t="str">
        <f>IF($AB201="",IF('Model Comparator'!K61="","",'Model Comparator'!K61),IF(INDEX('Old Model Comparator'!$K:$K,$AB201)="","",INDEX('Old Model Comparator'!$K:$K,$AB201)))</f>
        <v/>
      </c>
      <c r="L201" s="78" t="str">
        <f>IF($AB201="",IF('Model Comparator'!L61="","",'Model Comparator'!L61),IF(INDEX('Old Model Comparator'!$L:$L,$AB201)="","",INDEX('Old Model Comparator'!$L:$L,$AB201)))</f>
        <v/>
      </c>
      <c r="M201" s="78" t="str">
        <f>IF($AB201="",IF('Model Comparator'!M61="","",'Model Comparator'!M61),IF(INDEX('Old Model Comparator'!$M:$M,$AB201)="","",INDEX('Old Model Comparator'!$M:$M,$AB201)))</f>
        <v/>
      </c>
      <c r="N201" s="78" t="str">
        <f>IF($AB201="",IF('Model Comparator'!N61="","",'Model Comparator'!N61),IF(INDEX('Old Model Comparator'!$N:$N,$AB201)="","",INDEX('Old Model Comparator'!$N:$N,$AB201)))</f>
        <v/>
      </c>
      <c r="AB201" s="79" t="str">
        <f>IFERROR(MATCH($A201,'Old Model Comparator'!$A:$A,0),"")</f>
        <v/>
      </c>
      <c r="AC201" s="79" t="str">
        <f t="shared" si="4"/>
        <v>8.2</v>
      </c>
    </row>
    <row r="202" spans="1:29" x14ac:dyDescent="0.3">
      <c r="A202" s="19" t="str">
        <f>'Model Comparator'!A62</f>
        <v>8.3</v>
      </c>
      <c r="G202" s="78" t="str">
        <f>IF($AB202="",IF('Model Comparator'!G62="","",'Model Comparator'!G62),IF(INDEX('Old Model Comparator'!$G:$G,$AB202)="","",INDEX('Old Model Comparator'!$G:$G,$AB202)))</f>
        <v/>
      </c>
      <c r="H202" s="78" t="str">
        <f>IF($AB202="",IF('Model Comparator'!H62="","",'Model Comparator'!H62),IF(INDEX('Old Model Comparator'!$H:$H,$AB202)="","",INDEX('Old Model Comparator'!$H:$H,$AB202)))</f>
        <v/>
      </c>
      <c r="I202" s="78" t="str">
        <f>IF($AB202="",IF('Model Comparator'!I62="","",'Model Comparator'!I62),IF(INDEX('Old Model Comparator'!$I:$I,$AB202)="","",INDEX('Old Model Comparator'!$I:$I,$AB202)))</f>
        <v/>
      </c>
      <c r="J202" s="78" t="str">
        <f>IF($AB202="",IF('Model Comparator'!J62="","",'Model Comparator'!J62),IF(INDEX('Old Model Comparator'!$J:$J,$AB202)="","",INDEX('Old Model Comparator'!$J:$J,$AB202)))</f>
        <v/>
      </c>
      <c r="K202" s="78" t="str">
        <f>IF($AB202="",IF('Model Comparator'!K62="","",'Model Comparator'!K62),IF(INDEX('Old Model Comparator'!$K:$K,$AB202)="","",INDEX('Old Model Comparator'!$K:$K,$AB202)))</f>
        <v/>
      </c>
      <c r="L202" s="78" t="str">
        <f>IF($AB202="",IF('Model Comparator'!L62="","",'Model Comparator'!L62),IF(INDEX('Old Model Comparator'!$L:$L,$AB202)="","",INDEX('Old Model Comparator'!$L:$L,$AB202)))</f>
        <v/>
      </c>
      <c r="M202" s="78" t="str">
        <f>IF($AB202="",IF('Model Comparator'!M62="","",'Model Comparator'!M62),IF(INDEX('Old Model Comparator'!$M:$M,$AB202)="","",INDEX('Old Model Comparator'!$M:$M,$AB202)))</f>
        <v/>
      </c>
      <c r="N202" s="78" t="str">
        <f>IF($AB202="",IF('Model Comparator'!N62="","",'Model Comparator'!N62),IF(INDEX('Old Model Comparator'!$N:$N,$AB202)="","",INDEX('Old Model Comparator'!$N:$N,$AB202)))</f>
        <v/>
      </c>
      <c r="AB202" s="79" t="str">
        <f>IFERROR(MATCH($A202,'Old Model Comparator'!$A:$A,0),"")</f>
        <v/>
      </c>
      <c r="AC202" s="79" t="str">
        <f t="shared" si="4"/>
        <v>8.3</v>
      </c>
    </row>
    <row r="203" spans="1:29" x14ac:dyDescent="0.3">
      <c r="A203" s="19" t="str">
        <f>'Model Comparator'!A63</f>
        <v>8.4</v>
      </c>
      <c r="G203" s="78" t="str">
        <f>IF($AB203="",IF('Model Comparator'!G63="","",'Model Comparator'!G63),IF(INDEX('Old Model Comparator'!$G:$G,$AB203)="","",INDEX('Old Model Comparator'!$G:$G,$AB203)))</f>
        <v/>
      </c>
      <c r="H203" s="78" t="str">
        <f>IF($AB203="",IF('Model Comparator'!H63="","",'Model Comparator'!H63),IF(INDEX('Old Model Comparator'!$H:$H,$AB203)="","",INDEX('Old Model Comparator'!$H:$H,$AB203)))</f>
        <v/>
      </c>
      <c r="I203" s="78" t="str">
        <f>IF($AB203="",IF('Model Comparator'!I63="","",'Model Comparator'!I63),IF(INDEX('Old Model Comparator'!$I:$I,$AB203)="","",INDEX('Old Model Comparator'!$I:$I,$AB203)))</f>
        <v/>
      </c>
      <c r="J203" s="78" t="str">
        <f>IF($AB203="",IF('Model Comparator'!J63="","",'Model Comparator'!J63),IF(INDEX('Old Model Comparator'!$J:$J,$AB203)="","",INDEX('Old Model Comparator'!$J:$J,$AB203)))</f>
        <v/>
      </c>
      <c r="K203" s="78" t="str">
        <f>IF($AB203="",IF('Model Comparator'!K63="","",'Model Comparator'!K63),IF(INDEX('Old Model Comparator'!$K:$K,$AB203)="","",INDEX('Old Model Comparator'!$K:$K,$AB203)))</f>
        <v/>
      </c>
      <c r="L203" s="78" t="str">
        <f>IF($AB203="",IF('Model Comparator'!L63="","",'Model Comparator'!L63),IF(INDEX('Old Model Comparator'!$L:$L,$AB203)="","",INDEX('Old Model Comparator'!$L:$L,$AB203)))</f>
        <v/>
      </c>
      <c r="M203" s="78" t="str">
        <f>IF($AB203="",IF('Model Comparator'!M63="","",'Model Comparator'!M63),IF(INDEX('Old Model Comparator'!$M:$M,$AB203)="","",INDEX('Old Model Comparator'!$M:$M,$AB203)))</f>
        <v/>
      </c>
      <c r="N203" s="78" t="str">
        <f>IF($AB203="",IF('Model Comparator'!N63="","",'Model Comparator'!N63),IF(INDEX('Old Model Comparator'!$N:$N,$AB203)="","",INDEX('Old Model Comparator'!$N:$N,$AB203)))</f>
        <v/>
      </c>
      <c r="AB203" s="79" t="str">
        <f>IFERROR(MATCH($A203,'Old Model Comparator'!$A:$A,0),"")</f>
        <v/>
      </c>
      <c r="AC203" s="79" t="str">
        <f t="shared" si="4"/>
        <v>8.4</v>
      </c>
    </row>
    <row r="204" spans="1:29" x14ac:dyDescent="0.3">
      <c r="A204" s="19" t="str">
        <f>'Model Comparator'!A64</f>
        <v>8.5</v>
      </c>
      <c r="G204" s="78" t="str">
        <f>IF($AB204="",IF('Model Comparator'!G64="","",'Model Comparator'!G64),IF(INDEX('Old Model Comparator'!$G:$G,$AB204)="","",INDEX('Old Model Comparator'!$G:$G,$AB204)))</f>
        <v/>
      </c>
      <c r="H204" s="78" t="str">
        <f>IF($AB204="",IF('Model Comparator'!H64="","",'Model Comparator'!H64),IF(INDEX('Old Model Comparator'!$H:$H,$AB204)="","",INDEX('Old Model Comparator'!$H:$H,$AB204)))</f>
        <v/>
      </c>
      <c r="I204" s="78" t="str">
        <f>IF($AB204="",IF('Model Comparator'!I64="","",'Model Comparator'!I64),IF(INDEX('Old Model Comparator'!$I:$I,$AB204)="","",INDEX('Old Model Comparator'!$I:$I,$AB204)))</f>
        <v/>
      </c>
      <c r="J204" s="78" t="str">
        <f>IF($AB204="",IF('Model Comparator'!J64="","",'Model Comparator'!J64),IF(INDEX('Old Model Comparator'!$J:$J,$AB204)="","",INDEX('Old Model Comparator'!$J:$J,$AB204)))</f>
        <v/>
      </c>
      <c r="K204" s="78" t="str">
        <f>IF($AB204="",IF('Model Comparator'!K64="","",'Model Comparator'!K64),IF(INDEX('Old Model Comparator'!$K:$K,$AB204)="","",INDEX('Old Model Comparator'!$K:$K,$AB204)))</f>
        <v/>
      </c>
      <c r="L204" s="78" t="str">
        <f>IF($AB204="",IF('Model Comparator'!L64="","",'Model Comparator'!L64),IF(INDEX('Old Model Comparator'!$L:$L,$AB204)="","",INDEX('Old Model Comparator'!$L:$L,$AB204)))</f>
        <v/>
      </c>
      <c r="M204" s="78" t="str">
        <f>IF($AB204="",IF('Model Comparator'!M64="","",'Model Comparator'!M64),IF(INDEX('Old Model Comparator'!$M:$M,$AB204)="","",INDEX('Old Model Comparator'!$M:$M,$AB204)))</f>
        <v/>
      </c>
      <c r="N204" s="78" t="str">
        <f>IF($AB204="",IF('Model Comparator'!N64="","",'Model Comparator'!N64),IF(INDEX('Old Model Comparator'!$N:$N,$AB204)="","",INDEX('Old Model Comparator'!$N:$N,$AB204)))</f>
        <v/>
      </c>
      <c r="AB204" s="79" t="str">
        <f>IFERROR(MATCH($A204,'Old Model Comparator'!$A:$A,0),"")</f>
        <v/>
      </c>
      <c r="AC204" s="79" t="str">
        <f t="shared" si="4"/>
        <v>8.5</v>
      </c>
    </row>
    <row r="205" spans="1:29" x14ac:dyDescent="0.3">
      <c r="A205" s="19" t="str">
        <f>'Model Comparator'!A65</f>
        <v>9.1</v>
      </c>
      <c r="G205" s="78" t="str">
        <f>IF($AB205="",IF('Model Comparator'!G65="","",'Model Comparator'!G65),IF(INDEX('Old Model Comparator'!$G:$G,$AB205)="","",INDEX('Old Model Comparator'!$G:$G,$AB205)))</f>
        <v/>
      </c>
      <c r="H205" s="78" t="str">
        <f>IF($AB205="",IF('Model Comparator'!H65="","",'Model Comparator'!H65),IF(INDEX('Old Model Comparator'!$H:$H,$AB205)="","",INDEX('Old Model Comparator'!$H:$H,$AB205)))</f>
        <v/>
      </c>
      <c r="I205" s="78" t="str">
        <f>IF($AB205="",IF('Model Comparator'!I65="","",'Model Comparator'!I65),IF(INDEX('Old Model Comparator'!$I:$I,$AB205)="","",INDEX('Old Model Comparator'!$I:$I,$AB205)))</f>
        <v/>
      </c>
      <c r="J205" s="78" t="str">
        <f>IF($AB205="",IF('Model Comparator'!J65="","",'Model Comparator'!J65),IF(INDEX('Old Model Comparator'!$J:$J,$AB205)="","",INDEX('Old Model Comparator'!$J:$J,$AB205)))</f>
        <v/>
      </c>
      <c r="K205" s="78" t="str">
        <f>IF($AB205="",IF('Model Comparator'!K65="","",'Model Comparator'!K65),IF(INDEX('Old Model Comparator'!$K:$K,$AB205)="","",INDEX('Old Model Comparator'!$K:$K,$AB205)))</f>
        <v/>
      </c>
      <c r="L205" s="78" t="str">
        <f>IF($AB205="",IF('Model Comparator'!L65="","",'Model Comparator'!L65),IF(INDEX('Old Model Comparator'!$L:$L,$AB205)="","",INDEX('Old Model Comparator'!$L:$L,$AB205)))</f>
        <v/>
      </c>
      <c r="M205" s="78" t="str">
        <f>IF($AB205="",IF('Model Comparator'!M65="","",'Model Comparator'!M65),IF(INDEX('Old Model Comparator'!$M:$M,$AB205)="","",INDEX('Old Model Comparator'!$M:$M,$AB205)))</f>
        <v/>
      </c>
      <c r="N205" s="78" t="str">
        <f>IF($AB205="",IF('Model Comparator'!N65="","",'Model Comparator'!N65),IF(INDEX('Old Model Comparator'!$N:$N,$AB205)="","",INDEX('Old Model Comparator'!$N:$N,$AB205)))</f>
        <v/>
      </c>
      <c r="AB205" s="79" t="str">
        <f>IFERROR(MATCH($A205,'Old Model Comparator'!$A:$A,0),"")</f>
        <v/>
      </c>
      <c r="AC205" s="79" t="str">
        <f t="shared" si="4"/>
        <v>9.1</v>
      </c>
    </row>
    <row r="206" spans="1:29" x14ac:dyDescent="0.3">
      <c r="A206" s="19" t="str">
        <f>'Model Comparator'!A66</f>
        <v>9.2</v>
      </c>
      <c r="G206" s="78" t="str">
        <f>IF($AB206="",IF('Model Comparator'!G66="","",'Model Comparator'!G66),IF(INDEX('Old Model Comparator'!$G:$G,$AB206)="","",INDEX('Old Model Comparator'!$G:$G,$AB206)))</f>
        <v/>
      </c>
      <c r="H206" s="78" t="str">
        <f>IF($AB206="",IF('Model Comparator'!H66="","",'Model Comparator'!H66),IF(INDEX('Old Model Comparator'!$H:$H,$AB206)="","",INDEX('Old Model Comparator'!$H:$H,$AB206)))</f>
        <v/>
      </c>
      <c r="I206" s="78" t="str">
        <f>IF($AB206="",IF('Model Comparator'!I66="","",'Model Comparator'!I66),IF(INDEX('Old Model Comparator'!$I:$I,$AB206)="","",INDEX('Old Model Comparator'!$I:$I,$AB206)))</f>
        <v/>
      </c>
      <c r="J206" s="78" t="str">
        <f>IF($AB206="",IF('Model Comparator'!J66="","",'Model Comparator'!J66),IF(INDEX('Old Model Comparator'!$J:$J,$AB206)="","",INDEX('Old Model Comparator'!$J:$J,$AB206)))</f>
        <v/>
      </c>
      <c r="K206" s="78" t="str">
        <f>IF($AB206="",IF('Model Comparator'!K66="","",'Model Comparator'!K66),IF(INDEX('Old Model Comparator'!$K:$K,$AB206)="","",INDEX('Old Model Comparator'!$K:$K,$AB206)))</f>
        <v/>
      </c>
      <c r="L206" s="78" t="str">
        <f>IF($AB206="",IF('Model Comparator'!L66="","",'Model Comparator'!L66),IF(INDEX('Old Model Comparator'!$L:$L,$AB206)="","",INDEX('Old Model Comparator'!$L:$L,$AB206)))</f>
        <v/>
      </c>
      <c r="M206" s="78" t="str">
        <f>IF($AB206="",IF('Model Comparator'!M66="","",'Model Comparator'!M66),IF(INDEX('Old Model Comparator'!$M:$M,$AB206)="","",INDEX('Old Model Comparator'!$M:$M,$AB206)))</f>
        <v/>
      </c>
      <c r="N206" s="78" t="str">
        <f>IF($AB206="",IF('Model Comparator'!N66="","",'Model Comparator'!N66),IF(INDEX('Old Model Comparator'!$N:$N,$AB206)="","",INDEX('Old Model Comparator'!$N:$N,$AB206)))</f>
        <v/>
      </c>
      <c r="AB206" s="79" t="str">
        <f>IFERROR(MATCH($A206,'Old Model Comparator'!$A:$A,0),"")</f>
        <v/>
      </c>
      <c r="AC206" s="79" t="str">
        <f t="shared" si="4"/>
        <v>9.2</v>
      </c>
    </row>
    <row r="207" spans="1:29" x14ac:dyDescent="0.3">
      <c r="A207" s="19" t="str">
        <f>'Model Comparator'!A67</f>
        <v>9.3</v>
      </c>
      <c r="G207" s="78" t="str">
        <f>IF($AB207="",IF('Model Comparator'!G67="","",'Model Comparator'!G67),IF(INDEX('Old Model Comparator'!$G:$G,$AB207)="","",INDEX('Old Model Comparator'!$G:$G,$AB207)))</f>
        <v/>
      </c>
      <c r="H207" s="78" t="str">
        <f>IF($AB207="",IF('Model Comparator'!H67="","",'Model Comparator'!H67),IF(INDEX('Old Model Comparator'!$H:$H,$AB207)="","",INDEX('Old Model Comparator'!$H:$H,$AB207)))</f>
        <v/>
      </c>
      <c r="I207" s="78" t="str">
        <f>IF($AB207="",IF('Model Comparator'!I67="","",'Model Comparator'!I67),IF(INDEX('Old Model Comparator'!$I:$I,$AB207)="","",INDEX('Old Model Comparator'!$I:$I,$AB207)))</f>
        <v/>
      </c>
      <c r="J207" s="78" t="str">
        <f>IF($AB207="",IF('Model Comparator'!J67="","",'Model Comparator'!J67),IF(INDEX('Old Model Comparator'!$J:$J,$AB207)="","",INDEX('Old Model Comparator'!$J:$J,$AB207)))</f>
        <v/>
      </c>
      <c r="K207" s="78" t="str">
        <f>IF($AB207="",IF('Model Comparator'!K67="","",'Model Comparator'!K67),IF(INDEX('Old Model Comparator'!$K:$K,$AB207)="","",INDEX('Old Model Comparator'!$K:$K,$AB207)))</f>
        <v/>
      </c>
      <c r="L207" s="78" t="str">
        <f>IF($AB207="",IF('Model Comparator'!L67="","",'Model Comparator'!L67),IF(INDEX('Old Model Comparator'!$L:$L,$AB207)="","",INDEX('Old Model Comparator'!$L:$L,$AB207)))</f>
        <v/>
      </c>
      <c r="M207" s="78" t="str">
        <f>IF($AB207="",IF('Model Comparator'!M67="","",'Model Comparator'!M67),IF(INDEX('Old Model Comparator'!$M:$M,$AB207)="","",INDEX('Old Model Comparator'!$M:$M,$AB207)))</f>
        <v/>
      </c>
      <c r="N207" s="78" t="str">
        <f>IF($AB207="",IF('Model Comparator'!N67="","",'Model Comparator'!N67),IF(INDEX('Old Model Comparator'!$N:$N,$AB207)="","",INDEX('Old Model Comparator'!$N:$N,$AB207)))</f>
        <v/>
      </c>
      <c r="AB207" s="79" t="str">
        <f>IFERROR(MATCH($A207,'Old Model Comparator'!$A:$A,0),"")</f>
        <v/>
      </c>
      <c r="AC207" s="79" t="str">
        <f t="shared" si="4"/>
        <v>9.3</v>
      </c>
    </row>
    <row r="208" spans="1:29" x14ac:dyDescent="0.3">
      <c r="A208" s="19" t="str">
        <f>'Model Comparator'!A68</f>
        <v>9.4</v>
      </c>
      <c r="G208" s="78" t="str">
        <f>IF($AB208="",IF('Model Comparator'!G68="","",'Model Comparator'!G68),IF(INDEX('Old Model Comparator'!$G:$G,$AB208)="","",INDEX('Old Model Comparator'!$G:$G,$AB208)))</f>
        <v/>
      </c>
      <c r="H208" s="78" t="str">
        <f>IF($AB208="",IF('Model Comparator'!H68="","",'Model Comparator'!H68),IF(INDEX('Old Model Comparator'!$H:$H,$AB208)="","",INDEX('Old Model Comparator'!$H:$H,$AB208)))</f>
        <v/>
      </c>
      <c r="I208" s="78" t="str">
        <f>IF($AB208="",IF('Model Comparator'!I68="","",'Model Comparator'!I68),IF(INDEX('Old Model Comparator'!$I:$I,$AB208)="","",INDEX('Old Model Comparator'!$I:$I,$AB208)))</f>
        <v/>
      </c>
      <c r="J208" s="78" t="str">
        <f>IF($AB208="",IF('Model Comparator'!J68="","",'Model Comparator'!J68),IF(INDEX('Old Model Comparator'!$J:$J,$AB208)="","",INDEX('Old Model Comparator'!$J:$J,$AB208)))</f>
        <v/>
      </c>
      <c r="K208" s="78" t="str">
        <f>IF($AB208="",IF('Model Comparator'!K68="","",'Model Comparator'!K68),IF(INDEX('Old Model Comparator'!$K:$K,$AB208)="","",INDEX('Old Model Comparator'!$K:$K,$AB208)))</f>
        <v/>
      </c>
      <c r="L208" s="78" t="str">
        <f>IF($AB208="",IF('Model Comparator'!L68="","",'Model Comparator'!L68),IF(INDEX('Old Model Comparator'!$L:$L,$AB208)="","",INDEX('Old Model Comparator'!$L:$L,$AB208)))</f>
        <v/>
      </c>
      <c r="M208" s="78" t="str">
        <f>IF($AB208="",IF('Model Comparator'!M68="","",'Model Comparator'!M68),IF(INDEX('Old Model Comparator'!$M:$M,$AB208)="","",INDEX('Old Model Comparator'!$M:$M,$AB208)))</f>
        <v/>
      </c>
      <c r="N208" s="78" t="str">
        <f>IF($AB208="",IF('Model Comparator'!N68="","",'Model Comparator'!N68),IF(INDEX('Old Model Comparator'!$N:$N,$AB208)="","",INDEX('Old Model Comparator'!$N:$N,$AB208)))</f>
        <v/>
      </c>
      <c r="AB208" s="79" t="str">
        <f>IFERROR(MATCH($A208,'Old Model Comparator'!$A:$A,0),"")</f>
        <v/>
      </c>
      <c r="AC208" s="79" t="str">
        <f t="shared" si="4"/>
        <v>9.4</v>
      </c>
    </row>
    <row r="209" spans="1:29" x14ac:dyDescent="0.3">
      <c r="A209" s="19" t="str">
        <f>'Model Comparator'!A69</f>
        <v>9.5</v>
      </c>
      <c r="G209" s="78" t="str">
        <f>IF($AB209="",IF('Model Comparator'!G69="","",'Model Comparator'!G69),IF(INDEX('Old Model Comparator'!$G:$G,$AB209)="","",INDEX('Old Model Comparator'!$G:$G,$AB209)))</f>
        <v/>
      </c>
      <c r="H209" s="78" t="str">
        <f>IF($AB209="",IF('Model Comparator'!H69="","",'Model Comparator'!H69),IF(INDEX('Old Model Comparator'!$H:$H,$AB209)="","",INDEX('Old Model Comparator'!$H:$H,$AB209)))</f>
        <v/>
      </c>
      <c r="I209" s="78" t="str">
        <f>IF($AB209="",IF('Model Comparator'!I69="","",'Model Comparator'!I69),IF(INDEX('Old Model Comparator'!$I:$I,$AB209)="","",INDEX('Old Model Comparator'!$I:$I,$AB209)))</f>
        <v/>
      </c>
      <c r="J209" s="78" t="str">
        <f>IF($AB209="",IF('Model Comparator'!J69="","",'Model Comparator'!J69),IF(INDEX('Old Model Comparator'!$J:$J,$AB209)="","",INDEX('Old Model Comparator'!$J:$J,$AB209)))</f>
        <v/>
      </c>
      <c r="K209" s="78" t="str">
        <f>IF($AB209="",IF('Model Comparator'!K69="","",'Model Comparator'!K69),IF(INDEX('Old Model Comparator'!$K:$K,$AB209)="","",INDEX('Old Model Comparator'!$K:$K,$AB209)))</f>
        <v/>
      </c>
      <c r="L209" s="78" t="str">
        <f>IF($AB209="",IF('Model Comparator'!L69="","",'Model Comparator'!L69),IF(INDEX('Old Model Comparator'!$L:$L,$AB209)="","",INDEX('Old Model Comparator'!$L:$L,$AB209)))</f>
        <v/>
      </c>
      <c r="M209" s="78" t="str">
        <f>IF($AB209="",IF('Model Comparator'!M69="","",'Model Comparator'!M69),IF(INDEX('Old Model Comparator'!$M:$M,$AB209)="","",INDEX('Old Model Comparator'!$M:$M,$AB209)))</f>
        <v/>
      </c>
      <c r="N209" s="78" t="str">
        <f>IF($AB209="",IF('Model Comparator'!N69="","",'Model Comparator'!N69),IF(INDEX('Old Model Comparator'!$N:$N,$AB209)="","",INDEX('Old Model Comparator'!$N:$N,$AB209)))</f>
        <v/>
      </c>
      <c r="AB209" s="79" t="str">
        <f>IFERROR(MATCH($A209,'Old Model Comparator'!$A:$A,0),"")</f>
        <v/>
      </c>
      <c r="AC209" s="79" t="str">
        <f t="shared" si="4"/>
        <v>9.5</v>
      </c>
    </row>
    <row r="210" spans="1:29" x14ac:dyDescent="0.3">
      <c r="A210" s="19" t="str">
        <f>'Model Comparator'!A70</f>
        <v>9.6</v>
      </c>
      <c r="G210" s="78" t="str">
        <f>IF($AB210="",IF('Model Comparator'!G70="","",'Model Comparator'!G70),IF(INDEX('Old Model Comparator'!$G:$G,$AB210)="","",INDEX('Old Model Comparator'!$G:$G,$AB210)))</f>
        <v/>
      </c>
      <c r="H210" s="78" t="str">
        <f>IF($AB210="",IF('Model Comparator'!H70="","",'Model Comparator'!H70),IF(INDEX('Old Model Comparator'!$H:$H,$AB210)="","",INDEX('Old Model Comparator'!$H:$H,$AB210)))</f>
        <v/>
      </c>
      <c r="I210" s="78" t="str">
        <f>IF($AB210="",IF('Model Comparator'!I70="","",'Model Comparator'!I70),IF(INDEX('Old Model Comparator'!$I:$I,$AB210)="","",INDEX('Old Model Comparator'!$I:$I,$AB210)))</f>
        <v/>
      </c>
      <c r="J210" s="78" t="str">
        <f>IF($AB210="",IF('Model Comparator'!J70="","",'Model Comparator'!J70),IF(INDEX('Old Model Comparator'!$J:$J,$AB210)="","",INDEX('Old Model Comparator'!$J:$J,$AB210)))</f>
        <v/>
      </c>
      <c r="K210" s="78" t="str">
        <f>IF($AB210="",IF('Model Comparator'!K70="","",'Model Comparator'!K70),IF(INDEX('Old Model Comparator'!$K:$K,$AB210)="","",INDEX('Old Model Comparator'!$K:$K,$AB210)))</f>
        <v/>
      </c>
      <c r="L210" s="78" t="str">
        <f>IF($AB210="",IF('Model Comparator'!L70="","",'Model Comparator'!L70),IF(INDEX('Old Model Comparator'!$L:$L,$AB210)="","",INDEX('Old Model Comparator'!$L:$L,$AB210)))</f>
        <v/>
      </c>
      <c r="M210" s="78" t="str">
        <f>IF($AB210="",IF('Model Comparator'!M70="","",'Model Comparator'!M70),IF(INDEX('Old Model Comparator'!$M:$M,$AB210)="","",INDEX('Old Model Comparator'!$M:$M,$AB210)))</f>
        <v/>
      </c>
      <c r="N210" s="78" t="str">
        <f>IF($AB210="",IF('Model Comparator'!N70="","",'Model Comparator'!N70),IF(INDEX('Old Model Comparator'!$N:$N,$AB210)="","",INDEX('Old Model Comparator'!$N:$N,$AB210)))</f>
        <v/>
      </c>
      <c r="AB210" s="79" t="str">
        <f>IFERROR(MATCH($A210,'Old Model Comparator'!$A:$A,0),"")</f>
        <v/>
      </c>
      <c r="AC210" s="79" t="str">
        <f t="shared" si="4"/>
        <v>9.6</v>
      </c>
    </row>
    <row r="211" spans="1:29" x14ac:dyDescent="0.3">
      <c r="A211" s="19" t="str">
        <f>'Model Comparator'!A71</f>
        <v>9.7</v>
      </c>
      <c r="G211" s="78" t="str">
        <f>IF($AB211="",IF('Model Comparator'!G71="","",'Model Comparator'!G71),IF(INDEX('Old Model Comparator'!$G:$G,$AB211)="","",INDEX('Old Model Comparator'!$G:$G,$AB211)))</f>
        <v/>
      </c>
      <c r="H211" s="78" t="str">
        <f>IF($AB211="",IF('Model Comparator'!H71="","",'Model Comparator'!H71),IF(INDEX('Old Model Comparator'!$H:$H,$AB211)="","",INDEX('Old Model Comparator'!$H:$H,$AB211)))</f>
        <v/>
      </c>
      <c r="I211" s="78" t="str">
        <f>IF($AB211="",IF('Model Comparator'!I71="","",'Model Comparator'!I71),IF(INDEX('Old Model Comparator'!$I:$I,$AB211)="","",INDEX('Old Model Comparator'!$I:$I,$AB211)))</f>
        <v/>
      </c>
      <c r="J211" s="78" t="str">
        <f>IF($AB211="",IF('Model Comparator'!J71="","",'Model Comparator'!J71),IF(INDEX('Old Model Comparator'!$J:$J,$AB211)="","",INDEX('Old Model Comparator'!$J:$J,$AB211)))</f>
        <v/>
      </c>
      <c r="K211" s="78" t="str">
        <f>IF($AB211="",IF('Model Comparator'!K71="","",'Model Comparator'!K71),IF(INDEX('Old Model Comparator'!$K:$K,$AB211)="","",INDEX('Old Model Comparator'!$K:$K,$AB211)))</f>
        <v/>
      </c>
      <c r="L211" s="78" t="str">
        <f>IF($AB211="",IF('Model Comparator'!L71="","",'Model Comparator'!L71),IF(INDEX('Old Model Comparator'!$L:$L,$AB211)="","",INDEX('Old Model Comparator'!$L:$L,$AB211)))</f>
        <v/>
      </c>
      <c r="M211" s="78" t="str">
        <f>IF($AB211="",IF('Model Comparator'!M71="","",'Model Comparator'!M71),IF(INDEX('Old Model Comparator'!$M:$M,$AB211)="","",INDEX('Old Model Comparator'!$M:$M,$AB211)))</f>
        <v/>
      </c>
      <c r="N211" s="78" t="str">
        <f>IF($AB211="",IF('Model Comparator'!N71="","",'Model Comparator'!N71),IF(INDEX('Old Model Comparator'!$N:$N,$AB211)="","",INDEX('Old Model Comparator'!$N:$N,$AB211)))</f>
        <v/>
      </c>
      <c r="AB211" s="79" t="str">
        <f>IFERROR(MATCH($A211,'Old Model Comparator'!$A:$A,0),"")</f>
        <v/>
      </c>
      <c r="AC211" s="79" t="str">
        <f t="shared" si="4"/>
        <v>9.7</v>
      </c>
    </row>
    <row r="212" spans="1:29" x14ac:dyDescent="0.3">
      <c r="A212" s="19" t="str">
        <f>'Model Comparator'!A72</f>
        <v>9.8</v>
      </c>
      <c r="G212" s="78" t="str">
        <f>IF($AB212="",IF('Model Comparator'!G72="","",'Model Comparator'!G72),IF(INDEX('Old Model Comparator'!$G:$G,$AB212)="","",INDEX('Old Model Comparator'!$G:$G,$AB212)))</f>
        <v/>
      </c>
      <c r="H212" s="78" t="str">
        <f>IF($AB212="",IF('Model Comparator'!H72="","",'Model Comparator'!H72),IF(INDEX('Old Model Comparator'!$H:$H,$AB212)="","",INDEX('Old Model Comparator'!$H:$H,$AB212)))</f>
        <v/>
      </c>
      <c r="I212" s="78" t="str">
        <f>IF($AB212="",IF('Model Comparator'!I72="","",'Model Comparator'!I72),IF(INDEX('Old Model Comparator'!$I:$I,$AB212)="","",INDEX('Old Model Comparator'!$I:$I,$AB212)))</f>
        <v/>
      </c>
      <c r="J212" s="78" t="str">
        <f>IF($AB212="",IF('Model Comparator'!J72="","",'Model Comparator'!J72),IF(INDEX('Old Model Comparator'!$J:$J,$AB212)="","",INDEX('Old Model Comparator'!$J:$J,$AB212)))</f>
        <v/>
      </c>
      <c r="K212" s="78" t="str">
        <f>IF($AB212="",IF('Model Comparator'!K72="","",'Model Comparator'!K72),IF(INDEX('Old Model Comparator'!$K:$K,$AB212)="","",INDEX('Old Model Comparator'!$K:$K,$AB212)))</f>
        <v/>
      </c>
      <c r="L212" s="78" t="str">
        <f>IF($AB212="",IF('Model Comparator'!L72="","",'Model Comparator'!L72),IF(INDEX('Old Model Comparator'!$L:$L,$AB212)="","",INDEX('Old Model Comparator'!$L:$L,$AB212)))</f>
        <v/>
      </c>
      <c r="M212" s="78" t="str">
        <f>IF($AB212="",IF('Model Comparator'!M72="","",'Model Comparator'!M72),IF(INDEX('Old Model Comparator'!$M:$M,$AB212)="","",INDEX('Old Model Comparator'!$M:$M,$AB212)))</f>
        <v/>
      </c>
      <c r="N212" s="78" t="str">
        <f>IF($AB212="",IF('Model Comparator'!N72="","",'Model Comparator'!N72),IF(INDEX('Old Model Comparator'!$N:$N,$AB212)="","",INDEX('Old Model Comparator'!$N:$N,$AB212)))</f>
        <v/>
      </c>
      <c r="AB212" s="79" t="str">
        <f>IFERROR(MATCH($A212,'Old Model Comparator'!$A:$A,0),"")</f>
        <v/>
      </c>
      <c r="AC212" s="79" t="str">
        <f t="shared" si="4"/>
        <v>9.8</v>
      </c>
    </row>
    <row r="213" spans="1:29" x14ac:dyDescent="0.3">
      <c r="A213" s="19" t="str">
        <f>'Model Comparator'!A73</f>
        <v>9.9</v>
      </c>
      <c r="G213" s="78" t="str">
        <f>IF($AB213="",IF('Model Comparator'!G73="","",'Model Comparator'!G73),IF(INDEX('Old Model Comparator'!$G:$G,$AB213)="","",INDEX('Old Model Comparator'!$G:$G,$AB213)))</f>
        <v/>
      </c>
      <c r="H213" s="78" t="str">
        <f>IF($AB213="",IF('Model Comparator'!H73="","",'Model Comparator'!H73),IF(INDEX('Old Model Comparator'!$H:$H,$AB213)="","",INDEX('Old Model Comparator'!$H:$H,$AB213)))</f>
        <v/>
      </c>
      <c r="I213" s="78" t="str">
        <f>IF($AB213="",IF('Model Comparator'!I73="","",'Model Comparator'!I73),IF(INDEX('Old Model Comparator'!$I:$I,$AB213)="","",INDEX('Old Model Comparator'!$I:$I,$AB213)))</f>
        <v/>
      </c>
      <c r="J213" s="78" t="str">
        <f>IF($AB213="",IF('Model Comparator'!J73="","",'Model Comparator'!J73),IF(INDEX('Old Model Comparator'!$J:$J,$AB213)="","",INDEX('Old Model Comparator'!$J:$J,$AB213)))</f>
        <v/>
      </c>
      <c r="K213" s="78" t="str">
        <f>IF($AB213="",IF('Model Comparator'!K73="","",'Model Comparator'!K73),IF(INDEX('Old Model Comparator'!$K:$K,$AB213)="","",INDEX('Old Model Comparator'!$K:$K,$AB213)))</f>
        <v/>
      </c>
      <c r="L213" s="78" t="str">
        <f>IF($AB213="",IF('Model Comparator'!L73="","",'Model Comparator'!L73),IF(INDEX('Old Model Comparator'!$L:$L,$AB213)="","",INDEX('Old Model Comparator'!$L:$L,$AB213)))</f>
        <v/>
      </c>
      <c r="M213" s="78" t="str">
        <f>IF($AB213="",IF('Model Comparator'!M73="","",'Model Comparator'!M73),IF(INDEX('Old Model Comparator'!$M:$M,$AB213)="","",INDEX('Old Model Comparator'!$M:$M,$AB213)))</f>
        <v/>
      </c>
      <c r="N213" s="78" t="str">
        <f>IF($AB213="",IF('Model Comparator'!N73="","",'Model Comparator'!N73),IF(INDEX('Old Model Comparator'!$N:$N,$AB213)="","",INDEX('Old Model Comparator'!$N:$N,$AB213)))</f>
        <v/>
      </c>
      <c r="AB213" s="79" t="str">
        <f>IFERROR(MATCH($A213,'Old Model Comparator'!$A:$A,0),"")</f>
        <v/>
      </c>
      <c r="AC213" s="79" t="str">
        <f t="shared" si="4"/>
        <v>9.9</v>
      </c>
    </row>
    <row r="214" spans="1:29" x14ac:dyDescent="0.3">
      <c r="A214" s="19" t="str">
        <f>'Model Comparator'!A74</f>
        <v>9.10</v>
      </c>
      <c r="G214" s="78" t="str">
        <f>IF($AB214="",IF('Model Comparator'!G74="","",'Model Comparator'!G74),IF(INDEX('Old Model Comparator'!$G:$G,$AB214)="","",INDEX('Old Model Comparator'!$G:$G,$AB214)))</f>
        <v/>
      </c>
      <c r="H214" s="78" t="str">
        <f>IF($AB214="",IF('Model Comparator'!H74="","",'Model Comparator'!H74),IF(INDEX('Old Model Comparator'!$H:$H,$AB214)="","",INDEX('Old Model Comparator'!$H:$H,$AB214)))</f>
        <v/>
      </c>
      <c r="I214" s="78" t="str">
        <f>IF($AB214="",IF('Model Comparator'!I74="","",'Model Comparator'!I74),IF(INDEX('Old Model Comparator'!$I:$I,$AB214)="","",INDEX('Old Model Comparator'!$I:$I,$AB214)))</f>
        <v/>
      </c>
      <c r="J214" s="78" t="str">
        <f>IF($AB214="",IF('Model Comparator'!J74="","",'Model Comparator'!J74),IF(INDEX('Old Model Comparator'!$J:$J,$AB214)="","",INDEX('Old Model Comparator'!$J:$J,$AB214)))</f>
        <v/>
      </c>
      <c r="K214" s="78" t="str">
        <f>IF($AB214="",IF('Model Comparator'!K74="","",'Model Comparator'!K74),IF(INDEX('Old Model Comparator'!$K:$K,$AB214)="","",INDEX('Old Model Comparator'!$K:$K,$AB214)))</f>
        <v/>
      </c>
      <c r="L214" s="78" t="str">
        <f>IF($AB214="",IF('Model Comparator'!L74="","",'Model Comparator'!L74),IF(INDEX('Old Model Comparator'!$L:$L,$AB214)="","",INDEX('Old Model Comparator'!$L:$L,$AB214)))</f>
        <v/>
      </c>
      <c r="M214" s="78" t="str">
        <f>IF($AB214="",IF('Model Comparator'!M74="","",'Model Comparator'!M74),IF(INDEX('Old Model Comparator'!$M:$M,$AB214)="","",INDEX('Old Model Comparator'!$M:$M,$AB214)))</f>
        <v/>
      </c>
      <c r="N214" s="78" t="str">
        <f>IF($AB214="",IF('Model Comparator'!N74="","",'Model Comparator'!N74),IF(INDEX('Old Model Comparator'!$N:$N,$AB214)="","",INDEX('Old Model Comparator'!$N:$N,$AB214)))</f>
        <v/>
      </c>
      <c r="AB214" s="79" t="str">
        <f>IFERROR(MATCH($A214,'Old Model Comparator'!$A:$A,0),"")</f>
        <v/>
      </c>
      <c r="AC214" s="79" t="str">
        <f t="shared" si="4"/>
        <v>9.10</v>
      </c>
    </row>
    <row r="215" spans="1:29" x14ac:dyDescent="0.3">
      <c r="A215" s="19" t="str">
        <f>'Model Comparator'!A75</f>
        <v>9.11</v>
      </c>
      <c r="G215" s="78" t="str">
        <f>IF($AB215="",IF('Model Comparator'!G75="","",'Model Comparator'!G75),IF(INDEX('Old Model Comparator'!$G:$G,$AB215)="","",INDEX('Old Model Comparator'!$G:$G,$AB215)))</f>
        <v/>
      </c>
      <c r="H215" s="78" t="str">
        <f>IF($AB215="",IF('Model Comparator'!H75="","",'Model Comparator'!H75),IF(INDEX('Old Model Comparator'!$H:$H,$AB215)="","",INDEX('Old Model Comparator'!$H:$H,$AB215)))</f>
        <v/>
      </c>
      <c r="I215" s="78" t="str">
        <f>IF($AB215="",IF('Model Comparator'!I75="","",'Model Comparator'!I75),IF(INDEX('Old Model Comparator'!$I:$I,$AB215)="","",INDEX('Old Model Comparator'!$I:$I,$AB215)))</f>
        <v/>
      </c>
      <c r="J215" s="78" t="str">
        <f>IF($AB215="",IF('Model Comparator'!J75="","",'Model Comparator'!J75),IF(INDEX('Old Model Comparator'!$J:$J,$AB215)="","",INDEX('Old Model Comparator'!$J:$J,$AB215)))</f>
        <v/>
      </c>
      <c r="K215" s="78" t="str">
        <f>IF($AB215="",IF('Model Comparator'!K75="","",'Model Comparator'!K75),IF(INDEX('Old Model Comparator'!$K:$K,$AB215)="","",INDEX('Old Model Comparator'!$K:$K,$AB215)))</f>
        <v/>
      </c>
      <c r="L215" s="78" t="str">
        <f>IF($AB215="",IF('Model Comparator'!L75="","",'Model Comparator'!L75),IF(INDEX('Old Model Comparator'!$L:$L,$AB215)="","",INDEX('Old Model Comparator'!$L:$L,$AB215)))</f>
        <v/>
      </c>
      <c r="M215" s="78" t="str">
        <f>IF($AB215="",IF('Model Comparator'!M75="","",'Model Comparator'!M75),IF(INDEX('Old Model Comparator'!$M:$M,$AB215)="","",INDEX('Old Model Comparator'!$M:$M,$AB215)))</f>
        <v/>
      </c>
      <c r="N215" s="78" t="str">
        <f>IF($AB215="",IF('Model Comparator'!N75="","",'Model Comparator'!N75),IF(INDEX('Old Model Comparator'!$N:$N,$AB215)="","",INDEX('Old Model Comparator'!$N:$N,$AB215)))</f>
        <v/>
      </c>
      <c r="AB215" s="79" t="str">
        <f>IFERROR(MATCH($A215,'Old Model Comparator'!$A:$A,0),"")</f>
        <v/>
      </c>
      <c r="AC215" s="79" t="str">
        <f t="shared" si="4"/>
        <v>9.11</v>
      </c>
    </row>
    <row r="216" spans="1:29" x14ac:dyDescent="0.3">
      <c r="A216" s="19" t="str">
        <f>'Model Comparator'!A76</f>
        <v>9.12</v>
      </c>
      <c r="G216" s="78" t="str">
        <f>IF($AB216="",IF('Model Comparator'!G76="","",'Model Comparator'!G76),IF(INDEX('Old Model Comparator'!$G:$G,$AB216)="","",INDEX('Old Model Comparator'!$G:$G,$AB216)))</f>
        <v/>
      </c>
      <c r="H216" s="78" t="str">
        <f>IF($AB216="",IF('Model Comparator'!H76="","",'Model Comparator'!H76),IF(INDEX('Old Model Comparator'!$H:$H,$AB216)="","",INDEX('Old Model Comparator'!$H:$H,$AB216)))</f>
        <v/>
      </c>
      <c r="I216" s="78" t="str">
        <f>IF($AB216="",IF('Model Comparator'!I76="","",'Model Comparator'!I76),IF(INDEX('Old Model Comparator'!$I:$I,$AB216)="","",INDEX('Old Model Comparator'!$I:$I,$AB216)))</f>
        <v/>
      </c>
      <c r="J216" s="78" t="str">
        <f>IF($AB216="",IF('Model Comparator'!J76="","",'Model Comparator'!J76),IF(INDEX('Old Model Comparator'!$J:$J,$AB216)="","",INDEX('Old Model Comparator'!$J:$J,$AB216)))</f>
        <v/>
      </c>
      <c r="K216" s="78" t="str">
        <f>IF($AB216="",IF('Model Comparator'!K76="","",'Model Comparator'!K76),IF(INDEX('Old Model Comparator'!$K:$K,$AB216)="","",INDEX('Old Model Comparator'!$K:$K,$AB216)))</f>
        <v/>
      </c>
      <c r="L216" s="78" t="str">
        <f>IF($AB216="",IF('Model Comparator'!L76="","",'Model Comparator'!L76),IF(INDEX('Old Model Comparator'!$L:$L,$AB216)="","",INDEX('Old Model Comparator'!$L:$L,$AB216)))</f>
        <v/>
      </c>
      <c r="M216" s="78" t="str">
        <f>IF($AB216="",IF('Model Comparator'!M76="","",'Model Comparator'!M76),IF(INDEX('Old Model Comparator'!$M:$M,$AB216)="","",INDEX('Old Model Comparator'!$M:$M,$AB216)))</f>
        <v/>
      </c>
      <c r="N216" s="78" t="str">
        <f>IF($AB216="",IF('Model Comparator'!N76="","",'Model Comparator'!N76),IF(INDEX('Old Model Comparator'!$N:$N,$AB216)="","",INDEX('Old Model Comparator'!$N:$N,$AB216)))</f>
        <v/>
      </c>
      <c r="AB216" s="79" t="str">
        <f>IFERROR(MATCH($A216,'Old Model Comparator'!$A:$A,0),"")</f>
        <v/>
      </c>
      <c r="AC216" s="79" t="str">
        <f t="shared" si="4"/>
        <v>9.12</v>
      </c>
    </row>
    <row r="217" spans="1:29" x14ac:dyDescent="0.3">
      <c r="A217" s="19" t="str">
        <f>'Model Comparator'!A77</f>
        <v>9.13</v>
      </c>
      <c r="G217" s="78" t="str">
        <f>IF($AB217="",IF('Model Comparator'!G77="","",'Model Comparator'!G77),IF(INDEX('Old Model Comparator'!$G:$G,$AB217)="","",INDEX('Old Model Comparator'!$G:$G,$AB217)))</f>
        <v/>
      </c>
      <c r="H217" s="78" t="str">
        <f>IF($AB217="",IF('Model Comparator'!H77="","",'Model Comparator'!H77),IF(INDEX('Old Model Comparator'!$H:$H,$AB217)="","",INDEX('Old Model Comparator'!$H:$H,$AB217)))</f>
        <v/>
      </c>
      <c r="I217" s="78" t="str">
        <f>IF($AB217="",IF('Model Comparator'!I77="","",'Model Comparator'!I77),IF(INDEX('Old Model Comparator'!$I:$I,$AB217)="","",INDEX('Old Model Comparator'!$I:$I,$AB217)))</f>
        <v/>
      </c>
      <c r="J217" s="78" t="str">
        <f>IF($AB217="",IF('Model Comparator'!J77="","",'Model Comparator'!J77),IF(INDEX('Old Model Comparator'!$J:$J,$AB217)="","",INDEX('Old Model Comparator'!$J:$J,$AB217)))</f>
        <v/>
      </c>
      <c r="K217" s="78" t="str">
        <f>IF($AB217="",IF('Model Comparator'!K77="","",'Model Comparator'!K77),IF(INDEX('Old Model Comparator'!$K:$K,$AB217)="","",INDEX('Old Model Comparator'!$K:$K,$AB217)))</f>
        <v/>
      </c>
      <c r="L217" s="78" t="str">
        <f>IF($AB217="",IF('Model Comparator'!L77="","",'Model Comparator'!L77),IF(INDEX('Old Model Comparator'!$L:$L,$AB217)="","",INDEX('Old Model Comparator'!$L:$L,$AB217)))</f>
        <v/>
      </c>
      <c r="M217" s="78" t="str">
        <f>IF($AB217="",IF('Model Comparator'!M77="","",'Model Comparator'!M77),IF(INDEX('Old Model Comparator'!$M:$M,$AB217)="","",INDEX('Old Model Comparator'!$M:$M,$AB217)))</f>
        <v/>
      </c>
      <c r="N217" s="78" t="str">
        <f>IF($AB217="",IF('Model Comparator'!N77="","",'Model Comparator'!N77),IF(INDEX('Old Model Comparator'!$N:$N,$AB217)="","",INDEX('Old Model Comparator'!$N:$N,$AB217)))</f>
        <v/>
      </c>
      <c r="AB217" s="79" t="str">
        <f>IFERROR(MATCH($A217,'Old Model Comparator'!$A:$A,0),"")</f>
        <v/>
      </c>
      <c r="AC217" s="79" t="str">
        <f t="shared" si="4"/>
        <v>9.13</v>
      </c>
    </row>
    <row r="219" spans="1:29" ht="17.399999999999999" x14ac:dyDescent="0.35">
      <c r="A219" s="74" t="s">
        <v>969</v>
      </c>
    </row>
    <row r="220" spans="1:29" x14ac:dyDescent="0.3">
      <c r="A220" s="19" t="s">
        <v>970</v>
      </c>
    </row>
    <row r="221" spans="1:29" x14ac:dyDescent="0.3">
      <c r="A221" s="19" t="s">
        <v>971</v>
      </c>
    </row>
    <row r="222" spans="1:29" x14ac:dyDescent="0.3">
      <c r="A222" s="11" t="s">
        <v>910</v>
      </c>
      <c r="B222" s="19" t="str">
        <f>IF(ISNUMBER(MATCH("ID",'Old MCP Server Checklist'!$A:$A,0)),"detected","not pasted yet")</f>
        <v>not pasted yet</v>
      </c>
    </row>
    <row r="223" spans="1:29" x14ac:dyDescent="0.3">
      <c r="A223" s="11" t="s">
        <v>918</v>
      </c>
      <c r="B223" s="19" t="str">
        <f>COUNT($AB$232:$AB$247)&amp;" of "&amp;COUNTA($A$232:$A$247)</f>
        <v>0 of 16</v>
      </c>
    </row>
    <row r="224" spans="1:29" x14ac:dyDescent="0.3">
      <c r="A224" s="11" t="s">
        <v>919</v>
      </c>
      <c r="D224" s="19" t="str">
        <f>IF($B$222="not pasted yet","-",IF(_xlfn.TEXTJOIN(", ",TRUE(),$AC$232:$AC$247)="","none",_xlfn.TEXTJOIN(", ",TRUE(),$AC$232:$AC$247)))</f>
        <v>-</v>
      </c>
    </row>
    <row r="225" spans="1:30" x14ac:dyDescent="0.3">
      <c r="A225" s="11" t="s">
        <v>972</v>
      </c>
      <c r="D225" s="19" t="str">
        <f>IF($B$222="not pasted yet","-",IF(_xlfn.TEXTJOIN(", ",TRUE(),$AD$232:$AD$247)="","none",_xlfn.TEXTJOIN(", ",TRUE(),$AD$232:$AD$247)))</f>
        <v>-</v>
      </c>
    </row>
    <row r="226" spans="1:30" x14ac:dyDescent="0.3">
      <c r="A226" s="75" t="s">
        <v>615</v>
      </c>
      <c r="B226" s="75" t="s">
        <v>620</v>
      </c>
      <c r="C226" s="75" t="s">
        <v>621</v>
      </c>
      <c r="E226" s="75" t="s">
        <v>921</v>
      </c>
      <c r="F226" s="75" t="s">
        <v>922</v>
      </c>
      <c r="G226" s="75" t="s">
        <v>923</v>
      </c>
      <c r="I226" s="75" t="s">
        <v>925</v>
      </c>
    </row>
    <row r="227" spans="1:30" ht="30" customHeight="1" x14ac:dyDescent="0.3">
      <c r="A227" s="76" t="s">
        <v>68</v>
      </c>
      <c r="B227" s="76" t="s">
        <v>973</v>
      </c>
      <c r="C227" s="77" t="s">
        <v>974</v>
      </c>
      <c r="E227" s="77" t="s">
        <v>975</v>
      </c>
      <c r="F227" s="77" t="s">
        <v>976</v>
      </c>
      <c r="G227" s="77" t="s">
        <v>977</v>
      </c>
      <c r="I227" s="77" t="s">
        <v>978</v>
      </c>
    </row>
    <row r="228" spans="1:30" x14ac:dyDescent="0.3">
      <c r="B228" s="79" t="s">
        <v>979</v>
      </c>
      <c r="I228" s="78" t="str">
        <f>IF('Old MCP Server Checklist'!I2="",IF('MCP Server Checklist'!I2="","",'MCP Server Checklist'!I2),'Old MCP Server Checklist'!I2)</f>
        <v/>
      </c>
    </row>
    <row r="229" spans="1:30" x14ac:dyDescent="0.3">
      <c r="B229" s="79" t="s">
        <v>980</v>
      </c>
      <c r="C229" s="78" t="str">
        <f>IF('Old MCP Server Checklist'!C3="",IF('MCP Server Checklist'!C3="","",'MCP Server Checklist'!C3),'Old MCP Server Checklist'!C3)</f>
        <v>2026-07-28</v>
      </c>
      <c r="E229" s="78" t="str">
        <f>IF('Old MCP Server Checklist'!E3="",IF('MCP Server Checklist'!E3="","",'MCP Server Checklist'!E3),'Old MCP Server Checklist'!E3)</f>
        <v/>
      </c>
      <c r="G229" s="78" t="str">
        <f>IF('Old MCP Server Checklist'!G3="",IF('MCP Server Checklist'!G3="","",'MCP Server Checklist'!G3),'Old MCP Server Checklist'!G3)</f>
        <v/>
      </c>
      <c r="I229" s="78" t="str">
        <f>IF('Old MCP Server Checklist'!I3="",IF('MCP Server Checklist'!I3="","",'MCP Server Checklist'!I3),'Old MCP Server Checklist'!I3)</f>
        <v/>
      </c>
    </row>
    <row r="230" spans="1:30" x14ac:dyDescent="0.3">
      <c r="B230" s="79" t="s">
        <v>981</v>
      </c>
      <c r="C230" s="78" t="str">
        <f>IF('Old MCP Server Checklist'!C4="",IF('MCP Server Checklist'!C4="","",'MCP Server Checklist'!C4),'Old MCP Server Checklist'!C4)</f>
        <v/>
      </c>
      <c r="E230" s="78" t="str">
        <f>IF('Old MCP Server Checklist'!E4="",IF('MCP Server Checklist'!E4="","",'MCP Server Checklist'!E4),'Old MCP Server Checklist'!E4)</f>
        <v/>
      </c>
      <c r="G230" s="78" t="str">
        <f>IF('Old MCP Server Checklist'!G4="",IF('MCP Server Checklist'!G4="","",'MCP Server Checklist'!G4),'Old MCP Server Checklist'!G4)</f>
        <v/>
      </c>
    </row>
    <row r="232" spans="1:30" x14ac:dyDescent="0.3">
      <c r="A232" s="19" t="str">
        <f>'MCP Server Checklist'!A6</f>
        <v>MS.1</v>
      </c>
      <c r="B232" s="79" t="str">
        <f>'MCP Server Checklist'!B6</f>
        <v>Source &amp; code</v>
      </c>
      <c r="E232" s="78" t="str">
        <f>IF($AB232="",IF('MCP Server Checklist'!E6="","",'MCP Server Checklist'!E6),IF(INDEX('Old MCP Server Checklist'!$E:$E,$AB232)="","",INDEX('Old MCP Server Checklist'!$E:$E,$AB232)))</f>
        <v/>
      </c>
      <c r="F232" s="78" t="str">
        <f>IF($AB232="",IF('MCP Server Checklist'!F6="","",'MCP Server Checklist'!F6),IF(INDEX('Old MCP Server Checklist'!$F:$F,$AB232)="","",INDEX('Old MCP Server Checklist'!$F:$F,$AB232)))</f>
        <v/>
      </c>
      <c r="G232" s="78" t="str">
        <f>IF($AB232="",IF('MCP Server Checklist'!G6="","",'MCP Server Checklist'!G6),IF(INDEX('Old MCP Server Checklist'!$G:$G,$AB232)="","",INDEX('Old MCP Server Checklist'!$G:$G,$AB232)))</f>
        <v/>
      </c>
      <c r="AB232" s="79" t="str">
        <f>IFERROR(MATCH($A232,'Old MCP Server Checklist'!$A:$A,0),"")</f>
        <v/>
      </c>
      <c r="AC232" s="79" t="str">
        <f t="shared" ref="AC232:AC247" si="5">IF(AND($A232&lt;&gt;"",$AB232=""),$A232,"")</f>
        <v>MS.1</v>
      </c>
      <c r="AD232" s="79" t="str">
        <f>IF($AB232="","",IF(INDEX('Old MCP Server Checklist'!$D:$D,$AB232)&lt;&gt;'MCP Server Checklist'!D6,$A232,""))</f>
        <v/>
      </c>
    </row>
    <row r="233" spans="1:30" x14ac:dyDescent="0.3">
      <c r="A233" s="19" t="str">
        <f>'MCP Server Checklist'!A7</f>
        <v>MS.2</v>
      </c>
      <c r="B233" s="79" t="str">
        <f>'MCP Server Checklist'!B7</f>
        <v>Source &amp; code</v>
      </c>
      <c r="E233" s="78" t="str">
        <f>IF($AB233="",IF('MCP Server Checklist'!E7="","",'MCP Server Checklist'!E7),IF(INDEX('Old MCP Server Checklist'!$E:$E,$AB233)="","",INDEX('Old MCP Server Checklist'!$E:$E,$AB233)))</f>
        <v/>
      </c>
      <c r="F233" s="78" t="str">
        <f>IF($AB233="",IF('MCP Server Checklist'!F7="","",'MCP Server Checklist'!F7),IF(INDEX('Old MCP Server Checklist'!$F:$F,$AB233)="","",INDEX('Old MCP Server Checklist'!$F:$F,$AB233)))</f>
        <v/>
      </c>
      <c r="G233" s="78" t="str">
        <f>IF($AB233="",IF('MCP Server Checklist'!G7="","",'MCP Server Checklist'!G7),IF(INDEX('Old MCP Server Checklist'!$G:$G,$AB233)="","",INDEX('Old MCP Server Checklist'!$G:$G,$AB233)))</f>
        <v/>
      </c>
      <c r="AB233" s="79" t="str">
        <f>IFERROR(MATCH($A233,'Old MCP Server Checklist'!$A:$A,0),"")</f>
        <v/>
      </c>
      <c r="AC233" s="79" t="str">
        <f t="shared" si="5"/>
        <v>MS.2</v>
      </c>
      <c r="AD233" s="79" t="str">
        <f>IF($AB233="","",IF(INDEX('Old MCP Server Checklist'!$D:$D,$AB233)&lt;&gt;'MCP Server Checklist'!D7,$A233,""))</f>
        <v/>
      </c>
    </row>
    <row r="234" spans="1:30" x14ac:dyDescent="0.3">
      <c r="A234" s="19" t="str">
        <f>'MCP Server Checklist'!A8</f>
        <v>MS.3</v>
      </c>
      <c r="B234" s="79" t="str">
        <f>'MCP Server Checklist'!B8</f>
        <v>Authentication &amp; authorization</v>
      </c>
      <c r="E234" s="78" t="str">
        <f>IF($AB234="",IF('MCP Server Checklist'!E8="","",'MCP Server Checklist'!E8),IF(INDEX('Old MCP Server Checklist'!$E:$E,$AB234)="","",INDEX('Old MCP Server Checklist'!$E:$E,$AB234)))</f>
        <v/>
      </c>
      <c r="F234" s="78" t="str">
        <f>IF($AB234="",IF('MCP Server Checklist'!F8="","",'MCP Server Checklist'!F8),IF(INDEX('Old MCP Server Checklist'!$F:$F,$AB234)="","",INDEX('Old MCP Server Checklist'!$F:$F,$AB234)))</f>
        <v/>
      </c>
      <c r="G234" s="78" t="str">
        <f>IF($AB234="",IF('MCP Server Checklist'!G8="","",'MCP Server Checklist'!G8),IF(INDEX('Old MCP Server Checklist'!$G:$G,$AB234)="","",INDEX('Old MCP Server Checklist'!$G:$G,$AB234)))</f>
        <v/>
      </c>
      <c r="AB234" s="79" t="str">
        <f>IFERROR(MATCH($A234,'Old MCP Server Checklist'!$A:$A,0),"")</f>
        <v/>
      </c>
      <c r="AC234" s="79" t="str">
        <f t="shared" si="5"/>
        <v>MS.3</v>
      </c>
      <c r="AD234" s="79" t="str">
        <f>IF($AB234="","",IF(INDEX('Old MCP Server Checklist'!$D:$D,$AB234)&lt;&gt;'MCP Server Checklist'!D8,$A234,""))</f>
        <v/>
      </c>
    </row>
    <row r="235" spans="1:30" x14ac:dyDescent="0.3">
      <c r="A235" s="19" t="str">
        <f>'MCP Server Checklist'!A9</f>
        <v>MS.4</v>
      </c>
      <c r="B235" s="79" t="str">
        <f>'MCP Server Checklist'!B9</f>
        <v>Authentication &amp; authorization</v>
      </c>
      <c r="E235" s="78" t="str">
        <f>IF($AB235="",IF('MCP Server Checklist'!E9="","",'MCP Server Checklist'!E9),IF(INDEX('Old MCP Server Checklist'!$E:$E,$AB235)="","",INDEX('Old MCP Server Checklist'!$E:$E,$AB235)))</f>
        <v/>
      </c>
      <c r="F235" s="78" t="str">
        <f>IF($AB235="",IF('MCP Server Checklist'!F9="","",'MCP Server Checklist'!F9),IF(INDEX('Old MCP Server Checklist'!$F:$F,$AB235)="","",INDEX('Old MCP Server Checklist'!$F:$F,$AB235)))</f>
        <v/>
      </c>
      <c r="G235" s="78" t="str">
        <f>IF($AB235="",IF('MCP Server Checklist'!G9="","",'MCP Server Checklist'!G9),IF(INDEX('Old MCP Server Checklist'!$G:$G,$AB235)="","",INDEX('Old MCP Server Checklist'!$G:$G,$AB235)))</f>
        <v/>
      </c>
      <c r="AB235" s="79" t="str">
        <f>IFERROR(MATCH($A235,'Old MCP Server Checklist'!$A:$A,0),"")</f>
        <v/>
      </c>
      <c r="AC235" s="79" t="str">
        <f t="shared" si="5"/>
        <v>MS.4</v>
      </c>
      <c r="AD235" s="79" t="str">
        <f>IF($AB235="","",IF(INDEX('Old MCP Server Checklist'!$D:$D,$AB235)&lt;&gt;'MCP Server Checklist'!D9,$A235,""))</f>
        <v/>
      </c>
    </row>
    <row r="236" spans="1:30" x14ac:dyDescent="0.3">
      <c r="A236" s="19" t="str">
        <f>'MCP Server Checklist'!A10</f>
        <v>MS.5</v>
      </c>
      <c r="B236" s="79" t="str">
        <f>'MCP Server Checklist'!B10</f>
        <v>Authentication &amp; authorization</v>
      </c>
      <c r="E236" s="78" t="str">
        <f>IF($AB236="",IF('MCP Server Checklist'!E10="","",'MCP Server Checklist'!E10),IF(INDEX('Old MCP Server Checklist'!$E:$E,$AB236)="","",INDEX('Old MCP Server Checklist'!$E:$E,$AB236)))</f>
        <v/>
      </c>
      <c r="F236" s="78" t="str">
        <f>IF($AB236="",IF('MCP Server Checklist'!F10="","",'MCP Server Checklist'!F10),IF(INDEX('Old MCP Server Checklist'!$F:$F,$AB236)="","",INDEX('Old MCP Server Checklist'!$F:$F,$AB236)))</f>
        <v/>
      </c>
      <c r="G236" s="78" t="str">
        <f>IF($AB236="",IF('MCP Server Checklist'!G10="","",'MCP Server Checklist'!G10),IF(INDEX('Old MCP Server Checklist'!$G:$G,$AB236)="","",INDEX('Old MCP Server Checklist'!$G:$G,$AB236)))</f>
        <v/>
      </c>
      <c r="AB236" s="79" t="str">
        <f>IFERROR(MATCH($A236,'Old MCP Server Checklist'!$A:$A,0),"")</f>
        <v/>
      </c>
      <c r="AC236" s="79" t="str">
        <f t="shared" si="5"/>
        <v>MS.5</v>
      </c>
      <c r="AD236" s="79" t="str">
        <f>IF($AB236="","",IF(INDEX('Old MCP Server Checklist'!$D:$D,$AB236)&lt;&gt;'MCP Server Checklist'!D10,$A236,""))</f>
        <v/>
      </c>
    </row>
    <row r="237" spans="1:30" x14ac:dyDescent="0.3">
      <c r="A237" s="19" t="str">
        <f>'MCP Server Checklist'!A11</f>
        <v>MS.6</v>
      </c>
      <c r="B237" s="79" t="str">
        <f>'MCP Server Checklist'!B11</f>
        <v>Least privilege</v>
      </c>
      <c r="E237" s="78" t="str">
        <f>IF($AB237="",IF('MCP Server Checklist'!E11="","",'MCP Server Checklist'!E11),IF(INDEX('Old MCP Server Checklist'!$E:$E,$AB237)="","",INDEX('Old MCP Server Checklist'!$E:$E,$AB237)))</f>
        <v/>
      </c>
      <c r="F237" s="78" t="str">
        <f>IF($AB237="",IF('MCP Server Checklist'!F11="","",'MCP Server Checklist'!F11),IF(INDEX('Old MCP Server Checklist'!$F:$F,$AB237)="","",INDEX('Old MCP Server Checklist'!$F:$F,$AB237)))</f>
        <v/>
      </c>
      <c r="G237" s="78" t="str">
        <f>IF($AB237="",IF('MCP Server Checklist'!G11="","",'MCP Server Checklist'!G11),IF(INDEX('Old MCP Server Checklist'!$G:$G,$AB237)="","",INDEX('Old MCP Server Checklist'!$G:$G,$AB237)))</f>
        <v/>
      </c>
      <c r="AB237" s="79" t="str">
        <f>IFERROR(MATCH($A237,'Old MCP Server Checklist'!$A:$A,0),"")</f>
        <v/>
      </c>
      <c r="AC237" s="79" t="str">
        <f t="shared" si="5"/>
        <v>MS.6</v>
      </c>
      <c r="AD237" s="79" t="str">
        <f>IF($AB237="","",IF(INDEX('Old MCP Server Checklist'!$D:$D,$AB237)&lt;&gt;'MCP Server Checklist'!D11,$A237,""))</f>
        <v/>
      </c>
    </row>
    <row r="238" spans="1:30" x14ac:dyDescent="0.3">
      <c r="A238" s="19" t="str">
        <f>'MCP Server Checklist'!A12</f>
        <v>MS.7</v>
      </c>
      <c r="B238" s="79" t="str">
        <f>'MCP Server Checklist'!B12</f>
        <v>Least privilege</v>
      </c>
      <c r="E238" s="78" t="str">
        <f>IF($AB238="",IF('MCP Server Checklist'!E12="","",'MCP Server Checklist'!E12),IF(INDEX('Old MCP Server Checklist'!$E:$E,$AB238)="","",INDEX('Old MCP Server Checklist'!$E:$E,$AB238)))</f>
        <v/>
      </c>
      <c r="F238" s="78" t="str">
        <f>IF($AB238="",IF('MCP Server Checklist'!F12="","",'MCP Server Checklist'!F12),IF(INDEX('Old MCP Server Checklist'!$F:$F,$AB238)="","",INDEX('Old MCP Server Checklist'!$F:$F,$AB238)))</f>
        <v/>
      </c>
      <c r="G238" s="78" t="str">
        <f>IF($AB238="",IF('MCP Server Checklist'!G12="","",'MCP Server Checklist'!G12),IF(INDEX('Old MCP Server Checklist'!$G:$G,$AB238)="","",INDEX('Old MCP Server Checklist'!$G:$G,$AB238)))</f>
        <v/>
      </c>
      <c r="AB238" s="79" t="str">
        <f>IFERROR(MATCH($A238,'Old MCP Server Checklist'!$A:$A,0),"")</f>
        <v/>
      </c>
      <c r="AC238" s="79" t="str">
        <f t="shared" si="5"/>
        <v>MS.7</v>
      </c>
      <c r="AD238" s="79" t="str">
        <f>IF($AB238="","",IF(INDEX('Old MCP Server Checklist'!$D:$D,$AB238)&lt;&gt;'MCP Server Checklist'!D12,$A238,""))</f>
        <v/>
      </c>
    </row>
    <row r="239" spans="1:30" x14ac:dyDescent="0.3">
      <c r="A239" s="19" t="str">
        <f>'MCP Server Checklist'!A13</f>
        <v>MS.8</v>
      </c>
      <c r="B239" s="79" t="str">
        <f>'MCP Server Checklist'!B13</f>
        <v>Input/output validation</v>
      </c>
      <c r="E239" s="78" t="str">
        <f>IF($AB239="",IF('MCP Server Checklist'!E13="","",'MCP Server Checklist'!E13),IF(INDEX('Old MCP Server Checklist'!$E:$E,$AB239)="","",INDEX('Old MCP Server Checklist'!$E:$E,$AB239)))</f>
        <v/>
      </c>
      <c r="F239" s="78" t="str">
        <f>IF($AB239="",IF('MCP Server Checklist'!F13="","",'MCP Server Checklist'!F13),IF(INDEX('Old MCP Server Checklist'!$F:$F,$AB239)="","",INDEX('Old MCP Server Checklist'!$F:$F,$AB239)))</f>
        <v/>
      </c>
      <c r="G239" s="78" t="str">
        <f>IF($AB239="",IF('MCP Server Checklist'!G13="","",'MCP Server Checklist'!G13),IF(INDEX('Old MCP Server Checklist'!$G:$G,$AB239)="","",INDEX('Old MCP Server Checklist'!$G:$G,$AB239)))</f>
        <v/>
      </c>
      <c r="AB239" s="79" t="str">
        <f>IFERROR(MATCH($A239,'Old MCP Server Checklist'!$A:$A,0),"")</f>
        <v/>
      </c>
      <c r="AC239" s="79" t="str">
        <f t="shared" si="5"/>
        <v>MS.8</v>
      </c>
      <c r="AD239" s="79" t="str">
        <f>IF($AB239="","",IF(INDEX('Old MCP Server Checklist'!$D:$D,$AB239)&lt;&gt;'MCP Server Checklist'!D13,$A239,""))</f>
        <v/>
      </c>
    </row>
    <row r="240" spans="1:30" x14ac:dyDescent="0.3">
      <c r="A240" s="19" t="str">
        <f>'MCP Server Checklist'!A14</f>
        <v>MS.9</v>
      </c>
      <c r="B240" s="79" t="str">
        <f>'MCP Server Checklist'!B14</f>
        <v>Input/output validation</v>
      </c>
      <c r="E240" s="78" t="str">
        <f>IF($AB240="",IF('MCP Server Checklist'!E14="","",'MCP Server Checklist'!E14),IF(INDEX('Old MCP Server Checklist'!$E:$E,$AB240)="","",INDEX('Old MCP Server Checklist'!$E:$E,$AB240)))</f>
        <v/>
      </c>
      <c r="F240" s="78" t="str">
        <f>IF($AB240="",IF('MCP Server Checklist'!F14="","",'MCP Server Checklist'!F14),IF(INDEX('Old MCP Server Checklist'!$F:$F,$AB240)="","",INDEX('Old MCP Server Checklist'!$F:$F,$AB240)))</f>
        <v/>
      </c>
      <c r="G240" s="78" t="str">
        <f>IF($AB240="",IF('MCP Server Checklist'!G14="","",'MCP Server Checklist'!G14),IF(INDEX('Old MCP Server Checklist'!$G:$G,$AB240)="","",INDEX('Old MCP Server Checklist'!$G:$G,$AB240)))</f>
        <v/>
      </c>
      <c r="AB240" s="79" t="str">
        <f>IFERROR(MATCH($A240,'Old MCP Server Checklist'!$A:$A,0),"")</f>
        <v/>
      </c>
      <c r="AC240" s="79" t="str">
        <f t="shared" si="5"/>
        <v>MS.9</v>
      </c>
      <c r="AD240" s="79" t="str">
        <f>IF($AB240="","",IF(INDEX('Old MCP Server Checklist'!$D:$D,$AB240)&lt;&gt;'MCP Server Checklist'!D14,$A240,""))</f>
        <v/>
      </c>
    </row>
    <row r="241" spans="1:30" x14ac:dyDescent="0.3">
      <c r="A241" s="19" t="str">
        <f>'MCP Server Checklist'!A15</f>
        <v>MS.10</v>
      </c>
      <c r="B241" s="79" t="str">
        <f>'MCP Server Checklist'!B15</f>
        <v>Tool descriptions</v>
      </c>
      <c r="E241" s="78" t="str">
        <f>IF($AB241="",IF('MCP Server Checklist'!E15="","",'MCP Server Checklist'!E15),IF(INDEX('Old MCP Server Checklist'!$E:$E,$AB241)="","",INDEX('Old MCP Server Checklist'!$E:$E,$AB241)))</f>
        <v/>
      </c>
      <c r="F241" s="78" t="str">
        <f>IF($AB241="",IF('MCP Server Checklist'!F15="","",'MCP Server Checklist'!F15),IF(INDEX('Old MCP Server Checklist'!$F:$F,$AB241)="","",INDEX('Old MCP Server Checklist'!$F:$F,$AB241)))</f>
        <v/>
      </c>
      <c r="G241" s="78" t="str">
        <f>IF($AB241="",IF('MCP Server Checklist'!G15="","",'MCP Server Checklist'!G15),IF(INDEX('Old MCP Server Checklist'!$G:$G,$AB241)="","",INDEX('Old MCP Server Checklist'!$G:$G,$AB241)))</f>
        <v/>
      </c>
      <c r="AB241" s="79" t="str">
        <f>IFERROR(MATCH($A241,'Old MCP Server Checklist'!$A:$A,0),"")</f>
        <v/>
      </c>
      <c r="AC241" s="79" t="str">
        <f t="shared" si="5"/>
        <v>MS.10</v>
      </c>
      <c r="AD241" s="79" t="str">
        <f>IF($AB241="","",IF(INDEX('Old MCP Server Checklist'!$D:$D,$AB241)&lt;&gt;'MCP Server Checklist'!D15,$A241,""))</f>
        <v/>
      </c>
    </row>
    <row r="242" spans="1:30" x14ac:dyDescent="0.3">
      <c r="A242" s="19" t="str">
        <f>'MCP Server Checklist'!A16</f>
        <v>MS.11</v>
      </c>
      <c r="B242" s="79" t="str">
        <f>'MCP Server Checklist'!B16</f>
        <v>Hardening &amp; exposure</v>
      </c>
      <c r="E242" s="78" t="str">
        <f>IF($AB242="",IF('MCP Server Checklist'!E16="","",'MCP Server Checklist'!E16),IF(INDEX('Old MCP Server Checklist'!$E:$E,$AB242)="","",INDEX('Old MCP Server Checklist'!$E:$E,$AB242)))</f>
        <v/>
      </c>
      <c r="F242" s="78" t="str">
        <f>IF($AB242="",IF('MCP Server Checklist'!F16="","",'MCP Server Checklist'!F16),IF(INDEX('Old MCP Server Checklist'!$F:$F,$AB242)="","",INDEX('Old MCP Server Checklist'!$F:$F,$AB242)))</f>
        <v/>
      </c>
      <c r="G242" s="78" t="str">
        <f>IF($AB242="",IF('MCP Server Checklist'!G16="","",'MCP Server Checklist'!G16),IF(INDEX('Old MCP Server Checklist'!$G:$G,$AB242)="","",INDEX('Old MCP Server Checklist'!$G:$G,$AB242)))</f>
        <v/>
      </c>
      <c r="AB242" s="79" t="str">
        <f>IFERROR(MATCH($A242,'Old MCP Server Checklist'!$A:$A,0),"")</f>
        <v/>
      </c>
      <c r="AC242" s="79" t="str">
        <f t="shared" si="5"/>
        <v>MS.11</v>
      </c>
      <c r="AD242" s="79" t="str">
        <f>IF($AB242="","",IF(INDEX('Old MCP Server Checklist'!$D:$D,$AB242)&lt;&gt;'MCP Server Checklist'!D16,$A242,""))</f>
        <v/>
      </c>
    </row>
    <row r="243" spans="1:30" x14ac:dyDescent="0.3">
      <c r="A243" s="19" t="str">
        <f>'MCP Server Checklist'!A17</f>
        <v>MS.12</v>
      </c>
      <c r="B243" s="79" t="str">
        <f>'MCP Server Checklist'!B17</f>
        <v>Hardening &amp; exposure</v>
      </c>
      <c r="E243" s="78" t="str">
        <f>IF($AB243="",IF('MCP Server Checklist'!E17="","",'MCP Server Checklist'!E17),IF(INDEX('Old MCP Server Checklist'!$E:$E,$AB243)="","",INDEX('Old MCP Server Checklist'!$E:$E,$AB243)))</f>
        <v/>
      </c>
      <c r="F243" s="78" t="str">
        <f>IF($AB243="",IF('MCP Server Checklist'!F17="","",'MCP Server Checklist'!F17),IF(INDEX('Old MCP Server Checklist'!$F:$F,$AB243)="","",INDEX('Old MCP Server Checklist'!$F:$F,$AB243)))</f>
        <v/>
      </c>
      <c r="G243" s="78" t="str">
        <f>IF($AB243="",IF('MCP Server Checklist'!G17="","",'MCP Server Checklist'!G17),IF(INDEX('Old MCP Server Checklist'!$G:$G,$AB243)="","",INDEX('Old MCP Server Checklist'!$G:$G,$AB243)))</f>
        <v/>
      </c>
      <c r="AB243" s="79" t="str">
        <f>IFERROR(MATCH($A243,'Old MCP Server Checklist'!$A:$A,0),"")</f>
        <v/>
      </c>
      <c r="AC243" s="79" t="str">
        <f t="shared" si="5"/>
        <v>MS.12</v>
      </c>
      <c r="AD243" s="79" t="str">
        <f>IF($AB243="","",IF(INDEX('Old MCP Server Checklist'!$D:$D,$AB243)&lt;&gt;'MCP Server Checklist'!D17,$A243,""))</f>
        <v/>
      </c>
    </row>
    <row r="244" spans="1:30" x14ac:dyDescent="0.3">
      <c r="A244" s="19" t="str">
        <f>'MCP Server Checklist'!A18</f>
        <v>MS.13</v>
      </c>
      <c r="B244" s="79" t="str">
        <f>'MCP Server Checklist'!B18</f>
        <v>Logging</v>
      </c>
      <c r="E244" s="78" t="str">
        <f>IF($AB244="",IF('MCP Server Checklist'!E18="","",'MCP Server Checklist'!E18),IF(INDEX('Old MCP Server Checklist'!$E:$E,$AB244)="","",INDEX('Old MCP Server Checklist'!$E:$E,$AB244)))</f>
        <v/>
      </c>
      <c r="F244" s="78" t="str">
        <f>IF($AB244="",IF('MCP Server Checklist'!F18="","",'MCP Server Checklist'!F18),IF(INDEX('Old MCP Server Checklist'!$F:$F,$AB244)="","",INDEX('Old MCP Server Checklist'!$F:$F,$AB244)))</f>
        <v/>
      </c>
      <c r="G244" s="78" t="str">
        <f>IF($AB244="",IF('MCP Server Checklist'!G18="","",'MCP Server Checklist'!G18),IF(INDEX('Old MCP Server Checklist'!$G:$G,$AB244)="","",INDEX('Old MCP Server Checklist'!$G:$G,$AB244)))</f>
        <v/>
      </c>
      <c r="AB244" s="79" t="str">
        <f>IFERROR(MATCH($A244,'Old MCP Server Checklist'!$A:$A,0),"")</f>
        <v/>
      </c>
      <c r="AC244" s="79" t="str">
        <f t="shared" si="5"/>
        <v>MS.13</v>
      </c>
      <c r="AD244" s="79" t="str">
        <f>IF($AB244="","",IF(INDEX('Old MCP Server Checklist'!$D:$D,$AB244)&lt;&gt;'MCP Server Checklist'!D18,$A244,""))</f>
        <v/>
      </c>
    </row>
    <row r="245" spans="1:30" x14ac:dyDescent="0.3">
      <c r="A245" s="19" t="str">
        <f>'MCP Server Checklist'!A19</f>
        <v>MS.14</v>
      </c>
      <c r="B245" s="79" t="str">
        <f>'MCP Server Checklist'!B19</f>
        <v>Multi-tenancy</v>
      </c>
      <c r="E245" s="78" t="str">
        <f>IF($AB245="",IF('MCP Server Checklist'!E19="","",'MCP Server Checklist'!E19),IF(INDEX('Old MCP Server Checklist'!$E:$E,$AB245)="","",INDEX('Old MCP Server Checklist'!$E:$E,$AB245)))</f>
        <v/>
      </c>
      <c r="F245" s="78" t="str">
        <f>IF($AB245="",IF('MCP Server Checklist'!F19="","",'MCP Server Checklist'!F19),IF(INDEX('Old MCP Server Checklist'!$F:$F,$AB245)="","",INDEX('Old MCP Server Checklist'!$F:$F,$AB245)))</f>
        <v/>
      </c>
      <c r="G245" s="78" t="str">
        <f>IF($AB245="",IF('MCP Server Checklist'!G19="","",'MCP Server Checklist'!G19),IF(INDEX('Old MCP Server Checklist'!$G:$G,$AB245)="","",INDEX('Old MCP Server Checklist'!$G:$G,$AB245)))</f>
        <v/>
      </c>
      <c r="AB245" s="79" t="str">
        <f>IFERROR(MATCH($A245,'Old MCP Server Checklist'!$A:$A,0),"")</f>
        <v/>
      </c>
      <c r="AC245" s="79" t="str">
        <f t="shared" si="5"/>
        <v>MS.14</v>
      </c>
      <c r="AD245" s="79" t="str">
        <f>IF($AB245="","",IF(INDEX('Old MCP Server Checklist'!$D:$D,$AB245)&lt;&gt;'MCP Server Checklist'!D19,$A245,""))</f>
        <v/>
      </c>
    </row>
    <row r="246" spans="1:30" x14ac:dyDescent="0.3">
      <c r="A246" s="19" t="str">
        <f>'MCP Server Checklist'!A20</f>
        <v>MS.15</v>
      </c>
      <c r="B246" s="79" t="str">
        <f>'MCP Server Checklist'!B20</f>
        <v>Lifecycle</v>
      </c>
      <c r="E246" s="78" t="str">
        <f>IF($AB246="",IF('MCP Server Checklist'!E20="","",'MCP Server Checklist'!E20),IF(INDEX('Old MCP Server Checklist'!$E:$E,$AB246)="","",INDEX('Old MCP Server Checklist'!$E:$E,$AB246)))</f>
        <v/>
      </c>
      <c r="F246" s="78" t="str">
        <f>IF($AB246="",IF('MCP Server Checklist'!F20="","",'MCP Server Checklist'!F20),IF(INDEX('Old MCP Server Checklist'!$F:$F,$AB246)="","",INDEX('Old MCP Server Checklist'!$F:$F,$AB246)))</f>
        <v/>
      </c>
      <c r="G246" s="78" t="str">
        <f>IF($AB246="",IF('MCP Server Checklist'!G20="","",'MCP Server Checklist'!G20),IF(INDEX('Old MCP Server Checklist'!$G:$G,$AB246)="","",INDEX('Old MCP Server Checklist'!$G:$G,$AB246)))</f>
        <v/>
      </c>
      <c r="AB246" s="79" t="str">
        <f>IFERROR(MATCH($A246,'Old MCP Server Checklist'!$A:$A,0),"")</f>
        <v/>
      </c>
      <c r="AC246" s="79" t="str">
        <f t="shared" si="5"/>
        <v>MS.15</v>
      </c>
      <c r="AD246" s="79" t="str">
        <f>IF($AB246="","",IF(INDEX('Old MCP Server Checklist'!$D:$D,$AB246)&lt;&gt;'MCP Server Checklist'!D20,$A246,""))</f>
        <v/>
      </c>
    </row>
    <row r="247" spans="1:30" x14ac:dyDescent="0.3">
      <c r="A247" s="19" t="str">
        <f>'MCP Server Checklist'!A21</f>
        <v>MS.16</v>
      </c>
      <c r="B247" s="79" t="str">
        <f>'MCP Server Checklist'!B21</f>
        <v>Input/output validation</v>
      </c>
      <c r="E247" s="78" t="str">
        <f>IF($AB247="",IF('MCP Server Checklist'!E21="","",'MCP Server Checklist'!E21),IF(INDEX('Old MCP Server Checklist'!$E:$E,$AB247)="","",INDEX('Old MCP Server Checklist'!$E:$E,$AB247)))</f>
        <v/>
      </c>
      <c r="F247" s="78" t="str">
        <f>IF($AB247="",IF('MCP Server Checklist'!F21="","",'MCP Server Checklist'!F21),IF(INDEX('Old MCP Server Checklist'!$F:$F,$AB247)="","",INDEX('Old MCP Server Checklist'!$F:$F,$AB247)))</f>
        <v/>
      </c>
      <c r="G247" s="78" t="str">
        <f>IF($AB247="",IF('MCP Server Checklist'!G21="","",'MCP Server Checklist'!G21),IF(INDEX('Old MCP Server Checklist'!$G:$G,$AB247)="","",INDEX('Old MCP Server Checklist'!$G:$G,$AB247)))</f>
        <v/>
      </c>
      <c r="AB247" s="79" t="str">
        <f>IFERROR(MATCH($A247,'Old MCP Server Checklist'!$A:$A,0),"")</f>
        <v/>
      </c>
      <c r="AC247" s="79" t="str">
        <f t="shared" si="5"/>
        <v>MS.16</v>
      </c>
      <c r="AD247" s="79" t="str">
        <f>IF($AB247="","",IF(INDEX('Old MCP Server Checklist'!$D:$D,$AB247)&lt;&gt;'MCP Server Checklist'!D21,$A247,""))</f>
        <v/>
      </c>
    </row>
    <row r="248" spans="1:30" x14ac:dyDescent="0.3">
      <c r="A248" s="11" t="s">
        <v>982</v>
      </c>
    </row>
    <row r="249" spans="1:30" x14ac:dyDescent="0.3">
      <c r="D249" s="75" t="s">
        <v>622</v>
      </c>
      <c r="E249" s="75" t="s">
        <v>921</v>
      </c>
      <c r="F249" s="75" t="s">
        <v>922</v>
      </c>
    </row>
    <row r="250" spans="1:30" ht="30" customHeight="1" x14ac:dyDescent="0.3">
      <c r="D250" s="77" t="s">
        <v>983</v>
      </c>
      <c r="E250" s="77" t="s">
        <v>984</v>
      </c>
      <c r="F250" s="77" t="s">
        <v>985</v>
      </c>
    </row>
    <row r="251" spans="1:30" x14ac:dyDescent="0.3">
      <c r="B251" s="79" t="s">
        <v>986</v>
      </c>
      <c r="D251" s="78" t="str">
        <f>IF('Old MCP Server Checklist'!D29="",IF('MCP Server Checklist'!D29="","",'MCP Server Checklist'!D29),'Old MCP Server Checklist'!D29)</f>
        <v/>
      </c>
      <c r="E251" s="78" t="str">
        <f>IF('Old MCP Server Checklist'!E29="",IF('MCP Server Checklist'!E29="","",'MCP Server Checklist'!E29),'Old MCP Server Checklist'!E29)</f>
        <v/>
      </c>
      <c r="F251" s="80" t="str">
        <f>IF('Old MCP Server Checklist'!F29="",IF('MCP Server Checklist'!F29="","",'MCP Server Checklist'!F29),'Old MCP Server Checklist'!F29)</f>
        <v/>
      </c>
    </row>
    <row r="252" spans="1:30" x14ac:dyDescent="0.3">
      <c r="B252" s="79" t="s">
        <v>987</v>
      </c>
      <c r="D252" s="78" t="str">
        <f>IF('Old MCP Server Checklist'!D30="",IF('MCP Server Checklist'!D30="","",'MCP Server Checklist'!D30),'Old MCP Server Checklist'!D30)</f>
        <v/>
      </c>
    </row>
    <row r="253" spans="1:30" x14ac:dyDescent="0.3">
      <c r="B253" s="79" t="s">
        <v>988</v>
      </c>
    </row>
    <row r="254" spans="1:30" x14ac:dyDescent="0.3">
      <c r="B254" s="79" t="s">
        <v>989</v>
      </c>
      <c r="D254" s="78" t="str">
        <f>IF('Old MCP Server Checklist'!D32="",IF('MCP Server Checklist'!D32="","",'MCP Server Checklist'!D32),'Old MCP Server Checklist'!D32)</f>
        <v/>
      </c>
    </row>
    <row r="256" spans="1:30" ht="17.399999999999999" x14ac:dyDescent="0.35">
      <c r="A256" s="74" t="s">
        <v>990</v>
      </c>
    </row>
    <row r="257" spans="1:30" x14ac:dyDescent="0.3">
      <c r="A257" s="19" t="s">
        <v>991</v>
      </c>
    </row>
    <row r="258" spans="1:30" x14ac:dyDescent="0.3">
      <c r="A258" s="19" t="s">
        <v>992</v>
      </c>
    </row>
    <row r="259" spans="1:30" x14ac:dyDescent="0.3">
      <c r="A259" s="11" t="s">
        <v>910</v>
      </c>
      <c r="B259" s="19" t="str">
        <f>IF(ISNUMBER(MATCH("ID",'Old MCP Client Checklist'!$A:$A,0)),"detected","not pasted yet")</f>
        <v>not pasted yet</v>
      </c>
    </row>
    <row r="260" spans="1:30" x14ac:dyDescent="0.3">
      <c r="A260" s="11" t="s">
        <v>918</v>
      </c>
      <c r="B260" s="19" t="str">
        <f>COUNT($AB$269:$AB$288)&amp;" of "&amp;COUNTA($A$269:$A$288)</f>
        <v>0 of 20</v>
      </c>
    </row>
    <row r="261" spans="1:30" x14ac:dyDescent="0.3">
      <c r="A261" s="11" t="s">
        <v>919</v>
      </c>
      <c r="D261" s="19" t="str">
        <f>IF($B$259="not pasted yet","-",IF(_xlfn.TEXTJOIN(", ",TRUE(),$AC$269:$AC$288)="","none",_xlfn.TEXTJOIN(", ",TRUE(),$AC$269:$AC$288)))</f>
        <v>-</v>
      </c>
    </row>
    <row r="262" spans="1:30" x14ac:dyDescent="0.3">
      <c r="A262" s="11" t="s">
        <v>972</v>
      </c>
      <c r="D262" s="19" t="str">
        <f>IF($B$259="not pasted yet","-",IF(_xlfn.TEXTJOIN(", ",TRUE(),$AD$269:$AD$288)="","none",_xlfn.TEXTJOIN(", ",TRUE(),$AD$269:$AD$288)))</f>
        <v>-</v>
      </c>
    </row>
    <row r="263" spans="1:30" x14ac:dyDescent="0.3">
      <c r="A263" s="75" t="s">
        <v>615</v>
      </c>
      <c r="B263" s="75" t="s">
        <v>620</v>
      </c>
      <c r="C263" s="75" t="s">
        <v>621</v>
      </c>
      <c r="E263" s="75" t="s">
        <v>921</v>
      </c>
      <c r="F263" s="75" t="s">
        <v>922</v>
      </c>
      <c r="G263" s="75" t="s">
        <v>923</v>
      </c>
      <c r="I263" s="75" t="s">
        <v>925</v>
      </c>
    </row>
    <row r="264" spans="1:30" ht="30" customHeight="1" x14ac:dyDescent="0.3">
      <c r="A264" s="76" t="s">
        <v>68</v>
      </c>
      <c r="B264" s="76" t="s">
        <v>973</v>
      </c>
      <c r="C264" s="77" t="s">
        <v>974</v>
      </c>
      <c r="E264" s="77" t="s">
        <v>975</v>
      </c>
      <c r="F264" s="77" t="s">
        <v>976</v>
      </c>
      <c r="G264" s="77" t="s">
        <v>977</v>
      </c>
      <c r="I264" s="77" t="s">
        <v>978</v>
      </c>
    </row>
    <row r="265" spans="1:30" x14ac:dyDescent="0.3">
      <c r="B265" s="79" t="s">
        <v>979</v>
      </c>
      <c r="I265" s="78" t="str">
        <f>IF('Old MCP Client Checklist'!I2="",IF('MCP Client Checklist'!I2="","",'MCP Client Checklist'!I2),'Old MCP Client Checklist'!I2)</f>
        <v/>
      </c>
    </row>
    <row r="266" spans="1:30" x14ac:dyDescent="0.3">
      <c r="B266" s="79" t="s">
        <v>980</v>
      </c>
      <c r="C266" s="78" t="str">
        <f>IF('Old MCP Client Checklist'!C3="",IF('MCP Client Checklist'!C3="","",'MCP Client Checklist'!C3),'Old MCP Client Checklist'!C3)</f>
        <v>2026-07-28</v>
      </c>
      <c r="E266" s="78" t="str">
        <f>IF('Old MCP Client Checklist'!E3="",IF('MCP Client Checklist'!E3="","",'MCP Client Checklist'!E3),'Old MCP Client Checklist'!E3)</f>
        <v/>
      </c>
      <c r="G266" s="78" t="str">
        <f>IF('Old MCP Client Checklist'!G3="",IF('MCP Client Checklist'!G3="","",'MCP Client Checklist'!G3),'Old MCP Client Checklist'!G3)</f>
        <v/>
      </c>
      <c r="I266" s="78" t="str">
        <f>IF('Old MCP Client Checklist'!I3="",IF('MCP Client Checklist'!I3="","",'MCP Client Checklist'!I3),'Old MCP Client Checklist'!I3)</f>
        <v/>
      </c>
    </row>
    <row r="267" spans="1:30" x14ac:dyDescent="0.3">
      <c r="B267" s="79" t="s">
        <v>981</v>
      </c>
      <c r="C267" s="78" t="str">
        <f>IF('Old MCP Client Checklist'!C4="",IF('MCP Client Checklist'!C4="","",'MCP Client Checklist'!C4),'Old MCP Client Checklist'!C4)</f>
        <v/>
      </c>
      <c r="E267" s="78" t="str">
        <f>IF('Old MCP Client Checklist'!E4="",IF('MCP Client Checklist'!E4="","",'MCP Client Checklist'!E4),'Old MCP Client Checklist'!E4)</f>
        <v/>
      </c>
      <c r="G267" s="78" t="str">
        <f>IF('Old MCP Client Checklist'!G4="",IF('MCP Client Checklist'!G4="","",'MCP Client Checklist'!G4),'Old MCP Client Checklist'!G4)</f>
        <v/>
      </c>
    </row>
    <row r="269" spans="1:30" x14ac:dyDescent="0.3">
      <c r="A269" s="19" t="str">
        <f>'MCP Client Checklist'!A6</f>
        <v>MSC.1</v>
      </c>
      <c r="B269" s="79" t="str">
        <f>'MCP Client Checklist'!B6</f>
        <v>Server governance</v>
      </c>
      <c r="E269" s="78" t="str">
        <f>IF($AB269="",IF('MCP Client Checklist'!E6="","",'MCP Client Checklist'!E6),IF(INDEX('Old MCP Client Checklist'!$E:$E,$AB269)="","",INDEX('Old MCP Client Checklist'!$E:$E,$AB269)))</f>
        <v/>
      </c>
      <c r="F269" s="78" t="str">
        <f>IF($AB269="",IF('MCP Client Checklist'!F6="","",'MCP Client Checklist'!F6),IF(INDEX('Old MCP Client Checklist'!$F:$F,$AB269)="","",INDEX('Old MCP Client Checklist'!$F:$F,$AB269)))</f>
        <v/>
      </c>
      <c r="G269" s="78" t="str">
        <f>IF($AB269="",IF('MCP Client Checklist'!G6="","",'MCP Client Checklist'!G6),IF(INDEX('Old MCP Client Checklist'!$G:$G,$AB269)="","",INDEX('Old MCP Client Checklist'!$G:$G,$AB269)))</f>
        <v/>
      </c>
      <c r="AB269" s="79" t="str">
        <f>IFERROR(MATCH($A269,'Old MCP Client Checklist'!$A:$A,0),"")</f>
        <v/>
      </c>
      <c r="AC269" s="79" t="str">
        <f t="shared" ref="AC269:AC288" si="6">IF(AND($A269&lt;&gt;"",$AB269=""),$A269,"")</f>
        <v>MSC.1</v>
      </c>
      <c r="AD269" s="79" t="str">
        <f>IF($AB269="","",IF(INDEX('Old MCP Client Checklist'!$D:$D,$AB269)&lt;&gt;'MCP Client Checklist'!D6,$A269,""))</f>
        <v/>
      </c>
    </row>
    <row r="270" spans="1:30" x14ac:dyDescent="0.3">
      <c r="A270" s="19" t="str">
        <f>'MCP Client Checklist'!A7</f>
        <v>MSC.2</v>
      </c>
      <c r="B270" s="79" t="str">
        <f>'MCP Client Checklist'!B7</f>
        <v>Server governance</v>
      </c>
      <c r="E270" s="78" t="str">
        <f>IF($AB270="",IF('MCP Client Checklist'!E7="","",'MCP Client Checklist'!E7),IF(INDEX('Old MCP Client Checklist'!$E:$E,$AB270)="","",INDEX('Old MCP Client Checklist'!$E:$E,$AB270)))</f>
        <v/>
      </c>
      <c r="F270" s="78" t="str">
        <f>IF($AB270="",IF('MCP Client Checklist'!F7="","",'MCP Client Checklist'!F7),IF(INDEX('Old MCP Client Checklist'!$F:$F,$AB270)="","",INDEX('Old MCP Client Checklist'!$F:$F,$AB270)))</f>
        <v/>
      </c>
      <c r="G270" s="78" t="str">
        <f>IF($AB270="",IF('MCP Client Checklist'!G7="","",'MCP Client Checklist'!G7),IF(INDEX('Old MCP Client Checklist'!$G:$G,$AB270)="","",INDEX('Old MCP Client Checklist'!$G:$G,$AB270)))</f>
        <v/>
      </c>
      <c r="AB270" s="79" t="str">
        <f>IFERROR(MATCH($A270,'Old MCP Client Checklist'!$A:$A,0),"")</f>
        <v/>
      </c>
      <c r="AC270" s="79" t="str">
        <f t="shared" si="6"/>
        <v>MSC.2</v>
      </c>
      <c r="AD270" s="79" t="str">
        <f>IF($AB270="","",IF(INDEX('Old MCP Client Checklist'!$D:$D,$AB270)&lt;&gt;'MCP Client Checklist'!D7,$A270,""))</f>
        <v/>
      </c>
    </row>
    <row r="271" spans="1:30" x14ac:dyDescent="0.3">
      <c r="A271" s="19" t="str">
        <f>'MCP Client Checklist'!A8</f>
        <v>MSC.3</v>
      </c>
      <c r="B271" s="79" t="str">
        <f>'MCP Client Checklist'!B8</f>
        <v>Consent &amp; authentication</v>
      </c>
      <c r="E271" s="78" t="str">
        <f>IF($AB271="",IF('MCP Client Checklist'!E8="","",'MCP Client Checklist'!E8),IF(INDEX('Old MCP Client Checklist'!$E:$E,$AB271)="","",INDEX('Old MCP Client Checklist'!$E:$E,$AB271)))</f>
        <v/>
      </c>
      <c r="F271" s="78" t="str">
        <f>IF($AB271="",IF('MCP Client Checklist'!F8="","",'MCP Client Checklist'!F8),IF(INDEX('Old MCP Client Checklist'!$F:$F,$AB271)="","",INDEX('Old MCP Client Checklist'!$F:$F,$AB271)))</f>
        <v/>
      </c>
      <c r="G271" s="78" t="str">
        <f>IF($AB271="",IF('MCP Client Checklist'!G8="","",'MCP Client Checklist'!G8),IF(INDEX('Old MCP Client Checklist'!$G:$G,$AB271)="","",INDEX('Old MCP Client Checklist'!$G:$G,$AB271)))</f>
        <v/>
      </c>
      <c r="AB271" s="79" t="str">
        <f>IFERROR(MATCH($A271,'Old MCP Client Checklist'!$A:$A,0),"")</f>
        <v/>
      </c>
      <c r="AC271" s="79" t="str">
        <f t="shared" si="6"/>
        <v>MSC.3</v>
      </c>
      <c r="AD271" s="79" t="str">
        <f>IF($AB271="","",IF(INDEX('Old MCP Client Checklist'!$D:$D,$AB271)&lt;&gt;'MCP Client Checklist'!D8,$A271,""))</f>
        <v/>
      </c>
    </row>
    <row r="272" spans="1:30" x14ac:dyDescent="0.3">
      <c r="A272" s="19" t="str">
        <f>'MCP Client Checklist'!A9</f>
        <v>MSC.4</v>
      </c>
      <c r="B272" s="79" t="str">
        <f>'MCP Client Checklist'!B9</f>
        <v>Consent &amp; authentication</v>
      </c>
      <c r="E272" s="78" t="str">
        <f>IF($AB272="",IF('MCP Client Checklist'!E9="","",'MCP Client Checklist'!E9),IF(INDEX('Old MCP Client Checklist'!$E:$E,$AB272)="","",INDEX('Old MCP Client Checklist'!$E:$E,$AB272)))</f>
        <v/>
      </c>
      <c r="F272" s="78" t="str">
        <f>IF($AB272="",IF('MCP Client Checklist'!F9="","",'MCP Client Checklist'!F9),IF(INDEX('Old MCP Client Checklist'!$F:$F,$AB272)="","",INDEX('Old MCP Client Checklist'!$F:$F,$AB272)))</f>
        <v/>
      </c>
      <c r="G272" s="78" t="str">
        <f>IF($AB272="",IF('MCP Client Checklist'!G9="","",'MCP Client Checklist'!G9),IF(INDEX('Old MCP Client Checklist'!$G:$G,$AB272)="","",INDEX('Old MCP Client Checklist'!$G:$G,$AB272)))</f>
        <v/>
      </c>
      <c r="AB272" s="79" t="str">
        <f>IFERROR(MATCH($A272,'Old MCP Client Checklist'!$A:$A,0),"")</f>
        <v/>
      </c>
      <c r="AC272" s="79" t="str">
        <f t="shared" si="6"/>
        <v>MSC.4</v>
      </c>
      <c r="AD272" s="79" t="str">
        <f>IF($AB272="","",IF(INDEX('Old MCP Client Checklist'!$D:$D,$AB272)&lt;&gt;'MCP Client Checklist'!D9,$A272,""))</f>
        <v/>
      </c>
    </row>
    <row r="273" spans="1:30" x14ac:dyDescent="0.3">
      <c r="A273" s="19" t="str">
        <f>'MCP Client Checklist'!A10</f>
        <v>MSC.5</v>
      </c>
      <c r="B273" s="79" t="str">
        <f>'MCP Client Checklist'!B10</f>
        <v>Token handling</v>
      </c>
      <c r="E273" s="78" t="str">
        <f>IF($AB273="",IF('MCP Client Checklist'!E10="","",'MCP Client Checklist'!E10),IF(INDEX('Old MCP Client Checklist'!$E:$E,$AB273)="","",INDEX('Old MCP Client Checklist'!$E:$E,$AB273)))</f>
        <v/>
      </c>
      <c r="F273" s="78" t="str">
        <f>IF($AB273="",IF('MCP Client Checklist'!F10="","",'MCP Client Checklist'!F10),IF(INDEX('Old MCP Client Checklist'!$F:$F,$AB273)="","",INDEX('Old MCP Client Checklist'!$F:$F,$AB273)))</f>
        <v/>
      </c>
      <c r="G273" s="78" t="str">
        <f>IF($AB273="",IF('MCP Client Checklist'!G10="","",'MCP Client Checklist'!G10),IF(INDEX('Old MCP Client Checklist'!$G:$G,$AB273)="","",INDEX('Old MCP Client Checklist'!$G:$G,$AB273)))</f>
        <v/>
      </c>
      <c r="AB273" s="79" t="str">
        <f>IFERROR(MATCH($A273,'Old MCP Client Checklist'!$A:$A,0),"")</f>
        <v/>
      </c>
      <c r="AC273" s="79" t="str">
        <f t="shared" si="6"/>
        <v>MSC.5</v>
      </c>
      <c r="AD273" s="79" t="str">
        <f>IF($AB273="","",IF(INDEX('Old MCP Client Checklist'!$D:$D,$AB273)&lt;&gt;'MCP Client Checklist'!D10,$A273,""))</f>
        <v/>
      </c>
    </row>
    <row r="274" spans="1:30" x14ac:dyDescent="0.3">
      <c r="A274" s="19" t="str">
        <f>'MCP Client Checklist'!A11</f>
        <v>MSC.6</v>
      </c>
      <c r="B274" s="79" t="str">
        <f>'MCP Client Checklist'!B11</f>
        <v>Token handling</v>
      </c>
      <c r="E274" s="78" t="str">
        <f>IF($AB274="",IF('MCP Client Checklist'!E11="","",'MCP Client Checklist'!E11),IF(INDEX('Old MCP Client Checklist'!$E:$E,$AB274)="","",INDEX('Old MCP Client Checklist'!$E:$E,$AB274)))</f>
        <v/>
      </c>
      <c r="F274" s="78" t="str">
        <f>IF($AB274="",IF('MCP Client Checklist'!F11="","",'MCP Client Checklist'!F11),IF(INDEX('Old MCP Client Checklist'!$F:$F,$AB274)="","",INDEX('Old MCP Client Checklist'!$F:$F,$AB274)))</f>
        <v/>
      </c>
      <c r="G274" s="78" t="str">
        <f>IF($AB274="",IF('MCP Client Checklist'!G11="","",'MCP Client Checklist'!G11),IF(INDEX('Old MCP Client Checklist'!$G:$G,$AB274)="","",INDEX('Old MCP Client Checklist'!$G:$G,$AB274)))</f>
        <v/>
      </c>
      <c r="AB274" s="79" t="str">
        <f>IFERROR(MATCH($A274,'Old MCP Client Checklist'!$A:$A,0),"")</f>
        <v/>
      </c>
      <c r="AC274" s="79" t="str">
        <f t="shared" si="6"/>
        <v>MSC.6</v>
      </c>
      <c r="AD274" s="79" t="str">
        <f>IF($AB274="","",IF(INDEX('Old MCP Client Checklist'!$D:$D,$AB274)&lt;&gt;'MCP Client Checklist'!D11,$A274,""))</f>
        <v/>
      </c>
    </row>
    <row r="275" spans="1:30" x14ac:dyDescent="0.3">
      <c r="A275" s="19" t="str">
        <f>'MCP Client Checklist'!A12</f>
        <v>MSC.7</v>
      </c>
      <c r="B275" s="79" t="str">
        <f>'MCP Client Checklist'!B12</f>
        <v>Tool governance</v>
      </c>
      <c r="E275" s="78" t="str">
        <f>IF($AB275="",IF('MCP Client Checklist'!E12="","",'MCP Client Checklist'!E12),IF(INDEX('Old MCP Client Checklist'!$E:$E,$AB275)="","",INDEX('Old MCP Client Checklist'!$E:$E,$AB275)))</f>
        <v/>
      </c>
      <c r="F275" s="78" t="str">
        <f>IF($AB275="",IF('MCP Client Checklist'!F12="","",'MCP Client Checklist'!F12),IF(INDEX('Old MCP Client Checklist'!$F:$F,$AB275)="","",INDEX('Old MCP Client Checklist'!$F:$F,$AB275)))</f>
        <v/>
      </c>
      <c r="G275" s="78" t="str">
        <f>IF($AB275="",IF('MCP Client Checklist'!G12="","",'MCP Client Checklist'!G12),IF(INDEX('Old MCP Client Checklist'!$G:$G,$AB275)="","",INDEX('Old MCP Client Checklist'!$G:$G,$AB275)))</f>
        <v/>
      </c>
      <c r="AB275" s="79" t="str">
        <f>IFERROR(MATCH($A275,'Old MCP Client Checklist'!$A:$A,0),"")</f>
        <v/>
      </c>
      <c r="AC275" s="79" t="str">
        <f t="shared" si="6"/>
        <v>MSC.7</v>
      </c>
      <c r="AD275" s="79" t="str">
        <f>IF($AB275="","",IF(INDEX('Old MCP Client Checklist'!$D:$D,$AB275)&lt;&gt;'MCP Client Checklist'!D12,$A275,""))</f>
        <v/>
      </c>
    </row>
    <row r="276" spans="1:30" x14ac:dyDescent="0.3">
      <c r="A276" s="19" t="str">
        <f>'MCP Client Checklist'!A13</f>
        <v>MSC.8</v>
      </c>
      <c r="B276" s="79" t="str">
        <f>'MCP Client Checklist'!B13</f>
        <v>Tool governance</v>
      </c>
      <c r="E276" s="78" t="str">
        <f>IF($AB276="",IF('MCP Client Checklist'!E13="","",'MCP Client Checklist'!E13),IF(INDEX('Old MCP Client Checklist'!$E:$E,$AB276)="","",INDEX('Old MCP Client Checklist'!$E:$E,$AB276)))</f>
        <v/>
      </c>
      <c r="F276" s="78" t="str">
        <f>IF($AB276="",IF('MCP Client Checklist'!F13="","",'MCP Client Checklist'!F13),IF(INDEX('Old MCP Client Checklist'!$F:$F,$AB276)="","",INDEX('Old MCP Client Checklist'!$F:$F,$AB276)))</f>
        <v/>
      </c>
      <c r="G276" s="78" t="str">
        <f>IF($AB276="",IF('MCP Client Checklist'!G13="","",'MCP Client Checklist'!G13),IF(INDEX('Old MCP Client Checklist'!$G:$G,$AB276)="","",INDEX('Old MCP Client Checklist'!$G:$G,$AB276)))</f>
        <v/>
      </c>
      <c r="AB276" s="79" t="str">
        <f>IFERROR(MATCH($A276,'Old MCP Client Checklist'!$A:$A,0),"")</f>
        <v/>
      </c>
      <c r="AC276" s="79" t="str">
        <f t="shared" si="6"/>
        <v>MSC.8</v>
      </c>
      <c r="AD276" s="79" t="str">
        <f>IF($AB276="","",IF(INDEX('Old MCP Client Checklist'!$D:$D,$AB276)&lt;&gt;'MCP Client Checklist'!D13,$A276,""))</f>
        <v/>
      </c>
    </row>
    <row r="277" spans="1:30" x14ac:dyDescent="0.3">
      <c r="A277" s="19" t="str">
        <f>'MCP Client Checklist'!A14</f>
        <v>MSC.9</v>
      </c>
      <c r="B277" s="79" t="str">
        <f>'MCP Client Checklist'!B14</f>
        <v>Output handling</v>
      </c>
      <c r="E277" s="78" t="str">
        <f>IF($AB277="",IF('MCP Client Checklist'!E14="","",'MCP Client Checklist'!E14),IF(INDEX('Old MCP Client Checklist'!$E:$E,$AB277)="","",INDEX('Old MCP Client Checklist'!$E:$E,$AB277)))</f>
        <v/>
      </c>
      <c r="F277" s="78" t="str">
        <f>IF($AB277="",IF('MCP Client Checklist'!F14="","",'MCP Client Checklist'!F14),IF(INDEX('Old MCP Client Checklist'!$F:$F,$AB277)="","",INDEX('Old MCP Client Checklist'!$F:$F,$AB277)))</f>
        <v/>
      </c>
      <c r="G277" s="78" t="str">
        <f>IF($AB277="",IF('MCP Client Checklist'!G14="","",'MCP Client Checklist'!G14),IF(INDEX('Old MCP Client Checklist'!$G:$G,$AB277)="","",INDEX('Old MCP Client Checklist'!$G:$G,$AB277)))</f>
        <v/>
      </c>
      <c r="AB277" s="79" t="str">
        <f>IFERROR(MATCH($A277,'Old MCP Client Checklist'!$A:$A,0),"")</f>
        <v/>
      </c>
      <c r="AC277" s="79" t="str">
        <f t="shared" si="6"/>
        <v>MSC.9</v>
      </c>
      <c r="AD277" s="79" t="str">
        <f>IF($AB277="","",IF(INDEX('Old MCP Client Checklist'!$D:$D,$AB277)&lt;&gt;'MCP Client Checklist'!D14,$A277,""))</f>
        <v/>
      </c>
    </row>
    <row r="278" spans="1:30" x14ac:dyDescent="0.3">
      <c r="A278" s="19" t="str">
        <f>'MCP Client Checklist'!A15</f>
        <v>MSC.10</v>
      </c>
      <c r="B278" s="79" t="str">
        <f>'MCP Client Checklist'!B15</f>
        <v>Runtime protection</v>
      </c>
      <c r="E278" s="78" t="str">
        <f>IF($AB278="",IF('MCP Client Checklist'!E15="","",'MCP Client Checklist'!E15),IF(INDEX('Old MCP Client Checklist'!$E:$E,$AB278)="","",INDEX('Old MCP Client Checklist'!$E:$E,$AB278)))</f>
        <v/>
      </c>
      <c r="F278" s="78" t="str">
        <f>IF($AB278="",IF('MCP Client Checklist'!F15="","",'MCP Client Checklist'!F15),IF(INDEX('Old MCP Client Checklist'!$F:$F,$AB278)="","",INDEX('Old MCP Client Checklist'!$F:$F,$AB278)))</f>
        <v/>
      </c>
      <c r="G278" s="78" t="str">
        <f>IF($AB278="",IF('MCP Client Checklist'!G15="","",'MCP Client Checklist'!G15),IF(INDEX('Old MCP Client Checklist'!$G:$G,$AB278)="","",INDEX('Old MCP Client Checklist'!$G:$G,$AB278)))</f>
        <v/>
      </c>
      <c r="AB278" s="79" t="str">
        <f>IFERROR(MATCH($A278,'Old MCP Client Checklist'!$A:$A,0),"")</f>
        <v/>
      </c>
      <c r="AC278" s="79" t="str">
        <f t="shared" si="6"/>
        <v>MSC.10</v>
      </c>
      <c r="AD278" s="79" t="str">
        <f>IF($AB278="","",IF(INDEX('Old MCP Client Checklist'!$D:$D,$AB278)&lt;&gt;'MCP Client Checklist'!D15,$A278,""))</f>
        <v/>
      </c>
    </row>
    <row r="279" spans="1:30" x14ac:dyDescent="0.3">
      <c r="A279" s="19" t="str">
        <f>'MCP Client Checklist'!A16</f>
        <v>MSC.11</v>
      </c>
      <c r="B279" s="79" t="str">
        <f>'MCP Client Checklist'!B16</f>
        <v>Runtime protection</v>
      </c>
      <c r="E279" s="78" t="str">
        <f>IF($AB279="",IF('MCP Client Checklist'!E16="","",'MCP Client Checklist'!E16),IF(INDEX('Old MCP Client Checklist'!$E:$E,$AB279)="","",INDEX('Old MCP Client Checklist'!$E:$E,$AB279)))</f>
        <v/>
      </c>
      <c r="F279" s="78" t="str">
        <f>IF($AB279="",IF('MCP Client Checklist'!F16="","",'MCP Client Checklist'!F16),IF(INDEX('Old MCP Client Checklist'!$F:$F,$AB279)="","",INDEX('Old MCP Client Checklist'!$F:$F,$AB279)))</f>
        <v/>
      </c>
      <c r="G279" s="78" t="str">
        <f>IF($AB279="",IF('MCP Client Checklist'!G16="","",'MCP Client Checklist'!G16),IF(INDEX('Old MCP Client Checklist'!$G:$G,$AB279)="","",INDEX('Old MCP Client Checklist'!$G:$G,$AB279)))</f>
        <v/>
      </c>
      <c r="AB279" s="79" t="str">
        <f>IFERROR(MATCH($A279,'Old MCP Client Checklist'!$A:$A,0),"")</f>
        <v/>
      </c>
      <c r="AC279" s="79" t="str">
        <f t="shared" si="6"/>
        <v>MSC.11</v>
      </c>
      <c r="AD279" s="79" t="str">
        <f>IF($AB279="","",IF(INDEX('Old MCP Client Checklist'!$D:$D,$AB279)&lt;&gt;'MCP Client Checklist'!D16,$A279,""))</f>
        <v/>
      </c>
    </row>
    <row r="280" spans="1:30" x14ac:dyDescent="0.3">
      <c r="A280" s="19" t="str">
        <f>'MCP Client Checklist'!A17</f>
        <v>MSC.12</v>
      </c>
      <c r="B280" s="79" t="str">
        <f>'MCP Client Checklist'!B17</f>
        <v>Privacy</v>
      </c>
      <c r="E280" s="78" t="str">
        <f>IF($AB280="",IF('MCP Client Checklist'!E17="","",'MCP Client Checklist'!E17),IF(INDEX('Old MCP Client Checklist'!$E:$E,$AB280)="","",INDEX('Old MCP Client Checklist'!$E:$E,$AB280)))</f>
        <v/>
      </c>
      <c r="F280" s="78" t="str">
        <f>IF($AB280="",IF('MCP Client Checklist'!F17="","",'MCP Client Checklist'!F17),IF(INDEX('Old MCP Client Checklist'!$F:$F,$AB280)="","",INDEX('Old MCP Client Checklist'!$F:$F,$AB280)))</f>
        <v/>
      </c>
      <c r="G280" s="78" t="str">
        <f>IF($AB280="",IF('MCP Client Checklist'!G17="","",'MCP Client Checklist'!G17),IF(INDEX('Old MCP Client Checklist'!$G:$G,$AB280)="","",INDEX('Old MCP Client Checklist'!$G:$G,$AB280)))</f>
        <v/>
      </c>
      <c r="AB280" s="79" t="str">
        <f>IFERROR(MATCH($A280,'Old MCP Client Checklist'!$A:$A,0),"")</f>
        <v/>
      </c>
      <c r="AC280" s="79" t="str">
        <f t="shared" si="6"/>
        <v>MSC.12</v>
      </c>
      <c r="AD280" s="79" t="str">
        <f>IF($AB280="","",IF(INDEX('Old MCP Client Checklist'!$D:$D,$AB280)&lt;&gt;'MCP Client Checklist'!D17,$A280,""))</f>
        <v/>
      </c>
    </row>
    <row r="281" spans="1:30" x14ac:dyDescent="0.3">
      <c r="A281" s="19" t="str">
        <f>'MCP Client Checklist'!A18</f>
        <v>MSC.13</v>
      </c>
      <c r="B281" s="79" t="str">
        <f>'MCP Client Checklist'!B18</f>
        <v>Logging</v>
      </c>
      <c r="E281" s="78" t="str">
        <f>IF($AB281="",IF('MCP Client Checklist'!E18="","",'MCP Client Checklist'!E18),IF(INDEX('Old MCP Client Checklist'!$E:$E,$AB281)="","",INDEX('Old MCP Client Checklist'!$E:$E,$AB281)))</f>
        <v/>
      </c>
      <c r="F281" s="78" t="str">
        <f>IF($AB281="",IF('MCP Client Checklist'!F18="","",'MCP Client Checklist'!F18),IF(INDEX('Old MCP Client Checklist'!$F:$F,$AB281)="","",INDEX('Old MCP Client Checklist'!$F:$F,$AB281)))</f>
        <v/>
      </c>
      <c r="G281" s="78" t="str">
        <f>IF($AB281="",IF('MCP Client Checklist'!G18="","",'MCP Client Checklist'!G18),IF(INDEX('Old MCP Client Checklist'!$G:$G,$AB281)="","",INDEX('Old MCP Client Checklist'!$G:$G,$AB281)))</f>
        <v/>
      </c>
      <c r="AB281" s="79" t="str">
        <f>IFERROR(MATCH($A281,'Old MCP Client Checklist'!$A:$A,0),"")</f>
        <v/>
      </c>
      <c r="AC281" s="79" t="str">
        <f t="shared" si="6"/>
        <v>MSC.13</v>
      </c>
      <c r="AD281" s="79" t="str">
        <f>IF($AB281="","",IF(INDEX('Old MCP Client Checklist'!$D:$D,$AB281)&lt;&gt;'MCP Client Checklist'!D18,$A281,""))</f>
        <v/>
      </c>
    </row>
    <row r="282" spans="1:30" x14ac:dyDescent="0.3">
      <c r="A282" s="19" t="str">
        <f>'MCP Client Checklist'!A19</f>
        <v>MSC.14</v>
      </c>
      <c r="B282" s="79" t="str">
        <f>'MCP Client Checklist'!B19</f>
        <v>Lifecycle</v>
      </c>
      <c r="E282" s="78" t="str">
        <f>IF($AB282="",IF('MCP Client Checklist'!E19="","",'MCP Client Checklist'!E19),IF(INDEX('Old MCP Client Checklist'!$E:$E,$AB282)="","",INDEX('Old MCP Client Checklist'!$E:$E,$AB282)))</f>
        <v/>
      </c>
      <c r="F282" s="78" t="str">
        <f>IF($AB282="",IF('MCP Client Checklist'!F19="","",'MCP Client Checklist'!F19),IF(INDEX('Old MCP Client Checklist'!$F:$F,$AB282)="","",INDEX('Old MCP Client Checklist'!$F:$F,$AB282)))</f>
        <v/>
      </c>
      <c r="G282" s="78" t="str">
        <f>IF($AB282="",IF('MCP Client Checklist'!G19="","",'MCP Client Checklist'!G19),IF(INDEX('Old MCP Client Checklist'!$G:$G,$AB282)="","",INDEX('Old MCP Client Checklist'!$G:$G,$AB282)))</f>
        <v/>
      </c>
      <c r="AB282" s="79" t="str">
        <f>IFERROR(MATCH($A282,'Old MCP Client Checklist'!$A:$A,0),"")</f>
        <v/>
      </c>
      <c r="AC282" s="79" t="str">
        <f t="shared" si="6"/>
        <v>MSC.14</v>
      </c>
      <c r="AD282" s="79" t="str">
        <f>IF($AB282="","",IF(INDEX('Old MCP Client Checklist'!$D:$D,$AB282)&lt;&gt;'MCP Client Checklist'!D19,$A282,""))</f>
        <v/>
      </c>
    </row>
    <row r="283" spans="1:30" x14ac:dyDescent="0.3">
      <c r="A283" s="19" t="str">
        <f>'MCP Client Checklist'!A20</f>
        <v>MSC.15</v>
      </c>
      <c r="B283" s="79" t="str">
        <f>'MCP Client Checklist'!B20</f>
        <v>Lifecycle</v>
      </c>
      <c r="E283" s="78" t="str">
        <f>IF($AB283="",IF('MCP Client Checklist'!E20="","",'MCP Client Checklist'!E20),IF(INDEX('Old MCP Client Checklist'!$E:$E,$AB283)="","",INDEX('Old MCP Client Checklist'!$E:$E,$AB283)))</f>
        <v/>
      </c>
      <c r="F283" s="78" t="str">
        <f>IF($AB283="",IF('MCP Client Checklist'!F20="","",'MCP Client Checklist'!F20),IF(INDEX('Old MCP Client Checklist'!$F:$F,$AB283)="","",INDEX('Old MCP Client Checklist'!$F:$F,$AB283)))</f>
        <v/>
      </c>
      <c r="G283" s="78" t="str">
        <f>IF($AB283="",IF('MCP Client Checklist'!G20="","",'MCP Client Checklist'!G20),IF(INDEX('Old MCP Client Checklist'!$G:$G,$AB283)="","",INDEX('Old MCP Client Checklist'!$G:$G,$AB283)))</f>
        <v/>
      </c>
      <c r="AB283" s="79" t="str">
        <f>IFERROR(MATCH($A283,'Old MCP Client Checklist'!$A:$A,0),"")</f>
        <v/>
      </c>
      <c r="AC283" s="79" t="str">
        <f t="shared" si="6"/>
        <v>MSC.15</v>
      </c>
      <c r="AD283" s="79" t="str">
        <f>IF($AB283="","",IF(INDEX('Old MCP Client Checklist'!$D:$D,$AB283)&lt;&gt;'MCP Client Checklist'!D20,$A283,""))</f>
        <v/>
      </c>
    </row>
    <row r="284" spans="1:30" x14ac:dyDescent="0.3">
      <c r="A284" s="19" t="str">
        <f>'MCP Client Checklist'!A21</f>
        <v>MSC.16</v>
      </c>
      <c r="B284" s="79" t="str">
        <f>'MCP Client Checklist'!B21</f>
        <v>Tool governance</v>
      </c>
      <c r="E284" s="78" t="str">
        <f>IF($AB284="",IF('MCP Client Checklist'!E21="","",'MCP Client Checklist'!E21),IF(INDEX('Old MCP Client Checklist'!$E:$E,$AB284)="","",INDEX('Old MCP Client Checklist'!$E:$E,$AB284)))</f>
        <v/>
      </c>
      <c r="F284" s="78" t="str">
        <f>IF($AB284="",IF('MCP Client Checklist'!F21="","",'MCP Client Checklist'!F21),IF(INDEX('Old MCP Client Checklist'!$F:$F,$AB284)="","",INDEX('Old MCP Client Checklist'!$F:$F,$AB284)))</f>
        <v/>
      </c>
      <c r="G284" s="78" t="str">
        <f>IF($AB284="",IF('MCP Client Checklist'!G21="","",'MCP Client Checklist'!G21),IF(INDEX('Old MCP Client Checklist'!$G:$G,$AB284)="","",INDEX('Old MCP Client Checklist'!$G:$G,$AB284)))</f>
        <v/>
      </c>
      <c r="AB284" s="79" t="str">
        <f>IFERROR(MATCH($A284,'Old MCP Client Checklist'!$A:$A,0),"")</f>
        <v/>
      </c>
      <c r="AC284" s="79" t="str">
        <f t="shared" si="6"/>
        <v>MSC.16</v>
      </c>
      <c r="AD284" s="79" t="str">
        <f>IF($AB284="","",IF(INDEX('Old MCP Client Checklist'!$D:$D,$AB284)&lt;&gt;'MCP Client Checklist'!D21,$A284,""))</f>
        <v/>
      </c>
    </row>
    <row r="285" spans="1:30" x14ac:dyDescent="0.3">
      <c r="A285" s="19" t="str">
        <f>'MCP Client Checklist'!A22</f>
        <v>MSC.17</v>
      </c>
      <c r="B285" s="79" t="str">
        <f>'MCP Client Checklist'!B22</f>
        <v>Runtime protection</v>
      </c>
      <c r="E285" s="78" t="str">
        <f>IF($AB285="",IF('MCP Client Checklist'!E22="","",'MCP Client Checklist'!E22),IF(INDEX('Old MCP Client Checklist'!$E:$E,$AB285)="","",INDEX('Old MCP Client Checklist'!$E:$E,$AB285)))</f>
        <v/>
      </c>
      <c r="F285" s="78" t="str">
        <f>IF($AB285="",IF('MCP Client Checklist'!F22="","",'MCP Client Checklist'!F22),IF(INDEX('Old MCP Client Checklist'!$F:$F,$AB285)="","",INDEX('Old MCP Client Checklist'!$F:$F,$AB285)))</f>
        <v/>
      </c>
      <c r="G285" s="78" t="str">
        <f>IF($AB285="",IF('MCP Client Checklist'!G22="","",'MCP Client Checklist'!G22),IF(INDEX('Old MCP Client Checklist'!$G:$G,$AB285)="","",INDEX('Old MCP Client Checklist'!$G:$G,$AB285)))</f>
        <v/>
      </c>
      <c r="AB285" s="79" t="str">
        <f>IFERROR(MATCH($A285,'Old MCP Client Checklist'!$A:$A,0),"")</f>
        <v/>
      </c>
      <c r="AC285" s="79" t="str">
        <f t="shared" si="6"/>
        <v>MSC.17</v>
      </c>
      <c r="AD285" s="79" t="str">
        <f>IF($AB285="","",IF(INDEX('Old MCP Client Checklist'!$D:$D,$AB285)&lt;&gt;'MCP Client Checklist'!D22,$A285,""))</f>
        <v/>
      </c>
    </row>
    <row r="286" spans="1:30" x14ac:dyDescent="0.3">
      <c r="A286" s="19" t="str">
        <f>'MCP Client Checklist'!A23</f>
        <v>MSC.18</v>
      </c>
      <c r="B286" s="79" t="str">
        <f>'MCP Client Checklist'!B23</f>
        <v>Runtime protection</v>
      </c>
      <c r="E286" s="78" t="str">
        <f>IF($AB286="",IF('MCP Client Checklist'!E23="","",'MCP Client Checklist'!E23),IF(INDEX('Old MCP Client Checklist'!$E:$E,$AB286)="","",INDEX('Old MCP Client Checklist'!$E:$E,$AB286)))</f>
        <v/>
      </c>
      <c r="F286" s="78" t="str">
        <f>IF($AB286="",IF('MCP Client Checklist'!F23="","",'MCP Client Checklist'!F23),IF(INDEX('Old MCP Client Checklist'!$F:$F,$AB286)="","",INDEX('Old MCP Client Checklist'!$F:$F,$AB286)))</f>
        <v/>
      </c>
      <c r="G286" s="78" t="str">
        <f>IF($AB286="",IF('MCP Client Checklist'!G23="","",'MCP Client Checklist'!G23),IF(INDEX('Old MCP Client Checklist'!$G:$G,$AB286)="","",INDEX('Old MCP Client Checklist'!$G:$G,$AB286)))</f>
        <v/>
      </c>
      <c r="AB286" s="79" t="str">
        <f>IFERROR(MATCH($A286,'Old MCP Client Checklist'!$A:$A,0),"")</f>
        <v/>
      </c>
      <c r="AC286" s="79" t="str">
        <f t="shared" si="6"/>
        <v>MSC.18</v>
      </c>
      <c r="AD286" s="79" t="str">
        <f>IF($AB286="","",IF(INDEX('Old MCP Client Checklist'!$D:$D,$AB286)&lt;&gt;'MCP Client Checklist'!D23,$A286,""))</f>
        <v/>
      </c>
    </row>
    <row r="287" spans="1:30" x14ac:dyDescent="0.3">
      <c r="A287" s="19" t="str">
        <f>'MCP Client Checklist'!A24</f>
        <v>MSC.19</v>
      </c>
      <c r="B287" s="79" t="str">
        <f>'MCP Client Checklist'!B24</f>
        <v>Consent &amp; authentication</v>
      </c>
      <c r="E287" s="78" t="str">
        <f>IF($AB287="",IF('MCP Client Checklist'!E24="","",'MCP Client Checklist'!E24),IF(INDEX('Old MCP Client Checklist'!$E:$E,$AB287)="","",INDEX('Old MCP Client Checklist'!$E:$E,$AB287)))</f>
        <v/>
      </c>
      <c r="F287" s="78" t="str">
        <f>IF($AB287="",IF('MCP Client Checklist'!F24="","",'MCP Client Checklist'!F24),IF(INDEX('Old MCP Client Checklist'!$F:$F,$AB287)="","",INDEX('Old MCP Client Checklist'!$F:$F,$AB287)))</f>
        <v/>
      </c>
      <c r="G287" s="78" t="str">
        <f>IF($AB287="",IF('MCP Client Checklist'!G24="","",'MCP Client Checklist'!G24),IF(INDEX('Old MCP Client Checklist'!$G:$G,$AB287)="","",INDEX('Old MCP Client Checklist'!$G:$G,$AB287)))</f>
        <v/>
      </c>
      <c r="AB287" s="79" t="str">
        <f>IFERROR(MATCH($A287,'Old MCP Client Checklist'!$A:$A,0),"")</f>
        <v/>
      </c>
      <c r="AC287" s="79" t="str">
        <f t="shared" si="6"/>
        <v>MSC.19</v>
      </c>
      <c r="AD287" s="79" t="str">
        <f>IF($AB287="","",IF(INDEX('Old MCP Client Checklist'!$D:$D,$AB287)&lt;&gt;'MCP Client Checklist'!D24,$A287,""))</f>
        <v/>
      </c>
    </row>
    <row r="288" spans="1:30" x14ac:dyDescent="0.3">
      <c r="A288" s="19" t="str">
        <f>'MCP Client Checklist'!A25</f>
        <v>MSC.20</v>
      </c>
      <c r="B288" s="79" t="str">
        <f>'MCP Client Checklist'!B25</f>
        <v>Consent &amp; authentication</v>
      </c>
      <c r="E288" s="78" t="str">
        <f>IF($AB288="",IF('MCP Client Checklist'!E25="","",'MCP Client Checklist'!E25),IF(INDEX('Old MCP Client Checklist'!$E:$E,$AB288)="","",INDEX('Old MCP Client Checklist'!$E:$E,$AB288)))</f>
        <v/>
      </c>
      <c r="F288" s="78" t="str">
        <f>IF($AB288="",IF('MCP Client Checklist'!F25="","",'MCP Client Checklist'!F25),IF(INDEX('Old MCP Client Checklist'!$F:$F,$AB288)="","",INDEX('Old MCP Client Checklist'!$F:$F,$AB288)))</f>
        <v/>
      </c>
      <c r="G288" s="78" t="str">
        <f>IF($AB288="",IF('MCP Client Checklist'!G25="","",'MCP Client Checklist'!G25),IF(INDEX('Old MCP Client Checklist'!$G:$G,$AB288)="","",INDEX('Old MCP Client Checklist'!$G:$G,$AB288)))</f>
        <v/>
      </c>
      <c r="AB288" s="79" t="str">
        <f>IFERROR(MATCH($A288,'Old MCP Client Checklist'!$A:$A,0),"")</f>
        <v/>
      </c>
      <c r="AC288" s="79" t="str">
        <f t="shared" si="6"/>
        <v>MSC.20</v>
      </c>
      <c r="AD288" s="79" t="str">
        <f>IF($AB288="","",IF(INDEX('Old MCP Client Checklist'!$D:$D,$AB288)&lt;&gt;'MCP Client Checklist'!D25,$A288,""))</f>
        <v/>
      </c>
    </row>
    <row r="289" spans="1:6" x14ac:dyDescent="0.3">
      <c r="A289" s="11" t="s">
        <v>982</v>
      </c>
    </row>
    <row r="290" spans="1:6" x14ac:dyDescent="0.3">
      <c r="D290" s="75" t="s">
        <v>622</v>
      </c>
      <c r="E290" s="75" t="s">
        <v>921</v>
      </c>
      <c r="F290" s="75" t="s">
        <v>922</v>
      </c>
    </row>
    <row r="291" spans="1:6" ht="30" customHeight="1" x14ac:dyDescent="0.3">
      <c r="D291" s="77" t="s">
        <v>983</v>
      </c>
      <c r="E291" s="77" t="s">
        <v>984</v>
      </c>
      <c r="F291" s="77" t="s">
        <v>985</v>
      </c>
    </row>
    <row r="292" spans="1:6" x14ac:dyDescent="0.3">
      <c r="B292" s="79" t="s">
        <v>993</v>
      </c>
      <c r="D292" s="78" t="str">
        <f>IF('Old MCP Client Checklist'!D34="",IF('MCP Client Checklist'!D34="","",'MCP Client Checklist'!D34),'Old MCP Client Checklist'!D34)</f>
        <v/>
      </c>
      <c r="E292" s="78" t="str">
        <f>IF('Old MCP Client Checklist'!E34="",IF('MCP Client Checklist'!E34="","",'MCP Client Checklist'!E34),'Old MCP Client Checklist'!E34)</f>
        <v/>
      </c>
      <c r="F292" s="80" t="str">
        <f>IF('Old MCP Client Checklist'!F34="",IF('MCP Client Checklist'!F34="","",'MCP Client Checklist'!F34),'Old MCP Client Checklist'!F34)</f>
        <v/>
      </c>
    </row>
    <row r="293" spans="1:6" x14ac:dyDescent="0.3">
      <c r="B293" s="79" t="s">
        <v>994</v>
      </c>
      <c r="D293" s="78" t="str">
        <f>IF('Old MCP Client Checklist'!D35="",IF('MCP Client Checklist'!D35="","",'MCP Client Checklist'!D35),'Old MCP Client Checklist'!D35)</f>
        <v/>
      </c>
    </row>
    <row r="294" spans="1:6" x14ac:dyDescent="0.3">
      <c r="B294" s="79" t="s">
        <v>995</v>
      </c>
    </row>
    <row r="295" spans="1:6" x14ac:dyDescent="0.3">
      <c r="B295" s="79" t="s">
        <v>996</v>
      </c>
      <c r="D295" s="78" t="str">
        <f>IF('Old MCP Client Checklist'!D37="",IF('MCP Client Checklist'!D37="","",'MCP Client Checklist'!D37),'Old MCP Client Checklist'!D37)</f>
        <v/>
      </c>
    </row>
  </sheetData>
  <pageMargins left="0.75" right="0.75" top="1" bottom="1" header="0.511811023622047" footer="0.5"/>
  <pageSetup fitToHeight="0" orientation="landscape" horizontalDpi="300" verticalDpi="300"/>
  <headerFooter>
    <oddFooter>&amp;RPage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
  <sheetViews>
    <sheetView zoomScaleNormal="100" workbookViewId="0"/>
  </sheetViews>
  <sheetFormatPr baseColWidth="10" defaultColWidth="8.6640625" defaultRowHeight="14.4" x14ac:dyDescent="0.3"/>
  <cols>
    <col min="1" max="1" width="150" customWidth="1"/>
  </cols>
  <sheetData>
    <row r="1" spans="1:1" x14ac:dyDescent="0.3">
      <c r="A1" s="79" t="s">
        <v>997</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
  <sheetViews>
    <sheetView zoomScaleNormal="100" workbookViewId="0"/>
  </sheetViews>
  <sheetFormatPr baseColWidth="10" defaultColWidth="8.6640625" defaultRowHeight="14.4" x14ac:dyDescent="0.3"/>
  <cols>
    <col min="1" max="1" width="150" customWidth="1"/>
  </cols>
  <sheetData>
    <row r="1" spans="1:1" x14ac:dyDescent="0.3">
      <c r="A1" s="79" t="s">
        <v>998</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6A6A6"/>
  </sheetPr>
  <dimension ref="A1"/>
  <sheetViews>
    <sheetView zoomScaleNormal="100" workbookViewId="0"/>
  </sheetViews>
  <sheetFormatPr baseColWidth="10" defaultColWidth="8.6640625" defaultRowHeight="14.4" x14ac:dyDescent="0.3"/>
  <cols>
    <col min="1" max="1" width="150" customWidth="1"/>
  </cols>
  <sheetData>
    <row r="1" spans="1:1" x14ac:dyDescent="0.3">
      <c r="A1" s="79" t="s">
        <v>999</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
  <sheetViews>
    <sheetView zoomScaleNormal="100" workbookViewId="0"/>
  </sheetViews>
  <sheetFormatPr baseColWidth="10" defaultColWidth="8.6640625" defaultRowHeight="14.4" x14ac:dyDescent="0.3"/>
  <cols>
    <col min="1" max="1" width="150" customWidth="1"/>
  </cols>
  <sheetData>
    <row r="1" spans="1:1" x14ac:dyDescent="0.3">
      <c r="A1" s="79" t="s">
        <v>1000</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
  <sheetViews>
    <sheetView zoomScaleNormal="100" workbookViewId="0"/>
  </sheetViews>
  <sheetFormatPr baseColWidth="10" defaultColWidth="8.6640625" defaultRowHeight="14.4" x14ac:dyDescent="0.3"/>
  <cols>
    <col min="1" max="1" width="150" customWidth="1"/>
  </cols>
  <sheetData>
    <row r="1" spans="1:1" x14ac:dyDescent="0.3">
      <c r="A1" s="79" t="s">
        <v>1001</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
  <sheetViews>
    <sheetView zoomScaleNormal="100" workbookViewId="0"/>
  </sheetViews>
  <sheetFormatPr baseColWidth="10" defaultColWidth="8.6640625" defaultRowHeight="14.4" x14ac:dyDescent="0.3"/>
  <cols>
    <col min="1" max="1" width="150" customWidth="1"/>
  </cols>
  <sheetData>
    <row r="1" spans="1:1" x14ac:dyDescent="0.3">
      <c r="A1" s="79" t="s">
        <v>1002</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944bf6ff-de76-46d9-9c42-32dece70be80}" enabled="1" method="Privileged" siteId="{34bf29ee-12a0-45b9-9c3b-c492c9751081}"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Arbeitsblätter</vt:lpstr>
      </vt:variant>
      <vt:variant>
        <vt:i4>18</vt:i4>
      </vt:variant>
      <vt:variant>
        <vt:lpstr>Benannte Bereiche</vt:lpstr>
      </vt:variant>
      <vt:variant>
        <vt:i4>44</vt:i4>
      </vt:variant>
    </vt:vector>
  </HeadingPairs>
  <TitlesOfParts>
    <vt:vector size="62" baseType="lpstr">
      <vt:lpstr>README &amp; Logic</vt:lpstr>
      <vt:lpstr>Scoping</vt:lpstr>
      <vt:lpstr>Assessment Matrix</vt:lpstr>
      <vt:lpstr>Dashboard</vt:lpstr>
      <vt:lpstr>Lookups</vt:lpstr>
      <vt:lpstr>AI Defense Matrix</vt:lpstr>
      <vt:lpstr>Model Comparator</vt:lpstr>
      <vt:lpstr>MCP Server Checklist</vt:lpstr>
      <vt:lpstr>MCP Client Checklist</vt:lpstr>
      <vt:lpstr>Maturity Crosswalk</vt:lpstr>
      <vt:lpstr>Changelog</vt:lpstr>
      <vt:lpstr>Migration</vt:lpstr>
      <vt:lpstr>Old Scoping</vt:lpstr>
      <vt:lpstr>Old Assessment Matrix</vt:lpstr>
      <vt:lpstr>Old Dashboard</vt:lpstr>
      <vt:lpstr>Old Model Comparator</vt:lpstr>
      <vt:lpstr>Old MCP Server Checklist</vt:lpstr>
      <vt:lpstr>Old MCP Client Checklist</vt:lpstr>
      <vt:lpstr>cmp_conditional</vt:lpstr>
      <vt:lpstr>cmp_suitable</vt:lpstr>
      <vt:lpstr>'AI Defense Matrix'!Druckbereich</vt:lpstr>
      <vt:lpstr>'Assessment Matrix'!Druckbereich</vt:lpstr>
      <vt:lpstr>Changelog!Druckbereich</vt:lpstr>
      <vt:lpstr>Dashboard!Druckbereich</vt:lpstr>
      <vt:lpstr>Lookups!Druckbereich</vt:lpstr>
      <vt:lpstr>'Maturity Crosswalk'!Druckbereich</vt:lpstr>
      <vt:lpstr>'MCP Client Checklist'!Druckbereich</vt:lpstr>
      <vt:lpstr>'MCP Server Checklist'!Druckbereich</vt:lpstr>
      <vt:lpstr>Migration!Druckbereich</vt:lpstr>
      <vt:lpstr>'Model Comparator'!Druckbereich</vt:lpstr>
      <vt:lpstr>'README &amp; Logic'!Druckbereich</vt:lpstr>
      <vt:lpstr>Scoping!Druckbereich</vt:lpstr>
      <vt:lpstr>'Assessment Matrix'!Drucktitel</vt:lpstr>
      <vt:lpstr>Changelog!Drucktitel</vt:lpstr>
      <vt:lpstr>'Maturity Crosswalk'!Drucktitel</vt:lpstr>
      <vt:lpstr>'MCP Client Checklist'!Drucktitel</vt:lpstr>
      <vt:lpstr>'MCP Server Checklist'!Drucktitel</vt:lpstr>
      <vt:lpstr>'Model Comparator'!Drucktitel</vt:lpstr>
      <vt:lpstr>Scoping!Drucktitel</vt:lpstr>
      <vt:lpstr>mcp_min_compliance</vt:lpstr>
      <vt:lpstr>p_autonomy</vt:lpstr>
      <vt:lpstr>p_background</vt:lpstr>
      <vt:lpstr>p_confidential</vt:lpstr>
      <vt:lpstr>p_decisions</vt:lpstr>
      <vt:lpstr>p_downstream</vt:lpstr>
      <vt:lpstr>p_eu</vt:lpstr>
      <vt:lpstr>p_finetune</vt:lpstr>
      <vt:lpstr>p_local</vt:lpstr>
      <vt:lpstr>p_locus</vt:lpstr>
      <vt:lpstr>p_mcp</vt:lpstr>
      <vt:lpstr>p_memory</vt:lpstr>
      <vt:lpstr>p_multiagent</vt:lpstr>
      <vt:lpstr>p_open</vt:lpstr>
      <vt:lpstr>p_personal</vt:lpstr>
      <vt:lpstr>p_provider</vt:lpstr>
      <vt:lpstr>p_rag</vt:lpstr>
      <vt:lpstr>p_role</vt:lpstr>
      <vt:lpstr>p_stage</vt:lpstr>
      <vt:lpstr>p_tools</vt:lpstr>
      <vt:lpstr>p_users</vt:lpstr>
      <vt:lpstr>t_readiness</vt:lpstr>
      <vt:lpstr>t_residual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LLM &amp; Agent Security Assessment Workbook</dc:creator>
  <dc:description/>
  <cp:lastModifiedBy/>
  <cp:revision>0</cp:revision>
  <dcterms:created xsi:type="dcterms:W3CDTF">2026-09-29T09:29:18Z</dcterms:created>
  <dcterms:modified xsi:type="dcterms:W3CDTF">2026-10-27T00:00:00Z</dcterms:modified>
  <dc:language>en-US</dc:language>
</cp:coreProperties>
</file>