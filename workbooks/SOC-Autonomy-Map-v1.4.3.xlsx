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metadata/core-properties" Target="docProps/core0.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defaultThemeVersion="202300"/>
  <xr:revisionPtr revIDLastSave="0" documentId="6_{4902F99B-2BCF-4605-BF4E-F9BD2013529E}" xr6:coauthVersionLast="47" xr6:coauthVersionMax="47" xr10:uidLastSave="{00000000-0000-0000-0000-000000000000}"/>
  <bookViews>
    <workbookView xWindow="-53868" yWindow="-2820" windowWidth="30936" windowHeight="16776" activeTab="2" xr2:uid="{00000000-000D-0000-FFFF-FFFF00000000}"/>
  </bookViews>
  <sheets>
    <sheet name="Guide" sheetId="1" r:id="rId1"/>
    <sheet name="Autonomy map" sheetId="2" r:id="rId2"/>
    <sheet name="Register" sheetId="3" r:id="rId3"/>
    <sheet name="Use cases" sheetId="4" r:id="rId4"/>
    <sheet name="Readiness gate" sheetId="5" r:id="rId5"/>
    <sheet name="Policy" sheetId="6" r:id="rId6"/>
    <sheet name="Scales" sheetId="7" r:id="rId7"/>
  </sheets>
  <definedNames>
    <definedName name="_xlnm._FilterDatabase" localSheetId="4" hidden="1">'Readiness gate'!$A$6:$J$36</definedName>
    <definedName name="_xlnm._FilterDatabase" localSheetId="2" hidden="1">Register!$A$5:$V$185</definedName>
    <definedName name="_xlnm._FilterDatabase" localSheetId="3" hidden="1">'Use cases'!$A$4:$G$34</definedName>
    <definedName name="Conf_Adjust">Scales!$B$39:$C$41</definedName>
    <definedName name="Conf_Check">Scales!$B$39:$D$41</definedName>
    <definedName name="_xlnm.Print_Titles" localSheetId="4">'Readiness gate'!$6:$6</definedName>
    <definedName name="_xlnm.Print_Titles" localSheetId="2">Register!$A:$B,Register!$5:$5</definedName>
    <definedName name="_xlnm.Print_Titles" localSheetId="3">'Use cases'!$4:$4</definedName>
    <definedName name="GateTab">'Readiness gate'!$A$7:$K$36</definedName>
    <definedName name="List_Appetite">Policy!$C$4:$E$4</definedName>
    <definedName name="List_Blast">Scales!$B$31:$B$33</definedName>
    <definedName name="List_Confidence">Scales!$B$39:$B$41</definedName>
    <definedName name="List_Levels">Scales!$B$6:$B$10</definedName>
    <definedName name="List_Reversibility">Scales!$B$24:$B$27</definedName>
    <definedName name="List_Steps">Scales!$B$15:$B$20</definedName>
    <definedName name="List_YesNo">Scales!$B$54:$B$55</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43" i="7" l="1"/>
  <c r="D41" i="7"/>
  <c r="D40" i="7"/>
  <c r="D39" i="7"/>
  <c r="B24" i="6"/>
  <c r="G16" i="6"/>
  <c r="F16" i="6"/>
  <c r="B16" i="6"/>
  <c r="A16" i="6"/>
  <c r="G15" i="6"/>
  <c r="F15" i="6"/>
  <c r="B15" i="6"/>
  <c r="A15" i="6"/>
  <c r="G14" i="6"/>
  <c r="F14" i="6"/>
  <c r="B14" i="6"/>
  <c r="A14" i="6"/>
  <c r="G13" i="6"/>
  <c r="F13" i="6"/>
  <c r="B13" i="6"/>
  <c r="A13" i="6"/>
  <c r="G12" i="6"/>
  <c r="F12" i="6"/>
  <c r="B12" i="6"/>
  <c r="A12" i="6"/>
  <c r="G11" i="6"/>
  <c r="F11" i="6"/>
  <c r="B11" i="6"/>
  <c r="A11" i="6"/>
  <c r="G10" i="6"/>
  <c r="F10" i="6"/>
  <c r="B10" i="6"/>
  <c r="A10" i="6"/>
  <c r="G9" i="6"/>
  <c r="F9" i="6"/>
  <c r="B9" i="6"/>
  <c r="A9" i="6"/>
  <c r="G8" i="6"/>
  <c r="F8" i="6"/>
  <c r="B8" i="6"/>
  <c r="A8" i="6"/>
  <c r="G7" i="6"/>
  <c r="F7" i="6"/>
  <c r="B7" i="6"/>
  <c r="A7" i="6"/>
  <c r="G6" i="6"/>
  <c r="F6" i="6"/>
  <c r="B6" i="6"/>
  <c r="A6" i="6"/>
  <c r="G5" i="6"/>
  <c r="F5" i="6"/>
  <c r="B5" i="6"/>
  <c r="A5" i="6"/>
  <c r="K36" i="5"/>
  <c r="J36" i="5"/>
  <c r="I36" i="5"/>
  <c r="B36" i="5"/>
  <c r="K35" i="5"/>
  <c r="J35" i="5"/>
  <c r="I35" i="5"/>
  <c r="B35" i="5"/>
  <c r="K34" i="5"/>
  <c r="J34" i="5"/>
  <c r="I34" i="5"/>
  <c r="B34" i="5"/>
  <c r="K33" i="5"/>
  <c r="J33" i="5"/>
  <c r="I33" i="5"/>
  <c r="B33" i="5"/>
  <c r="K32" i="5"/>
  <c r="J32" i="5"/>
  <c r="I32" i="5"/>
  <c r="B32" i="5"/>
  <c r="K31" i="5"/>
  <c r="J31" i="5"/>
  <c r="I31" i="5"/>
  <c r="B31" i="5"/>
  <c r="K30" i="5"/>
  <c r="J30" i="5"/>
  <c r="I30" i="5"/>
  <c r="B30" i="5"/>
  <c r="K29" i="5"/>
  <c r="J29" i="5"/>
  <c r="I29" i="5"/>
  <c r="B29" i="5"/>
  <c r="K28" i="5"/>
  <c r="J28" i="5"/>
  <c r="I28" i="5"/>
  <c r="B28" i="5"/>
  <c r="K27" i="5"/>
  <c r="J27" i="5"/>
  <c r="I27" i="5"/>
  <c r="B27" i="5"/>
  <c r="K26" i="5"/>
  <c r="J26" i="5"/>
  <c r="I26" i="5"/>
  <c r="B26" i="5"/>
  <c r="K25" i="5"/>
  <c r="J25" i="5"/>
  <c r="I25" i="5"/>
  <c r="B25" i="5"/>
  <c r="K24" i="5"/>
  <c r="J24" i="5"/>
  <c r="I24" i="5"/>
  <c r="B24" i="5"/>
  <c r="K23" i="5"/>
  <c r="J23" i="5"/>
  <c r="I23" i="5"/>
  <c r="B23" i="5"/>
  <c r="K22" i="5"/>
  <c r="J22" i="5"/>
  <c r="I22" i="5"/>
  <c r="B22" i="5"/>
  <c r="K21" i="5"/>
  <c r="J21" i="5"/>
  <c r="I21" i="5"/>
  <c r="B21" i="5"/>
  <c r="K20" i="5"/>
  <c r="J20" i="5"/>
  <c r="I20" i="5"/>
  <c r="B20" i="5"/>
  <c r="K19" i="5"/>
  <c r="J19" i="5"/>
  <c r="I19" i="5"/>
  <c r="B19" i="5"/>
  <c r="K18" i="5"/>
  <c r="J18" i="5"/>
  <c r="I18" i="5"/>
  <c r="B18" i="5"/>
  <c r="K17" i="5"/>
  <c r="J17" i="5"/>
  <c r="I17" i="5"/>
  <c r="B17" i="5"/>
  <c r="K16" i="5"/>
  <c r="J16" i="5"/>
  <c r="I16" i="5"/>
  <c r="B16" i="5"/>
  <c r="K15" i="5"/>
  <c r="J15" i="5"/>
  <c r="I15" i="5"/>
  <c r="B15" i="5"/>
  <c r="K14" i="5"/>
  <c r="J14" i="5"/>
  <c r="I14" i="5"/>
  <c r="B14" i="5"/>
  <c r="K13" i="5"/>
  <c r="J13" i="5"/>
  <c r="I13" i="5"/>
  <c r="B13" i="5"/>
  <c r="K12" i="5"/>
  <c r="J12" i="5"/>
  <c r="I12" i="5"/>
  <c r="B12" i="5"/>
  <c r="K11" i="5"/>
  <c r="J11" i="5"/>
  <c r="I11" i="5"/>
  <c r="B11" i="5"/>
  <c r="K10" i="5"/>
  <c r="J10" i="5"/>
  <c r="I10" i="5"/>
  <c r="B10" i="5"/>
  <c r="K9" i="5"/>
  <c r="J9" i="5"/>
  <c r="I9" i="5"/>
  <c r="B9" i="5"/>
  <c r="K8" i="5"/>
  <c r="J8" i="5"/>
  <c r="I8" i="5"/>
  <c r="B8" i="5"/>
  <c r="K7" i="5"/>
  <c r="J7" i="5"/>
  <c r="I7" i="5"/>
  <c r="B7" i="5"/>
  <c r="G34" i="4"/>
  <c r="E34" i="4"/>
  <c r="G33" i="4"/>
  <c r="E33" i="4"/>
  <c r="G32" i="4"/>
  <c r="E32" i="4"/>
  <c r="G31" i="4"/>
  <c r="E31" i="4"/>
  <c r="G30" i="4"/>
  <c r="E30" i="4"/>
  <c r="G29" i="4"/>
  <c r="E29" i="4"/>
  <c r="G28" i="4"/>
  <c r="E28" i="4"/>
  <c r="G27" i="4"/>
  <c r="E27" i="4"/>
  <c r="G26" i="4"/>
  <c r="E26" i="4"/>
  <c r="G25" i="4"/>
  <c r="E25" i="4"/>
  <c r="G24" i="4"/>
  <c r="E24" i="4"/>
  <c r="G23" i="4"/>
  <c r="E23" i="4"/>
  <c r="D26" i="2" s="1"/>
  <c r="G22" i="4"/>
  <c r="E22" i="4"/>
  <c r="D25" i="2" s="1"/>
  <c r="G21" i="4"/>
  <c r="E21" i="4"/>
  <c r="G20" i="4"/>
  <c r="E20" i="4"/>
  <c r="D23" i="2" s="1"/>
  <c r="G19" i="4"/>
  <c r="E19" i="4"/>
  <c r="G18" i="4"/>
  <c r="E18" i="4"/>
  <c r="G17" i="4"/>
  <c r="E17" i="4"/>
  <c r="D20" i="2" s="1"/>
  <c r="G16" i="4"/>
  <c r="E16" i="4"/>
  <c r="D19" i="2" s="1"/>
  <c r="G15" i="4"/>
  <c r="E15" i="4"/>
  <c r="G14" i="4"/>
  <c r="E14" i="4"/>
  <c r="I65" i="3" s="1"/>
  <c r="J65" i="3" s="1"/>
  <c r="G13" i="4"/>
  <c r="E13" i="4"/>
  <c r="D16" i="2" s="1"/>
  <c r="G12" i="4"/>
  <c r="E12" i="4"/>
  <c r="G11" i="4"/>
  <c r="E11" i="4"/>
  <c r="D14" i="2" s="1"/>
  <c r="G10" i="4"/>
  <c r="E10" i="4"/>
  <c r="D13" i="2" s="1"/>
  <c r="G9" i="4"/>
  <c r="E9" i="4"/>
  <c r="D12" i="2" s="1"/>
  <c r="G8" i="4"/>
  <c r="E8" i="4"/>
  <c r="I27" i="3" s="1"/>
  <c r="J27" i="3" s="1"/>
  <c r="G7" i="4"/>
  <c r="E7" i="4"/>
  <c r="D10" i="2" s="1"/>
  <c r="G6" i="4"/>
  <c r="E6" i="4"/>
  <c r="G5" i="4"/>
  <c r="E5" i="4"/>
  <c r="D8" i="2" s="1"/>
  <c r="B47" i="2"/>
  <c r="B46" i="2"/>
  <c r="B45" i="2"/>
  <c r="B44" i="2"/>
  <c r="B43" i="2"/>
  <c r="J42" i="2"/>
  <c r="I42" i="2"/>
  <c r="H42" i="2"/>
  <c r="G42" i="2"/>
  <c r="F42" i="2"/>
  <c r="E42" i="2"/>
  <c r="I39" i="2"/>
  <c r="H39" i="2"/>
  <c r="G39" i="2"/>
  <c r="F39" i="2"/>
  <c r="E39" i="2"/>
  <c r="N37" i="2"/>
  <c r="M37" i="2"/>
  <c r="L37" i="2"/>
  <c r="K37" i="2"/>
  <c r="J37" i="2"/>
  <c r="I37" i="2"/>
  <c r="H37" i="2"/>
  <c r="G37" i="2"/>
  <c r="F37" i="2"/>
  <c r="E37" i="2"/>
  <c r="D37" i="2"/>
  <c r="C37" i="2"/>
  <c r="B37" i="2"/>
  <c r="A37" i="2"/>
  <c r="N36" i="2"/>
  <c r="M36" i="2"/>
  <c r="L36" i="2"/>
  <c r="K36" i="2"/>
  <c r="J36" i="2"/>
  <c r="I36" i="2"/>
  <c r="H36" i="2"/>
  <c r="G36" i="2"/>
  <c r="F36" i="2"/>
  <c r="E36" i="2"/>
  <c r="D36" i="2"/>
  <c r="C36" i="2"/>
  <c r="B36" i="2"/>
  <c r="A36" i="2"/>
  <c r="N35" i="2"/>
  <c r="M35" i="2"/>
  <c r="L35" i="2"/>
  <c r="K35" i="2"/>
  <c r="J35" i="2"/>
  <c r="I35" i="2"/>
  <c r="H35" i="2"/>
  <c r="G35" i="2"/>
  <c r="F35" i="2"/>
  <c r="E35" i="2"/>
  <c r="D35" i="2"/>
  <c r="C35" i="2"/>
  <c r="B35" i="2"/>
  <c r="A35" i="2"/>
  <c r="N34" i="2"/>
  <c r="M34" i="2"/>
  <c r="L34" i="2"/>
  <c r="K34" i="2"/>
  <c r="J34" i="2"/>
  <c r="I34" i="2"/>
  <c r="H34" i="2"/>
  <c r="G34" i="2"/>
  <c r="F34" i="2"/>
  <c r="E34" i="2"/>
  <c r="D34" i="2"/>
  <c r="C34" i="2"/>
  <c r="B34" i="2"/>
  <c r="A34" i="2"/>
  <c r="N33" i="2"/>
  <c r="M33" i="2"/>
  <c r="L33" i="2"/>
  <c r="K33" i="2"/>
  <c r="J33" i="2"/>
  <c r="I33" i="2"/>
  <c r="H33" i="2"/>
  <c r="G33" i="2"/>
  <c r="F33" i="2"/>
  <c r="E33" i="2"/>
  <c r="D33" i="2"/>
  <c r="C33" i="2"/>
  <c r="B33" i="2"/>
  <c r="A33" i="2"/>
  <c r="N32" i="2"/>
  <c r="M32" i="2"/>
  <c r="L32" i="2"/>
  <c r="K32" i="2"/>
  <c r="J32" i="2"/>
  <c r="I32" i="2"/>
  <c r="H32" i="2"/>
  <c r="G32" i="2"/>
  <c r="F32" i="2"/>
  <c r="E32" i="2"/>
  <c r="D32" i="2"/>
  <c r="C32" i="2"/>
  <c r="B32" i="2"/>
  <c r="A32" i="2"/>
  <c r="N31" i="2"/>
  <c r="M31" i="2"/>
  <c r="L31" i="2"/>
  <c r="K31" i="2"/>
  <c r="J31" i="2"/>
  <c r="I31" i="2"/>
  <c r="H31" i="2"/>
  <c r="G31" i="2"/>
  <c r="F31" i="2"/>
  <c r="E31" i="2"/>
  <c r="D31" i="2"/>
  <c r="C31" i="2"/>
  <c r="B31" i="2"/>
  <c r="A31" i="2"/>
  <c r="N30" i="2"/>
  <c r="M30" i="2"/>
  <c r="L30" i="2"/>
  <c r="K30" i="2"/>
  <c r="J30" i="2"/>
  <c r="I30" i="2"/>
  <c r="H30" i="2"/>
  <c r="G30" i="2"/>
  <c r="F30" i="2"/>
  <c r="E30" i="2"/>
  <c r="D30" i="2"/>
  <c r="C30" i="2"/>
  <c r="B30" i="2"/>
  <c r="A30" i="2"/>
  <c r="N29" i="2"/>
  <c r="M29" i="2"/>
  <c r="L29" i="2"/>
  <c r="K29" i="2"/>
  <c r="J29" i="2"/>
  <c r="I29" i="2"/>
  <c r="H29" i="2"/>
  <c r="G29" i="2"/>
  <c r="F29" i="2"/>
  <c r="E29" i="2"/>
  <c r="D29" i="2"/>
  <c r="C29" i="2"/>
  <c r="B29" i="2"/>
  <c r="A29" i="2"/>
  <c r="N28" i="2"/>
  <c r="M28" i="2"/>
  <c r="L28" i="2"/>
  <c r="K28" i="2"/>
  <c r="J28" i="2"/>
  <c r="I28" i="2"/>
  <c r="H28" i="2"/>
  <c r="G28" i="2"/>
  <c r="F28" i="2"/>
  <c r="E28" i="2"/>
  <c r="D28" i="2"/>
  <c r="C28" i="2"/>
  <c r="B28" i="2"/>
  <c r="A28" i="2"/>
  <c r="M27" i="2"/>
  <c r="D27" i="2"/>
  <c r="C27" i="2"/>
  <c r="B27" i="2"/>
  <c r="A27" i="2"/>
  <c r="M26" i="2"/>
  <c r="C26" i="2"/>
  <c r="B26" i="2"/>
  <c r="A26" i="2"/>
  <c r="M25" i="2"/>
  <c r="C25" i="2"/>
  <c r="B25" i="2"/>
  <c r="A25" i="2"/>
  <c r="M24" i="2"/>
  <c r="D24" i="2"/>
  <c r="C24" i="2"/>
  <c r="B24" i="2"/>
  <c r="A24" i="2"/>
  <c r="M23" i="2"/>
  <c r="C23" i="2"/>
  <c r="B23" i="2"/>
  <c r="A23" i="2"/>
  <c r="M22" i="2"/>
  <c r="D22" i="2"/>
  <c r="C22" i="2"/>
  <c r="B22" i="2"/>
  <c r="A22" i="2"/>
  <c r="M21" i="2"/>
  <c r="D21" i="2"/>
  <c r="C21" i="2"/>
  <c r="B21" i="2"/>
  <c r="A21" i="2"/>
  <c r="M20" i="2"/>
  <c r="C20" i="2"/>
  <c r="B20" i="2"/>
  <c r="A20" i="2"/>
  <c r="M19" i="2"/>
  <c r="C19" i="2"/>
  <c r="B19" i="2"/>
  <c r="A19" i="2"/>
  <c r="M18" i="2"/>
  <c r="D18" i="2"/>
  <c r="C18" i="2"/>
  <c r="B18" i="2"/>
  <c r="A18" i="2"/>
  <c r="M17" i="2"/>
  <c r="C17" i="2"/>
  <c r="B17" i="2"/>
  <c r="A17" i="2"/>
  <c r="M16" i="2"/>
  <c r="C16" i="2"/>
  <c r="B16" i="2"/>
  <c r="A16" i="2"/>
  <c r="M15" i="2"/>
  <c r="D15" i="2"/>
  <c r="C15" i="2"/>
  <c r="B15" i="2"/>
  <c r="A15" i="2"/>
  <c r="M14" i="2"/>
  <c r="C14" i="2"/>
  <c r="B14" i="2"/>
  <c r="A14" i="2"/>
  <c r="M13" i="2"/>
  <c r="C13" i="2"/>
  <c r="B13" i="2"/>
  <c r="A13" i="2"/>
  <c r="M12" i="2"/>
  <c r="C12" i="2"/>
  <c r="B12" i="2"/>
  <c r="A12" i="2"/>
  <c r="M11" i="2"/>
  <c r="C11" i="2"/>
  <c r="B11" i="2"/>
  <c r="A11" i="2"/>
  <c r="M10" i="2"/>
  <c r="C10" i="2"/>
  <c r="B10" i="2"/>
  <c r="A10" i="2"/>
  <c r="M9" i="2"/>
  <c r="D9" i="2"/>
  <c r="C9" i="2"/>
  <c r="B9" i="2"/>
  <c r="A9" i="2"/>
  <c r="M8" i="2"/>
  <c r="C8" i="2"/>
  <c r="B8" i="2"/>
  <c r="A8" i="2"/>
  <c r="K7" i="2"/>
  <c r="J7" i="2"/>
  <c r="I7" i="2"/>
  <c r="H7" i="2"/>
  <c r="G7" i="2"/>
  <c r="F7" i="2"/>
  <c r="E7" i="2"/>
  <c r="A6" i="2"/>
  <c r="M5" i="2"/>
  <c r="S185" i="3"/>
  <c r="K185" i="3"/>
  <c r="J185" i="3"/>
  <c r="I185" i="3"/>
  <c r="C185" i="3"/>
  <c r="B185" i="3"/>
  <c r="S184" i="3"/>
  <c r="K184" i="3"/>
  <c r="J184" i="3"/>
  <c r="P184" i="3" s="1"/>
  <c r="I184" i="3"/>
  <c r="C184" i="3"/>
  <c r="B184" i="3"/>
  <c r="S183" i="3"/>
  <c r="K183" i="3"/>
  <c r="J183" i="3"/>
  <c r="I183" i="3"/>
  <c r="C183" i="3"/>
  <c r="B183" i="3"/>
  <c r="S182" i="3"/>
  <c r="K182" i="3"/>
  <c r="J182" i="3"/>
  <c r="I182" i="3"/>
  <c r="C182" i="3"/>
  <c r="B182" i="3"/>
  <c r="S181" i="3"/>
  <c r="O181" i="3"/>
  <c r="T181" i="3" s="1"/>
  <c r="K181" i="3"/>
  <c r="J181" i="3"/>
  <c r="L181" i="3" s="1"/>
  <c r="I181" i="3"/>
  <c r="C181" i="3"/>
  <c r="B181" i="3"/>
  <c r="S180" i="3"/>
  <c r="K180" i="3"/>
  <c r="J180" i="3"/>
  <c r="P180" i="3" s="1"/>
  <c r="I180" i="3"/>
  <c r="C180" i="3"/>
  <c r="B180" i="3"/>
  <c r="S179" i="3"/>
  <c r="K179" i="3"/>
  <c r="J179" i="3"/>
  <c r="I179" i="3"/>
  <c r="C179" i="3"/>
  <c r="B179" i="3"/>
  <c r="S178" i="3"/>
  <c r="K178" i="3"/>
  <c r="J178" i="3"/>
  <c r="I178" i="3"/>
  <c r="C178" i="3"/>
  <c r="B178" i="3"/>
  <c r="S177" i="3"/>
  <c r="O177" i="3"/>
  <c r="L177" i="3"/>
  <c r="K177" i="3"/>
  <c r="J177" i="3"/>
  <c r="P177" i="3" s="1"/>
  <c r="I177" i="3"/>
  <c r="C177" i="3"/>
  <c r="B177" i="3"/>
  <c r="S176" i="3"/>
  <c r="K176" i="3"/>
  <c r="J176" i="3"/>
  <c r="I176" i="3"/>
  <c r="C176" i="3"/>
  <c r="B176" i="3"/>
  <c r="S175" i="3"/>
  <c r="P175" i="3"/>
  <c r="K175" i="3"/>
  <c r="J175" i="3"/>
  <c r="L175" i="3" s="1"/>
  <c r="I175" i="3"/>
  <c r="C175" i="3"/>
  <c r="B175" i="3"/>
  <c r="S174" i="3"/>
  <c r="P174" i="3"/>
  <c r="O174" i="3"/>
  <c r="T174" i="3" s="1"/>
  <c r="L174" i="3"/>
  <c r="K174" i="3"/>
  <c r="J174" i="3"/>
  <c r="I174" i="3"/>
  <c r="C174" i="3"/>
  <c r="B174" i="3"/>
  <c r="T173" i="3"/>
  <c r="S173" i="3"/>
  <c r="P173" i="3"/>
  <c r="K173" i="3"/>
  <c r="J173" i="3"/>
  <c r="O173" i="3" s="1"/>
  <c r="I173" i="3"/>
  <c r="C173" i="3"/>
  <c r="B173" i="3"/>
  <c r="S172" i="3"/>
  <c r="K172" i="3"/>
  <c r="J172" i="3"/>
  <c r="I172" i="3"/>
  <c r="C172" i="3"/>
  <c r="B172" i="3"/>
  <c r="S171" i="3"/>
  <c r="K171" i="3"/>
  <c r="J171" i="3"/>
  <c r="L171" i="3" s="1"/>
  <c r="I171" i="3"/>
  <c r="C171" i="3"/>
  <c r="B171" i="3"/>
  <c r="S170" i="3"/>
  <c r="K170" i="3"/>
  <c r="J170" i="3"/>
  <c r="I170" i="3"/>
  <c r="C170" i="3"/>
  <c r="B170" i="3"/>
  <c r="S169" i="3"/>
  <c r="O169" i="3"/>
  <c r="K169" i="3"/>
  <c r="J169" i="3"/>
  <c r="L169" i="3" s="1"/>
  <c r="I169" i="3"/>
  <c r="C169" i="3"/>
  <c r="B169" i="3"/>
  <c r="S168" i="3"/>
  <c r="P168" i="3"/>
  <c r="L168" i="3"/>
  <c r="K168" i="3"/>
  <c r="J168" i="3"/>
  <c r="O168" i="3" s="1"/>
  <c r="I168" i="3"/>
  <c r="C168" i="3"/>
  <c r="B168" i="3"/>
  <c r="S167" i="3"/>
  <c r="K167" i="3"/>
  <c r="J167" i="3"/>
  <c r="I167" i="3"/>
  <c r="C167" i="3"/>
  <c r="B167" i="3"/>
  <c r="S166" i="3"/>
  <c r="P166" i="3"/>
  <c r="L166" i="3"/>
  <c r="K166" i="3"/>
  <c r="J166" i="3"/>
  <c r="O166" i="3" s="1"/>
  <c r="I166" i="3"/>
  <c r="C166" i="3"/>
  <c r="B166" i="3"/>
  <c r="S165" i="3"/>
  <c r="L165" i="3"/>
  <c r="K165" i="3"/>
  <c r="J165" i="3"/>
  <c r="I165" i="3"/>
  <c r="C165" i="3"/>
  <c r="B165" i="3"/>
  <c r="S164" i="3"/>
  <c r="K164" i="3"/>
  <c r="J164" i="3"/>
  <c r="I164" i="3"/>
  <c r="C164" i="3"/>
  <c r="B164" i="3"/>
  <c r="S163" i="3"/>
  <c r="K163" i="3"/>
  <c r="J163" i="3"/>
  <c r="L163" i="3" s="1"/>
  <c r="I163" i="3"/>
  <c r="C163" i="3"/>
  <c r="B163" i="3"/>
  <c r="S162" i="3"/>
  <c r="L162" i="3"/>
  <c r="K162" i="3"/>
  <c r="J162" i="3"/>
  <c r="P162" i="3" s="1"/>
  <c r="I162" i="3"/>
  <c r="C162" i="3"/>
  <c r="B162" i="3"/>
  <c r="S161" i="3"/>
  <c r="K161" i="3"/>
  <c r="J161" i="3"/>
  <c r="I161" i="3"/>
  <c r="C161" i="3"/>
  <c r="B161" i="3"/>
  <c r="S160" i="3"/>
  <c r="K160" i="3"/>
  <c r="J160" i="3"/>
  <c r="L160" i="3" s="1"/>
  <c r="I160" i="3"/>
  <c r="C160" i="3"/>
  <c r="B160" i="3"/>
  <c r="S159" i="3"/>
  <c r="O159" i="3"/>
  <c r="K159" i="3"/>
  <c r="J159" i="3"/>
  <c r="P159" i="3" s="1"/>
  <c r="I159" i="3"/>
  <c r="C159" i="3"/>
  <c r="B159" i="3"/>
  <c r="S158" i="3"/>
  <c r="K158" i="3"/>
  <c r="J158" i="3"/>
  <c r="I158" i="3"/>
  <c r="C158" i="3"/>
  <c r="B158" i="3"/>
  <c r="S157" i="3"/>
  <c r="P157" i="3"/>
  <c r="O157" i="3"/>
  <c r="K157" i="3"/>
  <c r="J157" i="3"/>
  <c r="L157" i="3" s="1"/>
  <c r="I157" i="3"/>
  <c r="C157" i="3"/>
  <c r="B157" i="3"/>
  <c r="T156" i="3"/>
  <c r="S156" i="3"/>
  <c r="P156" i="3"/>
  <c r="O156" i="3"/>
  <c r="K156" i="3"/>
  <c r="J156" i="3"/>
  <c r="L156" i="3" s="1"/>
  <c r="I156" i="3"/>
  <c r="C156" i="3"/>
  <c r="B156" i="3"/>
  <c r="T155" i="3"/>
  <c r="S155" i="3"/>
  <c r="P155" i="3"/>
  <c r="K155" i="3"/>
  <c r="J155" i="3"/>
  <c r="O155" i="3" s="1"/>
  <c r="I155" i="3"/>
  <c r="C155" i="3"/>
  <c r="B155" i="3"/>
  <c r="S154" i="3"/>
  <c r="L154" i="3"/>
  <c r="K154" i="3"/>
  <c r="J154" i="3"/>
  <c r="I154" i="3"/>
  <c r="C154" i="3"/>
  <c r="B154" i="3"/>
  <c r="S153" i="3"/>
  <c r="L153" i="3"/>
  <c r="K153" i="3"/>
  <c r="J153" i="3"/>
  <c r="I153" i="3"/>
  <c r="C153" i="3"/>
  <c r="B153" i="3"/>
  <c r="S152" i="3"/>
  <c r="K152" i="3"/>
  <c r="J152" i="3"/>
  <c r="I152" i="3"/>
  <c r="C152" i="3"/>
  <c r="B152" i="3"/>
  <c r="S151" i="3"/>
  <c r="P151" i="3"/>
  <c r="K151" i="3"/>
  <c r="J151" i="3"/>
  <c r="L151" i="3" s="1"/>
  <c r="I151" i="3"/>
  <c r="C151" i="3"/>
  <c r="B151" i="3"/>
  <c r="S150" i="3"/>
  <c r="P150" i="3"/>
  <c r="O150" i="3"/>
  <c r="L150" i="3"/>
  <c r="K150" i="3"/>
  <c r="J150" i="3"/>
  <c r="I150" i="3"/>
  <c r="C150" i="3"/>
  <c r="B150" i="3"/>
  <c r="S149" i="3"/>
  <c r="K149" i="3"/>
  <c r="J149" i="3"/>
  <c r="I149" i="3"/>
  <c r="C149" i="3"/>
  <c r="B149" i="3"/>
  <c r="S148" i="3"/>
  <c r="P148" i="3"/>
  <c r="O148" i="3"/>
  <c r="K148" i="3"/>
  <c r="J148" i="3"/>
  <c r="L148" i="3" s="1"/>
  <c r="I148" i="3"/>
  <c r="C148" i="3"/>
  <c r="B148" i="3"/>
  <c r="S147" i="3"/>
  <c r="K147" i="3"/>
  <c r="J147" i="3"/>
  <c r="L147" i="3" s="1"/>
  <c r="I147" i="3"/>
  <c r="C147" i="3"/>
  <c r="B147" i="3"/>
  <c r="S146" i="3"/>
  <c r="K146" i="3"/>
  <c r="J146" i="3"/>
  <c r="I146" i="3"/>
  <c r="C146" i="3"/>
  <c r="B146" i="3"/>
  <c r="S145" i="3"/>
  <c r="K145" i="3"/>
  <c r="J145" i="3"/>
  <c r="L145" i="3" s="1"/>
  <c r="I145" i="3"/>
  <c r="C145" i="3"/>
  <c r="B145" i="3"/>
  <c r="S144" i="3"/>
  <c r="O144" i="3"/>
  <c r="K144" i="3"/>
  <c r="J144" i="3"/>
  <c r="P144" i="3" s="1"/>
  <c r="I144" i="3"/>
  <c r="C144" i="3"/>
  <c r="B144" i="3"/>
  <c r="S143" i="3"/>
  <c r="K143" i="3"/>
  <c r="J143" i="3"/>
  <c r="I143" i="3"/>
  <c r="C143" i="3"/>
  <c r="B143" i="3"/>
  <c r="S142" i="3"/>
  <c r="K142" i="3"/>
  <c r="J142" i="3"/>
  <c r="I142" i="3"/>
  <c r="C142" i="3"/>
  <c r="B142" i="3"/>
  <c r="S141" i="3"/>
  <c r="K141" i="3"/>
  <c r="J141" i="3"/>
  <c r="I141" i="3"/>
  <c r="C141" i="3"/>
  <c r="B141" i="3"/>
  <c r="S140" i="3"/>
  <c r="K140" i="3"/>
  <c r="J140" i="3"/>
  <c r="I140" i="3"/>
  <c r="C140" i="3"/>
  <c r="B140" i="3"/>
  <c r="S139" i="3"/>
  <c r="K139" i="3"/>
  <c r="J139" i="3"/>
  <c r="O139" i="3" s="1"/>
  <c r="I139" i="3"/>
  <c r="C139" i="3"/>
  <c r="B139" i="3"/>
  <c r="S138" i="3"/>
  <c r="P138" i="3"/>
  <c r="L138" i="3"/>
  <c r="K138" i="3"/>
  <c r="J138" i="3"/>
  <c r="O138" i="3" s="1"/>
  <c r="I138" i="3"/>
  <c r="C138" i="3"/>
  <c r="B138" i="3"/>
  <c r="S137" i="3"/>
  <c r="L137" i="3"/>
  <c r="K137" i="3"/>
  <c r="J137" i="3"/>
  <c r="I137" i="3"/>
  <c r="C137" i="3"/>
  <c r="B137" i="3"/>
  <c r="S136" i="3"/>
  <c r="K136" i="3"/>
  <c r="J136" i="3"/>
  <c r="I136" i="3"/>
  <c r="C136" i="3"/>
  <c r="B136" i="3"/>
  <c r="S135" i="3"/>
  <c r="K135" i="3"/>
  <c r="J135" i="3"/>
  <c r="L135" i="3" s="1"/>
  <c r="I135" i="3"/>
  <c r="C135" i="3"/>
  <c r="B135" i="3"/>
  <c r="S134" i="3"/>
  <c r="O134" i="3"/>
  <c r="K134" i="3"/>
  <c r="J134" i="3"/>
  <c r="P134" i="3" s="1"/>
  <c r="I134" i="3"/>
  <c r="C134" i="3"/>
  <c r="B134" i="3"/>
  <c r="S133" i="3"/>
  <c r="K133" i="3"/>
  <c r="J133" i="3"/>
  <c r="P133" i="3" s="1"/>
  <c r="I133" i="3"/>
  <c r="C133" i="3"/>
  <c r="B133" i="3"/>
  <c r="S132" i="3"/>
  <c r="P132" i="3"/>
  <c r="O132" i="3"/>
  <c r="L132" i="3"/>
  <c r="K132" i="3"/>
  <c r="J132" i="3"/>
  <c r="I132" i="3"/>
  <c r="C132" i="3"/>
  <c r="B132" i="3"/>
  <c r="S131" i="3"/>
  <c r="K131" i="3"/>
  <c r="J131" i="3"/>
  <c r="I131" i="3"/>
  <c r="C131" i="3"/>
  <c r="B131" i="3"/>
  <c r="S130" i="3"/>
  <c r="K130" i="3"/>
  <c r="J130" i="3"/>
  <c r="L130" i="3" s="1"/>
  <c r="I130" i="3"/>
  <c r="C130" i="3"/>
  <c r="B130" i="3"/>
  <c r="S129" i="3"/>
  <c r="K129" i="3"/>
  <c r="J129" i="3"/>
  <c r="P129" i="3" s="1"/>
  <c r="I129" i="3"/>
  <c r="C129" i="3"/>
  <c r="B129" i="3"/>
  <c r="S128" i="3"/>
  <c r="P128" i="3"/>
  <c r="K128" i="3"/>
  <c r="J128" i="3"/>
  <c r="L128" i="3" s="1"/>
  <c r="I128" i="3"/>
  <c r="C128" i="3"/>
  <c r="B128" i="3"/>
  <c r="S127" i="3"/>
  <c r="P127" i="3"/>
  <c r="O127" i="3"/>
  <c r="K127" i="3"/>
  <c r="J127" i="3"/>
  <c r="L127" i="3" s="1"/>
  <c r="I127" i="3"/>
  <c r="C127" i="3"/>
  <c r="B127" i="3"/>
  <c r="S126" i="3"/>
  <c r="P126" i="3"/>
  <c r="O126" i="3"/>
  <c r="Q126" i="3" s="1"/>
  <c r="L126" i="3"/>
  <c r="K126" i="3"/>
  <c r="J126" i="3"/>
  <c r="I126" i="3"/>
  <c r="C126" i="3"/>
  <c r="B126" i="3"/>
  <c r="S125" i="3"/>
  <c r="K125" i="3"/>
  <c r="J125" i="3"/>
  <c r="I125" i="3"/>
  <c r="C125" i="3"/>
  <c r="B125" i="3"/>
  <c r="S124" i="3"/>
  <c r="K124" i="3"/>
  <c r="J124" i="3"/>
  <c r="O124" i="3" s="1"/>
  <c r="Q124" i="3" s="1"/>
  <c r="I124" i="3"/>
  <c r="C124" i="3"/>
  <c r="B124" i="3"/>
  <c r="S123" i="3"/>
  <c r="L123" i="3"/>
  <c r="K123" i="3"/>
  <c r="I123" i="3"/>
  <c r="J123" i="3" s="1"/>
  <c r="O123" i="3" s="1"/>
  <c r="P123" i="3" s="1"/>
  <c r="C123" i="3"/>
  <c r="B123" i="3"/>
  <c r="S122" i="3"/>
  <c r="K122" i="3"/>
  <c r="J122" i="3"/>
  <c r="I122" i="3"/>
  <c r="C122" i="3"/>
  <c r="B122" i="3"/>
  <c r="S121" i="3"/>
  <c r="O121" i="3"/>
  <c r="L121" i="3"/>
  <c r="K121" i="3"/>
  <c r="I121" i="3"/>
  <c r="J121" i="3" s="1"/>
  <c r="C121" i="3"/>
  <c r="B121" i="3"/>
  <c r="S120" i="3"/>
  <c r="O120" i="3"/>
  <c r="K120" i="3"/>
  <c r="J120" i="3"/>
  <c r="L120" i="3" s="1"/>
  <c r="I120" i="3"/>
  <c r="C120" i="3"/>
  <c r="B120" i="3"/>
  <c r="S119" i="3"/>
  <c r="K119" i="3"/>
  <c r="I119" i="3"/>
  <c r="J119" i="3" s="1"/>
  <c r="C119" i="3"/>
  <c r="B119" i="3"/>
  <c r="S118" i="3"/>
  <c r="K118" i="3"/>
  <c r="I118" i="3"/>
  <c r="J118" i="3" s="1"/>
  <c r="C118" i="3"/>
  <c r="B118" i="3"/>
  <c r="S117" i="3"/>
  <c r="K117" i="3"/>
  <c r="J117" i="3"/>
  <c r="I117" i="3"/>
  <c r="C117" i="3"/>
  <c r="B117" i="3"/>
  <c r="S116" i="3"/>
  <c r="K116" i="3"/>
  <c r="I116" i="3"/>
  <c r="J116" i="3" s="1"/>
  <c r="C116" i="3"/>
  <c r="B116" i="3"/>
  <c r="S115" i="3"/>
  <c r="K115" i="3"/>
  <c r="I115" i="3"/>
  <c r="J115" i="3" s="1"/>
  <c r="C115" i="3"/>
  <c r="B115" i="3"/>
  <c r="S114" i="3"/>
  <c r="K114" i="3"/>
  <c r="I114" i="3"/>
  <c r="J114" i="3" s="1"/>
  <c r="L114" i="3" s="1"/>
  <c r="C114" i="3"/>
  <c r="B114" i="3"/>
  <c r="S113" i="3"/>
  <c r="K113" i="3"/>
  <c r="I113" i="3"/>
  <c r="J113" i="3" s="1"/>
  <c r="C113" i="3"/>
  <c r="B113" i="3"/>
  <c r="S112" i="3"/>
  <c r="K112" i="3"/>
  <c r="I112" i="3"/>
  <c r="J112" i="3" s="1"/>
  <c r="L112" i="3" s="1"/>
  <c r="C112" i="3"/>
  <c r="B112" i="3"/>
  <c r="S111" i="3"/>
  <c r="L111" i="3"/>
  <c r="K111" i="3"/>
  <c r="I111" i="3"/>
  <c r="J111" i="3" s="1"/>
  <c r="C111" i="3"/>
  <c r="B111" i="3"/>
  <c r="S110" i="3"/>
  <c r="K110" i="3"/>
  <c r="I110" i="3"/>
  <c r="J110" i="3" s="1"/>
  <c r="C110" i="3"/>
  <c r="B110" i="3"/>
  <c r="S109" i="3"/>
  <c r="K109" i="3"/>
  <c r="I109" i="3"/>
  <c r="J109" i="3" s="1"/>
  <c r="C109" i="3"/>
  <c r="B109" i="3"/>
  <c r="S108" i="3"/>
  <c r="K108" i="3"/>
  <c r="I108" i="3"/>
  <c r="J108" i="3" s="1"/>
  <c r="C108" i="3"/>
  <c r="B108" i="3"/>
  <c r="S107" i="3"/>
  <c r="K107" i="3"/>
  <c r="J107" i="3"/>
  <c r="I107" i="3"/>
  <c r="C107" i="3"/>
  <c r="B107" i="3"/>
  <c r="S106" i="3"/>
  <c r="K106" i="3"/>
  <c r="I106" i="3"/>
  <c r="J106" i="3" s="1"/>
  <c r="C106" i="3"/>
  <c r="B106" i="3"/>
  <c r="S105" i="3"/>
  <c r="K105" i="3"/>
  <c r="J105" i="3"/>
  <c r="I105" i="3"/>
  <c r="C105" i="3"/>
  <c r="B105" i="3"/>
  <c r="S104" i="3"/>
  <c r="K104" i="3"/>
  <c r="I104" i="3"/>
  <c r="J104" i="3" s="1"/>
  <c r="C104" i="3"/>
  <c r="B104" i="3"/>
  <c r="S103" i="3"/>
  <c r="K103" i="3"/>
  <c r="I103" i="3"/>
  <c r="J103" i="3" s="1"/>
  <c r="C103" i="3"/>
  <c r="B103" i="3"/>
  <c r="S102" i="3"/>
  <c r="K102" i="3"/>
  <c r="I102" i="3"/>
  <c r="J102" i="3" s="1"/>
  <c r="L102" i="3" s="1"/>
  <c r="C102" i="3"/>
  <c r="B102" i="3"/>
  <c r="S101" i="3"/>
  <c r="K101" i="3"/>
  <c r="I101" i="3"/>
  <c r="J101" i="3" s="1"/>
  <c r="C101" i="3"/>
  <c r="B101" i="3"/>
  <c r="S100" i="3"/>
  <c r="K100" i="3"/>
  <c r="C100" i="3"/>
  <c r="B100" i="3"/>
  <c r="S99" i="3"/>
  <c r="K99" i="3"/>
  <c r="C99" i="3"/>
  <c r="B99" i="3"/>
  <c r="S98" i="3"/>
  <c r="K98" i="3"/>
  <c r="C98" i="3"/>
  <c r="B98" i="3"/>
  <c r="S97" i="3"/>
  <c r="K97" i="3"/>
  <c r="C97" i="3"/>
  <c r="B97" i="3"/>
  <c r="S96" i="3"/>
  <c r="K96" i="3"/>
  <c r="C96" i="3"/>
  <c r="B96" i="3"/>
  <c r="S95" i="3"/>
  <c r="K95" i="3"/>
  <c r="J95" i="3"/>
  <c r="I95" i="3"/>
  <c r="C95" i="3"/>
  <c r="B95" i="3"/>
  <c r="S94" i="3"/>
  <c r="K94" i="3"/>
  <c r="I94" i="3"/>
  <c r="J94" i="3" s="1"/>
  <c r="C94" i="3"/>
  <c r="B94" i="3"/>
  <c r="S93" i="3"/>
  <c r="K93" i="3"/>
  <c r="J93" i="3"/>
  <c r="I93" i="3"/>
  <c r="C93" i="3"/>
  <c r="B93" i="3"/>
  <c r="S92" i="3"/>
  <c r="K92" i="3"/>
  <c r="I92" i="3"/>
  <c r="J92" i="3" s="1"/>
  <c r="C92" i="3"/>
  <c r="B92" i="3"/>
  <c r="S91" i="3"/>
  <c r="K91" i="3"/>
  <c r="I91" i="3"/>
  <c r="J91" i="3" s="1"/>
  <c r="C91" i="3"/>
  <c r="B91" i="3"/>
  <c r="S90" i="3"/>
  <c r="K90" i="3"/>
  <c r="J90" i="3"/>
  <c r="L90" i="3" s="1"/>
  <c r="I90" i="3"/>
  <c r="C90" i="3"/>
  <c r="B90" i="3"/>
  <c r="S89" i="3"/>
  <c r="K89" i="3"/>
  <c r="I89" i="3"/>
  <c r="J89" i="3" s="1"/>
  <c r="C89" i="3"/>
  <c r="B89" i="3"/>
  <c r="S88" i="3"/>
  <c r="K88" i="3"/>
  <c r="I88" i="3"/>
  <c r="J88" i="3" s="1"/>
  <c r="C88" i="3"/>
  <c r="B88" i="3"/>
  <c r="S87" i="3"/>
  <c r="L87" i="3"/>
  <c r="K87" i="3"/>
  <c r="I87" i="3"/>
  <c r="J87" i="3" s="1"/>
  <c r="C87" i="3"/>
  <c r="B87" i="3"/>
  <c r="S86" i="3"/>
  <c r="K86" i="3"/>
  <c r="I86" i="3"/>
  <c r="J86" i="3" s="1"/>
  <c r="C86" i="3"/>
  <c r="B86" i="3"/>
  <c r="S85" i="3"/>
  <c r="K85" i="3"/>
  <c r="I85" i="3"/>
  <c r="J85" i="3" s="1"/>
  <c r="C85" i="3"/>
  <c r="B85" i="3"/>
  <c r="S84" i="3"/>
  <c r="K84" i="3"/>
  <c r="J84" i="3"/>
  <c r="I84" i="3"/>
  <c r="C84" i="3"/>
  <c r="B84" i="3"/>
  <c r="S83" i="3"/>
  <c r="K83" i="3"/>
  <c r="I83" i="3"/>
  <c r="J83" i="3" s="1"/>
  <c r="C83" i="3"/>
  <c r="B83" i="3"/>
  <c r="S82" i="3"/>
  <c r="K82" i="3"/>
  <c r="I82" i="3"/>
  <c r="J82" i="3" s="1"/>
  <c r="C82" i="3"/>
  <c r="B82" i="3"/>
  <c r="S81" i="3"/>
  <c r="K81" i="3"/>
  <c r="J81" i="3"/>
  <c r="I81" i="3"/>
  <c r="C81" i="3"/>
  <c r="B81" i="3"/>
  <c r="S80" i="3"/>
  <c r="K80" i="3"/>
  <c r="I80" i="3"/>
  <c r="J80" i="3" s="1"/>
  <c r="C80" i="3"/>
  <c r="B80" i="3"/>
  <c r="S79" i="3"/>
  <c r="K79" i="3"/>
  <c r="I79" i="3"/>
  <c r="J79" i="3" s="1"/>
  <c r="C79" i="3"/>
  <c r="B79" i="3"/>
  <c r="S78" i="3"/>
  <c r="K78" i="3"/>
  <c r="I78" i="3"/>
  <c r="J78" i="3" s="1"/>
  <c r="L78" i="3" s="1"/>
  <c r="C78" i="3"/>
  <c r="B78" i="3"/>
  <c r="S77" i="3"/>
  <c r="K77" i="3"/>
  <c r="I77" i="3"/>
  <c r="J77" i="3" s="1"/>
  <c r="C77" i="3"/>
  <c r="B77" i="3"/>
  <c r="S76" i="3"/>
  <c r="K76" i="3"/>
  <c r="I76" i="3"/>
  <c r="J76" i="3" s="1"/>
  <c r="C76" i="3"/>
  <c r="B76" i="3"/>
  <c r="S75" i="3"/>
  <c r="L75" i="3"/>
  <c r="K75" i="3"/>
  <c r="I75" i="3"/>
  <c r="J75" i="3" s="1"/>
  <c r="C75" i="3"/>
  <c r="B75" i="3"/>
  <c r="S74" i="3"/>
  <c r="K74" i="3"/>
  <c r="I74" i="3"/>
  <c r="J74" i="3" s="1"/>
  <c r="C74" i="3"/>
  <c r="B74" i="3"/>
  <c r="S73" i="3"/>
  <c r="K73" i="3"/>
  <c r="I73" i="3"/>
  <c r="J73" i="3" s="1"/>
  <c r="C73" i="3"/>
  <c r="B73" i="3"/>
  <c r="S72" i="3"/>
  <c r="K72" i="3"/>
  <c r="J72" i="3"/>
  <c r="I72" i="3"/>
  <c r="C72" i="3"/>
  <c r="B72" i="3"/>
  <c r="S71" i="3"/>
  <c r="K71" i="3"/>
  <c r="I71" i="3"/>
  <c r="J71" i="3" s="1"/>
  <c r="C71" i="3"/>
  <c r="B71" i="3"/>
  <c r="S70" i="3"/>
  <c r="K70" i="3"/>
  <c r="I70" i="3"/>
  <c r="J70" i="3" s="1"/>
  <c r="C70" i="3"/>
  <c r="B70" i="3"/>
  <c r="S69" i="3"/>
  <c r="K69" i="3"/>
  <c r="J69" i="3"/>
  <c r="I69" i="3"/>
  <c r="C69" i="3"/>
  <c r="B69" i="3"/>
  <c r="S68" i="3"/>
  <c r="K68" i="3"/>
  <c r="I68" i="3"/>
  <c r="J68" i="3" s="1"/>
  <c r="C68" i="3"/>
  <c r="B68" i="3"/>
  <c r="S67" i="3"/>
  <c r="K67" i="3"/>
  <c r="I67" i="3"/>
  <c r="J67" i="3" s="1"/>
  <c r="C67" i="3"/>
  <c r="B67" i="3"/>
  <c r="S66" i="3"/>
  <c r="K66" i="3"/>
  <c r="I66" i="3"/>
  <c r="J66" i="3" s="1"/>
  <c r="L66" i="3" s="1"/>
  <c r="C66" i="3"/>
  <c r="B66" i="3"/>
  <c r="S65" i="3"/>
  <c r="K65" i="3"/>
  <c r="C65" i="3"/>
  <c r="B65" i="3"/>
  <c r="S64" i="3"/>
  <c r="K64" i="3"/>
  <c r="C64" i="3"/>
  <c r="B64" i="3"/>
  <c r="S63" i="3"/>
  <c r="K63" i="3"/>
  <c r="C63" i="3"/>
  <c r="B63" i="3"/>
  <c r="S62" i="3"/>
  <c r="K62" i="3"/>
  <c r="I62" i="3"/>
  <c r="J62" i="3" s="1"/>
  <c r="C62" i="3"/>
  <c r="B62" i="3"/>
  <c r="S61" i="3"/>
  <c r="K61" i="3"/>
  <c r="C61" i="3"/>
  <c r="B61" i="3"/>
  <c r="S60" i="3"/>
  <c r="K60" i="3"/>
  <c r="C60" i="3"/>
  <c r="B60" i="3"/>
  <c r="S59" i="3"/>
  <c r="K59" i="3"/>
  <c r="I59" i="3"/>
  <c r="J59" i="3" s="1"/>
  <c r="C59" i="3"/>
  <c r="B59" i="3"/>
  <c r="S58" i="3"/>
  <c r="K58" i="3"/>
  <c r="I58" i="3"/>
  <c r="J58" i="3" s="1"/>
  <c r="C58" i="3"/>
  <c r="B58" i="3"/>
  <c r="S57" i="3"/>
  <c r="K57" i="3"/>
  <c r="I57" i="3"/>
  <c r="J57" i="3" s="1"/>
  <c r="C57" i="3"/>
  <c r="B57" i="3"/>
  <c r="S56" i="3"/>
  <c r="K56" i="3"/>
  <c r="I56" i="3"/>
  <c r="J56" i="3" s="1"/>
  <c r="C56" i="3"/>
  <c r="B56" i="3"/>
  <c r="S55" i="3"/>
  <c r="K55" i="3"/>
  <c r="I55" i="3"/>
  <c r="J55" i="3" s="1"/>
  <c r="C55" i="3"/>
  <c r="B55" i="3"/>
  <c r="S54" i="3"/>
  <c r="K54" i="3"/>
  <c r="I54" i="3"/>
  <c r="J54" i="3" s="1"/>
  <c r="C54" i="3"/>
  <c r="B54" i="3"/>
  <c r="S53" i="3"/>
  <c r="K53" i="3"/>
  <c r="I53" i="3"/>
  <c r="J53" i="3" s="1"/>
  <c r="C53" i="3"/>
  <c r="B53" i="3"/>
  <c r="S52" i="3"/>
  <c r="K52" i="3"/>
  <c r="I52" i="3"/>
  <c r="J52" i="3" s="1"/>
  <c r="C52" i="3"/>
  <c r="B52" i="3"/>
  <c r="S51" i="3"/>
  <c r="K51" i="3"/>
  <c r="I51" i="3"/>
  <c r="J51" i="3" s="1"/>
  <c r="C51" i="3"/>
  <c r="B51" i="3"/>
  <c r="S50" i="3"/>
  <c r="K50" i="3"/>
  <c r="I50" i="3"/>
  <c r="J50" i="3" s="1"/>
  <c r="C50" i="3"/>
  <c r="B50" i="3"/>
  <c r="S49" i="3"/>
  <c r="K49" i="3"/>
  <c r="I49" i="3"/>
  <c r="J49" i="3" s="1"/>
  <c r="C49" i="3"/>
  <c r="B49" i="3"/>
  <c r="S48" i="3"/>
  <c r="K48" i="3"/>
  <c r="I48" i="3"/>
  <c r="J48" i="3" s="1"/>
  <c r="C48" i="3"/>
  <c r="B48" i="3"/>
  <c r="S47" i="3"/>
  <c r="K47" i="3"/>
  <c r="J47" i="3"/>
  <c r="I47" i="3"/>
  <c r="C47" i="3"/>
  <c r="B47" i="3"/>
  <c r="S46" i="3"/>
  <c r="K46" i="3"/>
  <c r="I46" i="3"/>
  <c r="J46" i="3" s="1"/>
  <c r="C46" i="3"/>
  <c r="B46" i="3"/>
  <c r="S45" i="3"/>
  <c r="K45" i="3"/>
  <c r="I45" i="3"/>
  <c r="J45" i="3" s="1"/>
  <c r="C45" i="3"/>
  <c r="B45" i="3"/>
  <c r="S44" i="3"/>
  <c r="K44" i="3"/>
  <c r="J44" i="3"/>
  <c r="I44" i="3"/>
  <c r="C44" i="3"/>
  <c r="B44" i="3"/>
  <c r="S43" i="3"/>
  <c r="K43" i="3"/>
  <c r="I43" i="3"/>
  <c r="J43" i="3" s="1"/>
  <c r="C43" i="3"/>
  <c r="B43" i="3"/>
  <c r="S42" i="3"/>
  <c r="K42" i="3"/>
  <c r="I42" i="3"/>
  <c r="J42" i="3" s="1"/>
  <c r="C42" i="3"/>
  <c r="B42" i="3"/>
  <c r="S41" i="3"/>
  <c r="K41" i="3"/>
  <c r="I41" i="3"/>
  <c r="J41" i="3" s="1"/>
  <c r="C41" i="3"/>
  <c r="B41" i="3"/>
  <c r="S40" i="3"/>
  <c r="K40" i="3"/>
  <c r="I40" i="3"/>
  <c r="J40" i="3" s="1"/>
  <c r="O40" i="3" s="1"/>
  <c r="Q40" i="3" s="1"/>
  <c r="C40" i="3"/>
  <c r="B40" i="3"/>
  <c r="S39" i="3"/>
  <c r="K39" i="3"/>
  <c r="I39" i="3"/>
  <c r="J39" i="3" s="1"/>
  <c r="O39" i="3" s="1"/>
  <c r="C39" i="3"/>
  <c r="B39" i="3"/>
  <c r="S38" i="3"/>
  <c r="K38" i="3"/>
  <c r="J38" i="3"/>
  <c r="I38" i="3"/>
  <c r="C38" i="3"/>
  <c r="B38" i="3"/>
  <c r="S37" i="3"/>
  <c r="K37" i="3"/>
  <c r="I37" i="3"/>
  <c r="J37" i="3" s="1"/>
  <c r="C37" i="3"/>
  <c r="B37" i="3"/>
  <c r="S36" i="3"/>
  <c r="K36" i="3"/>
  <c r="I36" i="3"/>
  <c r="J36" i="3" s="1"/>
  <c r="C36" i="3"/>
  <c r="B36" i="3"/>
  <c r="S35" i="3"/>
  <c r="P35" i="3"/>
  <c r="K35" i="3"/>
  <c r="J35" i="3"/>
  <c r="O35" i="3" s="1"/>
  <c r="J12" i="2" s="1"/>
  <c r="I35" i="3"/>
  <c r="C35" i="3"/>
  <c r="B35" i="3"/>
  <c r="S34" i="3"/>
  <c r="K34" i="3"/>
  <c r="I34" i="3"/>
  <c r="J34" i="3" s="1"/>
  <c r="C34" i="3"/>
  <c r="B34" i="3"/>
  <c r="S33" i="3"/>
  <c r="K33" i="3"/>
  <c r="I33" i="3"/>
  <c r="J33" i="3" s="1"/>
  <c r="O33" i="3" s="1"/>
  <c r="C33" i="3"/>
  <c r="B33" i="3"/>
  <c r="S32" i="3"/>
  <c r="K32" i="3"/>
  <c r="I32" i="3"/>
  <c r="J32" i="3" s="1"/>
  <c r="C32" i="3"/>
  <c r="B32" i="3"/>
  <c r="S31" i="3"/>
  <c r="L31" i="3"/>
  <c r="K31" i="3"/>
  <c r="I31" i="3"/>
  <c r="J31" i="3" s="1"/>
  <c r="C31" i="3"/>
  <c r="B31" i="3"/>
  <c r="S30" i="3"/>
  <c r="K30" i="3"/>
  <c r="I30" i="3"/>
  <c r="J30" i="3" s="1"/>
  <c r="C30" i="3"/>
  <c r="B30" i="3"/>
  <c r="S29" i="3"/>
  <c r="K29" i="3"/>
  <c r="I29" i="3"/>
  <c r="J29" i="3" s="1"/>
  <c r="C29" i="3"/>
  <c r="B29" i="3"/>
  <c r="S28" i="3"/>
  <c r="K28" i="3"/>
  <c r="C28" i="3"/>
  <c r="B28" i="3"/>
  <c r="S27" i="3"/>
  <c r="K27" i="3"/>
  <c r="C27" i="3"/>
  <c r="B27" i="3"/>
  <c r="S26" i="3"/>
  <c r="K26" i="3"/>
  <c r="I26" i="3"/>
  <c r="J26" i="3" s="1"/>
  <c r="C26" i="3"/>
  <c r="B26" i="3"/>
  <c r="S25" i="3"/>
  <c r="K25" i="3"/>
  <c r="I25" i="3"/>
  <c r="J25" i="3" s="1"/>
  <c r="L25" i="3" s="1"/>
  <c r="C25" i="3"/>
  <c r="B25" i="3"/>
  <c r="S24" i="3"/>
  <c r="K24" i="3"/>
  <c r="C24" i="3"/>
  <c r="B24" i="3"/>
  <c r="S23" i="3"/>
  <c r="K23" i="3"/>
  <c r="I23" i="3"/>
  <c r="J23" i="3" s="1"/>
  <c r="C23" i="3"/>
  <c r="B23" i="3"/>
  <c r="S22" i="3"/>
  <c r="K22" i="3"/>
  <c r="J22" i="3"/>
  <c r="I22" i="3"/>
  <c r="C22" i="3"/>
  <c r="B22" i="3"/>
  <c r="S21" i="3"/>
  <c r="Q21" i="3"/>
  <c r="P21" i="3"/>
  <c r="K21" i="3"/>
  <c r="I21" i="3"/>
  <c r="J21" i="3" s="1"/>
  <c r="O21" i="3" s="1"/>
  <c r="H10" i="2" s="1"/>
  <c r="C21" i="3"/>
  <c r="B21" i="3"/>
  <c r="S20" i="3"/>
  <c r="K20" i="3"/>
  <c r="I20" i="3"/>
  <c r="J20" i="3" s="1"/>
  <c r="O20" i="3" s="1"/>
  <c r="C20" i="3"/>
  <c r="B20" i="3"/>
  <c r="S19" i="3"/>
  <c r="L19" i="3"/>
  <c r="K19" i="3"/>
  <c r="I19" i="3"/>
  <c r="J19" i="3" s="1"/>
  <c r="C19" i="3"/>
  <c r="B19" i="3"/>
  <c r="S18" i="3"/>
  <c r="O18" i="3"/>
  <c r="Q18" i="3" s="1"/>
  <c r="K18" i="3"/>
  <c r="I18" i="3"/>
  <c r="J18" i="3" s="1"/>
  <c r="L18" i="3" s="1"/>
  <c r="C18" i="3"/>
  <c r="B18" i="3"/>
  <c r="S17" i="3"/>
  <c r="O17" i="3"/>
  <c r="Q17" i="3" s="1"/>
  <c r="L17" i="3"/>
  <c r="K17" i="3"/>
  <c r="I17" i="3"/>
  <c r="J17" i="3" s="1"/>
  <c r="C17" i="3"/>
  <c r="B17" i="3"/>
  <c r="S16" i="3"/>
  <c r="K16" i="3"/>
  <c r="I16" i="3"/>
  <c r="J16" i="3" s="1"/>
  <c r="O16" i="3" s="1"/>
  <c r="C16" i="3"/>
  <c r="B16" i="3"/>
  <c r="S15" i="3"/>
  <c r="O15" i="3"/>
  <c r="Q15" i="3" s="1"/>
  <c r="L15" i="3"/>
  <c r="K15" i="3"/>
  <c r="I15" i="3"/>
  <c r="J15" i="3" s="1"/>
  <c r="C15" i="3"/>
  <c r="B15" i="3"/>
  <c r="S14" i="3"/>
  <c r="K14" i="3"/>
  <c r="I14" i="3"/>
  <c r="J14" i="3" s="1"/>
  <c r="L14" i="3" s="1"/>
  <c r="C14" i="3"/>
  <c r="B14" i="3"/>
  <c r="S13" i="3"/>
  <c r="K13" i="3"/>
  <c r="I13" i="3"/>
  <c r="J13" i="3" s="1"/>
  <c r="C13" i="3"/>
  <c r="B13" i="3"/>
  <c r="S12" i="3"/>
  <c r="K12" i="3"/>
  <c r="I12" i="3"/>
  <c r="J12" i="3" s="1"/>
  <c r="C12" i="3"/>
  <c r="B12" i="3"/>
  <c r="S11" i="3"/>
  <c r="K11" i="3"/>
  <c r="I11" i="3"/>
  <c r="J11" i="3" s="1"/>
  <c r="C11" i="3"/>
  <c r="B11" i="3"/>
  <c r="S10" i="3"/>
  <c r="K10" i="3"/>
  <c r="I10" i="3"/>
  <c r="J10" i="3" s="1"/>
  <c r="C10" i="3"/>
  <c r="B10" i="3"/>
  <c r="S9" i="3"/>
  <c r="K9" i="3"/>
  <c r="J9" i="3"/>
  <c r="I9" i="3"/>
  <c r="C9" i="3"/>
  <c r="B9" i="3"/>
  <c r="S8" i="3"/>
  <c r="K8" i="3"/>
  <c r="I8" i="3"/>
  <c r="J8" i="3" s="1"/>
  <c r="C8" i="3"/>
  <c r="B8" i="3"/>
  <c r="S7" i="3"/>
  <c r="K7" i="3"/>
  <c r="I7" i="3"/>
  <c r="J7" i="3" s="1"/>
  <c r="C7" i="3"/>
  <c r="B7" i="3"/>
  <c r="S6" i="3"/>
  <c r="K6" i="3"/>
  <c r="I6" i="3"/>
  <c r="J6" i="3" s="1"/>
  <c r="C6" i="3"/>
  <c r="B6" i="3"/>
  <c r="O27" i="3" l="1"/>
  <c r="P27" i="3"/>
  <c r="L27" i="3"/>
  <c r="O62" i="3"/>
  <c r="P62" i="3"/>
  <c r="L62" i="3"/>
  <c r="O74" i="3"/>
  <c r="P74" i="3"/>
  <c r="L74" i="3"/>
  <c r="O88" i="3"/>
  <c r="Q88" i="3" s="1"/>
  <c r="P88" i="3"/>
  <c r="L88" i="3"/>
  <c r="T88" i="3" s="1"/>
  <c r="U88" i="3" s="1"/>
  <c r="O110" i="3"/>
  <c r="P110" i="3"/>
  <c r="L110" i="3"/>
  <c r="O41" i="3"/>
  <c r="L41" i="3"/>
  <c r="P41" i="3"/>
  <c r="O29" i="3"/>
  <c r="L29" i="3"/>
  <c r="T29" i="3" s="1"/>
  <c r="U29" i="3" s="1"/>
  <c r="O76" i="3"/>
  <c r="Q76" i="3" s="1"/>
  <c r="L76" i="3"/>
  <c r="O86" i="3"/>
  <c r="P86" i="3"/>
  <c r="L86" i="3"/>
  <c r="P15" i="3"/>
  <c r="I24" i="3"/>
  <c r="J24" i="3" s="1"/>
  <c r="I28" i="3"/>
  <c r="J28" i="3" s="1"/>
  <c r="I60" i="3"/>
  <c r="J60" i="3" s="1"/>
  <c r="I98" i="3"/>
  <c r="J98" i="3" s="1"/>
  <c r="O135" i="3"/>
  <c r="P169" i="3"/>
  <c r="I64" i="3"/>
  <c r="J64" i="3" s="1"/>
  <c r="I96" i="3"/>
  <c r="J96" i="3" s="1"/>
  <c r="T126" i="3"/>
  <c r="P135" i="3"/>
  <c r="O163" i="3"/>
  <c r="T163" i="3" s="1"/>
  <c r="L184" i="3"/>
  <c r="D11" i="2"/>
  <c r="O13" i="3"/>
  <c r="Q13" i="3" s="1"/>
  <c r="P19" i="3"/>
  <c r="I100" i="3"/>
  <c r="J100" i="3" s="1"/>
  <c r="U126" i="3"/>
  <c r="P163" i="3"/>
  <c r="O184" i="3"/>
  <c r="L134" i="3"/>
  <c r="L144" i="3"/>
  <c r="L13" i="3"/>
  <c r="O19" i="3"/>
  <c r="Q19" i="3" s="1"/>
  <c r="L21" i="3"/>
  <c r="T21" i="3" s="1"/>
  <c r="U21" i="3" s="1"/>
  <c r="O128" i="3"/>
  <c r="O162" i="3"/>
  <c r="P181" i="3"/>
  <c r="D17" i="2"/>
  <c r="I61" i="3"/>
  <c r="J61" i="3" s="1"/>
  <c r="P61" i="3" s="1"/>
  <c r="L133" i="3"/>
  <c r="L180" i="3"/>
  <c r="I63" i="3"/>
  <c r="J63" i="3" s="1"/>
  <c r="L63" i="3" s="1"/>
  <c r="I97" i="3"/>
  <c r="J97" i="3" s="1"/>
  <c r="L97" i="3" s="1"/>
  <c r="O133" i="3"/>
  <c r="O151" i="3"/>
  <c r="L159" i="3"/>
  <c r="O180" i="3"/>
  <c r="T180" i="3" s="1"/>
  <c r="L35" i="3"/>
  <c r="I99" i="3"/>
  <c r="J99" i="3" s="1"/>
  <c r="L99" i="3" s="1"/>
  <c r="P124" i="3"/>
  <c r="O175" i="3"/>
  <c r="U175" i="3" s="1"/>
  <c r="L11" i="3"/>
  <c r="O11" i="3"/>
  <c r="P11" i="3" s="1"/>
  <c r="O32" i="3"/>
  <c r="P32" i="3" s="1"/>
  <c r="L32" i="3"/>
  <c r="O7" i="3"/>
  <c r="P7" i="3" s="1"/>
  <c r="L7" i="3"/>
  <c r="O12" i="3"/>
  <c r="P12" i="3" s="1"/>
  <c r="L12" i="3"/>
  <c r="I9" i="2"/>
  <c r="P16" i="3"/>
  <c r="Q16" i="3"/>
  <c r="L6" i="3"/>
  <c r="O6" i="3"/>
  <c r="L10" i="3"/>
  <c r="O10" i="3"/>
  <c r="P10" i="3" s="1"/>
  <c r="O8" i="3"/>
  <c r="P8" i="3" s="1"/>
  <c r="L8" i="3"/>
  <c r="O38" i="3"/>
  <c r="P38" i="3" s="1"/>
  <c r="L38" i="3"/>
  <c r="O59" i="3"/>
  <c r="P59" i="3" s="1"/>
  <c r="L59" i="3"/>
  <c r="O80" i="3"/>
  <c r="L80" i="3"/>
  <c r="G10" i="2"/>
  <c r="O113" i="3"/>
  <c r="P113" i="3" s="1"/>
  <c r="L113" i="3"/>
  <c r="O14" i="3"/>
  <c r="P20" i="3"/>
  <c r="O26" i="3"/>
  <c r="P26" i="3" s="1"/>
  <c r="L26" i="3"/>
  <c r="J11" i="2"/>
  <c r="Q29" i="3"/>
  <c r="O65" i="3"/>
  <c r="L65" i="3"/>
  <c r="O104" i="3"/>
  <c r="L104" i="3"/>
  <c r="O172" i="3"/>
  <c r="L172" i="3"/>
  <c r="P178" i="3"/>
  <c r="O178" i="3"/>
  <c r="O37" i="3"/>
  <c r="P37" i="3"/>
  <c r="I13" i="2"/>
  <c r="O73" i="3"/>
  <c r="P73" i="3" s="1"/>
  <c r="L73" i="3"/>
  <c r="O91" i="3"/>
  <c r="P91" i="3" s="1"/>
  <c r="L91" i="3"/>
  <c r="O95" i="3"/>
  <c r="P95" i="3"/>
  <c r="L95" i="3"/>
  <c r="O108" i="3"/>
  <c r="L108" i="3"/>
  <c r="P164" i="3"/>
  <c r="O164" i="3"/>
  <c r="L164" i="3"/>
  <c r="F10" i="2"/>
  <c r="T19" i="3"/>
  <c r="U19" i="3" s="1"/>
  <c r="O31" i="3"/>
  <c r="P31" i="3" s="1"/>
  <c r="O34" i="3"/>
  <c r="L34" i="3"/>
  <c r="O67" i="3"/>
  <c r="L67" i="3"/>
  <c r="O71" i="3"/>
  <c r="P71" i="3" s="1"/>
  <c r="L71" i="3"/>
  <c r="P104" i="3"/>
  <c r="O112" i="3"/>
  <c r="P112" i="3" s="1"/>
  <c r="P172" i="3"/>
  <c r="L178" i="3"/>
  <c r="Q128" i="3"/>
  <c r="U128" i="3"/>
  <c r="T128" i="3"/>
  <c r="H9" i="2"/>
  <c r="T15" i="3"/>
  <c r="U15" i="3" s="1"/>
  <c r="P14" i="3"/>
  <c r="Q20" i="3"/>
  <c r="O23" i="3"/>
  <c r="O47" i="3"/>
  <c r="P47" i="3" s="1"/>
  <c r="L47" i="3"/>
  <c r="O84" i="3"/>
  <c r="P84" i="3" s="1"/>
  <c r="L84" i="3"/>
  <c r="F9" i="2"/>
  <c r="T13" i="3"/>
  <c r="U13" i="3" s="1"/>
  <c r="L23" i="3"/>
  <c r="L37" i="3"/>
  <c r="P40" i="3"/>
  <c r="O60" i="3"/>
  <c r="P60" i="3" s="1"/>
  <c r="L60" i="3"/>
  <c r="O75" i="3"/>
  <c r="P75" i="3" s="1"/>
  <c r="O28" i="3"/>
  <c r="L28" i="3"/>
  <c r="O44" i="3"/>
  <c r="L44" i="3"/>
  <c r="O116" i="3"/>
  <c r="L116" i="3"/>
  <c r="U169" i="3"/>
  <c r="Q169" i="3"/>
  <c r="T169" i="3"/>
  <c r="O22" i="3"/>
  <c r="L22" i="3"/>
  <c r="P28" i="3"/>
  <c r="L39" i="3"/>
  <c r="T39" i="3" s="1"/>
  <c r="U39" i="3" s="1"/>
  <c r="O48" i="3"/>
  <c r="L48" i="3"/>
  <c r="O50" i="3"/>
  <c r="L50" i="3"/>
  <c r="P50" i="3"/>
  <c r="O85" i="3"/>
  <c r="P85" i="3" s="1"/>
  <c r="L85" i="3"/>
  <c r="O92" i="3"/>
  <c r="L92" i="3"/>
  <c r="O109" i="3"/>
  <c r="P109" i="3" s="1"/>
  <c r="L109" i="3"/>
  <c r="P116" i="3"/>
  <c r="O154" i="3"/>
  <c r="P154" i="3"/>
  <c r="H12" i="2"/>
  <c r="Q33" i="3"/>
  <c r="O77" i="3"/>
  <c r="P77" i="3" s="1"/>
  <c r="L77" i="3"/>
  <c r="O101" i="3"/>
  <c r="L101" i="3"/>
  <c r="P101" i="3"/>
  <c r="P142" i="3"/>
  <c r="O142" i="3"/>
  <c r="L142" i="3"/>
  <c r="L9" i="3"/>
  <c r="J9" i="2"/>
  <c r="T17" i="3"/>
  <c r="U17" i="3" s="1"/>
  <c r="O9" i="3"/>
  <c r="P9" i="3" s="1"/>
  <c r="L16" i="3"/>
  <c r="T16" i="3" s="1"/>
  <c r="U16" i="3" s="1"/>
  <c r="P17" i="3"/>
  <c r="P22" i="3"/>
  <c r="H11" i="2"/>
  <c r="T27" i="3"/>
  <c r="U27" i="3" s="1"/>
  <c r="Q27" i="3"/>
  <c r="L33" i="3"/>
  <c r="T33" i="3" s="1"/>
  <c r="U33" i="3" s="1"/>
  <c r="O36" i="3"/>
  <c r="P36" i="3" s="1"/>
  <c r="L36" i="3"/>
  <c r="P39" i="3"/>
  <c r="O68" i="3"/>
  <c r="L68" i="3"/>
  <c r="O79" i="3"/>
  <c r="P79" i="3" s="1"/>
  <c r="L79" i="3"/>
  <c r="O83" i="3"/>
  <c r="P83" i="3"/>
  <c r="L83" i="3"/>
  <c r="O96" i="3"/>
  <c r="P96" i="3" s="1"/>
  <c r="L96" i="3"/>
  <c r="O103" i="3"/>
  <c r="P103" i="3" s="1"/>
  <c r="L103" i="3"/>
  <c r="O107" i="3"/>
  <c r="P107" i="3" s="1"/>
  <c r="L107" i="3"/>
  <c r="E10" i="2"/>
  <c r="T18" i="3"/>
  <c r="O25" i="3"/>
  <c r="P25" i="3" s="1"/>
  <c r="H13" i="2"/>
  <c r="Q39" i="3"/>
  <c r="O56" i="3"/>
  <c r="P56" i="3" s="1"/>
  <c r="L56" i="3"/>
  <c r="U138" i="3"/>
  <c r="Q138" i="3"/>
  <c r="T138" i="3"/>
  <c r="P18" i="3"/>
  <c r="O42" i="3"/>
  <c r="P42" i="3" s="1"/>
  <c r="L42" i="3"/>
  <c r="O30" i="3"/>
  <c r="P30" i="3" s="1"/>
  <c r="L30" i="3"/>
  <c r="P33" i="3"/>
  <c r="O61" i="3"/>
  <c r="O72" i="3"/>
  <c r="P72" i="3" s="1"/>
  <c r="L72" i="3"/>
  <c r="O87" i="3"/>
  <c r="P87" i="3" s="1"/>
  <c r="O111" i="3"/>
  <c r="P111" i="3" s="1"/>
  <c r="O122" i="3"/>
  <c r="P122" i="3" s="1"/>
  <c r="L122" i="3"/>
  <c r="P146" i="3"/>
  <c r="O146" i="3"/>
  <c r="L146" i="3"/>
  <c r="O24" i="3"/>
  <c r="P24" i="3"/>
  <c r="O43" i="3"/>
  <c r="P43" i="3" s="1"/>
  <c r="L43" i="3"/>
  <c r="O45" i="3"/>
  <c r="L45" i="3"/>
  <c r="O63" i="3"/>
  <c r="P63" i="3" s="1"/>
  <c r="U76" i="3"/>
  <c r="L20" i="3"/>
  <c r="T20" i="3" s="1"/>
  <c r="U20" i="3" s="1"/>
  <c r="L24" i="3"/>
  <c r="O53" i="3"/>
  <c r="P53" i="3" s="1"/>
  <c r="L53" i="3"/>
  <c r="O89" i="3"/>
  <c r="P89" i="3" s="1"/>
  <c r="L89" i="3"/>
  <c r="O115" i="3"/>
  <c r="P115" i="3"/>
  <c r="L115" i="3"/>
  <c r="P119" i="3"/>
  <c r="L119" i="3"/>
  <c r="O119" i="3"/>
  <c r="O143" i="3"/>
  <c r="P143" i="3"/>
  <c r="L143" i="3"/>
  <c r="P76" i="3"/>
  <c r="E27" i="2"/>
  <c r="Q120" i="3"/>
  <c r="T120" i="3"/>
  <c r="U120" i="3" s="1"/>
  <c r="Q123" i="3"/>
  <c r="H27" i="2"/>
  <c r="Q134" i="3"/>
  <c r="U134" i="3"/>
  <c r="P137" i="3"/>
  <c r="O137" i="3"/>
  <c r="P160" i="3"/>
  <c r="O160" i="3"/>
  <c r="U151" i="3"/>
  <c r="Q151" i="3"/>
  <c r="Q175" i="3"/>
  <c r="P183" i="3"/>
  <c r="O183" i="3"/>
  <c r="T123" i="3"/>
  <c r="Q133" i="3"/>
  <c r="U133" i="3"/>
  <c r="T133" i="3"/>
  <c r="T134" i="3"/>
  <c r="U157" i="3"/>
  <c r="Q157" i="3"/>
  <c r="T157" i="3"/>
  <c r="P171" i="3"/>
  <c r="O171" i="3"/>
  <c r="T35" i="3"/>
  <c r="U35" i="3" s="1"/>
  <c r="J13" i="2"/>
  <c r="T41" i="3"/>
  <c r="U41" i="3" s="1"/>
  <c r="O46" i="3"/>
  <c r="L46" i="3"/>
  <c r="G17" i="2"/>
  <c r="T62" i="3"/>
  <c r="U62" i="3" s="1"/>
  <c r="Q62" i="3"/>
  <c r="O66" i="3"/>
  <c r="P66" i="3" s="1"/>
  <c r="G19" i="2"/>
  <c r="T74" i="3"/>
  <c r="U74" i="3" s="1"/>
  <c r="Q74" i="3"/>
  <c r="O78" i="3"/>
  <c r="P78" i="3" s="1"/>
  <c r="G21" i="2"/>
  <c r="T86" i="3"/>
  <c r="U86" i="3" s="1"/>
  <c r="Q86" i="3"/>
  <c r="O90" i="3"/>
  <c r="P90" i="3" s="1"/>
  <c r="O102" i="3"/>
  <c r="P102" i="3"/>
  <c r="G25" i="2"/>
  <c r="T110" i="3"/>
  <c r="U110" i="3" s="1"/>
  <c r="Q110" i="3"/>
  <c r="O114" i="3"/>
  <c r="P114" i="3" s="1"/>
  <c r="U123" i="3"/>
  <c r="L139" i="3"/>
  <c r="P139" i="3"/>
  <c r="P153" i="3"/>
  <c r="O153" i="3"/>
  <c r="P165" i="3"/>
  <c r="O165" i="3"/>
  <c r="U180" i="3"/>
  <c r="Q180" i="3"/>
  <c r="L183" i="3"/>
  <c r="O49" i="3"/>
  <c r="P49" i="3" s="1"/>
  <c r="L49" i="3"/>
  <c r="O52" i="3"/>
  <c r="P52" i="3" s="1"/>
  <c r="L52" i="3"/>
  <c r="O55" i="3"/>
  <c r="L55" i="3"/>
  <c r="O58" i="3"/>
  <c r="P58" i="3" s="1"/>
  <c r="L58" i="3"/>
  <c r="O70" i="3"/>
  <c r="P70" i="3" s="1"/>
  <c r="L70" i="3"/>
  <c r="O82" i="3"/>
  <c r="P82" i="3"/>
  <c r="L82" i="3"/>
  <c r="O94" i="3"/>
  <c r="P94" i="3" s="1"/>
  <c r="L94" i="3"/>
  <c r="O106" i="3"/>
  <c r="P106" i="3" s="1"/>
  <c r="L106" i="3"/>
  <c r="O118" i="3"/>
  <c r="P118" i="3" s="1"/>
  <c r="L118" i="3"/>
  <c r="O136" i="3"/>
  <c r="P136" i="3"/>
  <c r="L136" i="3"/>
  <c r="P147" i="3"/>
  <c r="O147" i="3"/>
  <c r="T151" i="3"/>
  <c r="U168" i="3"/>
  <c r="Q168" i="3"/>
  <c r="T168" i="3"/>
  <c r="Q132" i="3"/>
  <c r="T132" i="3"/>
  <c r="U132" i="3"/>
  <c r="U139" i="3"/>
  <c r="Q139" i="3"/>
  <c r="U150" i="3"/>
  <c r="Q150" i="3"/>
  <c r="T150" i="3"/>
  <c r="U162" i="3"/>
  <c r="Q162" i="3"/>
  <c r="O179" i="3"/>
  <c r="L179" i="3"/>
  <c r="O185" i="3"/>
  <c r="P185" i="3"/>
  <c r="L185" i="3"/>
  <c r="P29" i="3"/>
  <c r="P55" i="3"/>
  <c r="F27" i="2"/>
  <c r="Q121" i="3"/>
  <c r="T121" i="3"/>
  <c r="U121" i="3" s="1"/>
  <c r="P141" i="3"/>
  <c r="O141" i="3"/>
  <c r="L141" i="3"/>
  <c r="O161" i="3"/>
  <c r="L161" i="3"/>
  <c r="Q35" i="3"/>
  <c r="L40" i="3"/>
  <c r="T40" i="3" s="1"/>
  <c r="U40" i="3" s="1"/>
  <c r="Q41" i="3"/>
  <c r="P121" i="3"/>
  <c r="T139" i="3"/>
  <c r="O167" i="3"/>
  <c r="P167" i="3"/>
  <c r="L167" i="3"/>
  <c r="P176" i="3"/>
  <c r="O176" i="3"/>
  <c r="L176" i="3"/>
  <c r="P179" i="3"/>
  <c r="P182" i="3"/>
  <c r="O182" i="3"/>
  <c r="L182" i="3"/>
  <c r="O51" i="3"/>
  <c r="L51" i="3"/>
  <c r="O54" i="3"/>
  <c r="L54" i="3"/>
  <c r="O57" i="3"/>
  <c r="L57" i="3"/>
  <c r="O69" i="3"/>
  <c r="L69" i="3"/>
  <c r="I19" i="2"/>
  <c r="T76" i="3"/>
  <c r="O81" i="3"/>
  <c r="L81" i="3"/>
  <c r="I21" i="2"/>
  <c r="O93" i="3"/>
  <c r="L93" i="3"/>
  <c r="O105" i="3"/>
  <c r="L105" i="3"/>
  <c r="O117" i="3"/>
  <c r="L117" i="3"/>
  <c r="P120" i="3"/>
  <c r="P131" i="3"/>
  <c r="O131" i="3"/>
  <c r="L131" i="3"/>
  <c r="U144" i="3"/>
  <c r="Q144" i="3"/>
  <c r="T144" i="3"/>
  <c r="O149" i="3"/>
  <c r="P149" i="3"/>
  <c r="L149" i="3"/>
  <c r="P158" i="3"/>
  <c r="O158" i="3"/>
  <c r="L158" i="3"/>
  <c r="P161" i="3"/>
  <c r="T162" i="3"/>
  <c r="Q127" i="3"/>
  <c r="T127" i="3"/>
  <c r="P130" i="3"/>
  <c r="O130" i="3"/>
  <c r="L125" i="3"/>
  <c r="P140" i="3"/>
  <c r="O140" i="3"/>
  <c r="O145" i="3"/>
  <c r="P152" i="3"/>
  <c r="O152" i="3"/>
  <c r="L152" i="3"/>
  <c r="U155" i="3"/>
  <c r="Q155" i="3"/>
  <c r="U156" i="3"/>
  <c r="Q156" i="3"/>
  <c r="P170" i="3"/>
  <c r="O170" i="3"/>
  <c r="L170" i="3"/>
  <c r="U173" i="3"/>
  <c r="Q173" i="3"/>
  <c r="U174" i="3"/>
  <c r="Q174" i="3"/>
  <c r="O125" i="3"/>
  <c r="U127" i="3"/>
  <c r="P145" i="3"/>
  <c r="U163" i="3"/>
  <c r="Q163" i="3"/>
  <c r="U181" i="3"/>
  <c r="Q181" i="3"/>
  <c r="L124" i="3"/>
  <c r="T124" i="3" s="1"/>
  <c r="U124" i="3" s="1"/>
  <c r="O129" i="3"/>
  <c r="L129" i="3"/>
  <c r="L140" i="3"/>
  <c r="U148" i="3"/>
  <c r="Q148" i="3"/>
  <c r="T148" i="3"/>
  <c r="L155" i="3"/>
  <c r="U159" i="3"/>
  <c r="Q159" i="3"/>
  <c r="T159" i="3"/>
  <c r="U166" i="3"/>
  <c r="Q166" i="3"/>
  <c r="T166" i="3"/>
  <c r="L173" i="3"/>
  <c r="U177" i="3"/>
  <c r="Q177" i="3"/>
  <c r="T177" i="3"/>
  <c r="U184" i="3"/>
  <c r="Q184" i="3"/>
  <c r="T184" i="3"/>
  <c r="I27" i="2"/>
  <c r="L61" i="3" l="1"/>
  <c r="O97" i="3"/>
  <c r="P97" i="3" s="1"/>
  <c r="O99" i="3"/>
  <c r="P99" i="3" s="1"/>
  <c r="L13" i="2"/>
  <c r="O64" i="3"/>
  <c r="L64" i="3"/>
  <c r="T175" i="3"/>
  <c r="L21" i="2"/>
  <c r="O100" i="3"/>
  <c r="P100" i="3"/>
  <c r="L100" i="3"/>
  <c r="Q135" i="3"/>
  <c r="U135" i="3"/>
  <c r="T135" i="3"/>
  <c r="L9" i="2"/>
  <c r="O98" i="3"/>
  <c r="P98" i="3"/>
  <c r="L23" i="2" s="1"/>
  <c r="L98" i="3"/>
  <c r="P13" i="3"/>
  <c r="U18" i="3"/>
  <c r="Q130" i="3"/>
  <c r="U130" i="3"/>
  <c r="T130" i="3"/>
  <c r="U149" i="3"/>
  <c r="Q149" i="3"/>
  <c r="T149" i="3"/>
  <c r="U161" i="3"/>
  <c r="Q161" i="3"/>
  <c r="T161" i="3"/>
  <c r="E26" i="2"/>
  <c r="T114" i="3"/>
  <c r="U114" i="3" s="1"/>
  <c r="Q114" i="3"/>
  <c r="E22" i="2"/>
  <c r="T90" i="3"/>
  <c r="U90" i="3" s="1"/>
  <c r="Q90" i="3"/>
  <c r="E18" i="2"/>
  <c r="T66" i="3"/>
  <c r="U66" i="3" s="1"/>
  <c r="Q66" i="3"/>
  <c r="F17" i="2"/>
  <c r="T61" i="3"/>
  <c r="U61" i="3" s="1"/>
  <c r="Q61" i="3"/>
  <c r="I25" i="2"/>
  <c r="T112" i="3"/>
  <c r="U112" i="3" s="1"/>
  <c r="Q112" i="3"/>
  <c r="I12" i="2"/>
  <c r="T34" i="3"/>
  <c r="U34" i="3" s="1"/>
  <c r="Q34" i="3"/>
  <c r="P34" i="3"/>
  <c r="L12" i="2" s="1"/>
  <c r="G20" i="2"/>
  <c r="T80" i="3"/>
  <c r="U80" i="3" s="1"/>
  <c r="Q80" i="3"/>
  <c r="U176" i="3"/>
  <c r="Q176" i="3"/>
  <c r="T176" i="3"/>
  <c r="F26" i="2"/>
  <c r="Q115" i="3"/>
  <c r="T115" i="3"/>
  <c r="U115" i="3" s="1"/>
  <c r="H17" i="2"/>
  <c r="U63" i="3"/>
  <c r="T63" i="3"/>
  <c r="Q63" i="3"/>
  <c r="J23" i="2"/>
  <c r="U101" i="3"/>
  <c r="T101" i="3"/>
  <c r="Q101" i="3"/>
  <c r="F25" i="2"/>
  <c r="T109" i="3"/>
  <c r="U109" i="3" s="1"/>
  <c r="Q109" i="3"/>
  <c r="I11" i="2"/>
  <c r="T28" i="3"/>
  <c r="U28" i="3" s="1"/>
  <c r="Q28" i="3"/>
  <c r="F13" i="2"/>
  <c r="T37" i="3"/>
  <c r="U37" i="3" s="1"/>
  <c r="Q37" i="3"/>
  <c r="E8" i="2"/>
  <c r="T6" i="3"/>
  <c r="Q5" i="2"/>
  <c r="Q6" i="3"/>
  <c r="U141" i="3"/>
  <c r="Q141" i="3"/>
  <c r="T141" i="3"/>
  <c r="Q118" i="3"/>
  <c r="I26" i="2"/>
  <c r="T118" i="3"/>
  <c r="U118" i="3" s="1"/>
  <c r="Q122" i="3"/>
  <c r="G27" i="2"/>
  <c r="T122" i="3"/>
  <c r="U122" i="3" s="1"/>
  <c r="J24" i="2"/>
  <c r="Q107" i="3"/>
  <c r="U107" i="3"/>
  <c r="T107" i="3"/>
  <c r="F20" i="2"/>
  <c r="Q79" i="3"/>
  <c r="T79" i="3"/>
  <c r="U79" i="3" s="1"/>
  <c r="F12" i="2"/>
  <c r="T31" i="3"/>
  <c r="Q31" i="3"/>
  <c r="U31" i="3"/>
  <c r="J22" i="2"/>
  <c r="Q95" i="3"/>
  <c r="U95" i="3"/>
  <c r="T95" i="3"/>
  <c r="U178" i="3"/>
  <c r="Q178" i="3"/>
  <c r="T178" i="3"/>
  <c r="H22" i="2"/>
  <c r="T93" i="3"/>
  <c r="U93" i="3" s="1"/>
  <c r="Q93" i="3"/>
  <c r="P93" i="3"/>
  <c r="H16" i="2"/>
  <c r="T57" i="3"/>
  <c r="U57" i="3"/>
  <c r="Q57" i="3"/>
  <c r="P57" i="3"/>
  <c r="U165" i="3"/>
  <c r="Q165" i="3"/>
  <c r="T165" i="3"/>
  <c r="U160" i="3"/>
  <c r="Q160" i="3"/>
  <c r="T160" i="3"/>
  <c r="H14" i="2"/>
  <c r="T45" i="3"/>
  <c r="U45" i="3" s="1"/>
  <c r="Q45" i="3"/>
  <c r="P45" i="3"/>
  <c r="G22" i="2"/>
  <c r="T92" i="3"/>
  <c r="U92" i="3" s="1"/>
  <c r="Q92" i="3"/>
  <c r="P92" i="3"/>
  <c r="I10" i="2"/>
  <c r="T22" i="3"/>
  <c r="U22" i="3" s="1"/>
  <c r="Q22" i="3"/>
  <c r="F23" i="2"/>
  <c r="T97" i="3"/>
  <c r="U97" i="3" s="1"/>
  <c r="Q97" i="3"/>
  <c r="H23" i="2"/>
  <c r="T99" i="3"/>
  <c r="U99" i="3" s="1"/>
  <c r="Q99" i="3"/>
  <c r="G11" i="2"/>
  <c r="T26" i="3"/>
  <c r="U26" i="3"/>
  <c r="Q26" i="3"/>
  <c r="J16" i="2"/>
  <c r="Q59" i="3"/>
  <c r="T59" i="3"/>
  <c r="U59" i="3" s="1"/>
  <c r="P6" i="3"/>
  <c r="U6" i="3" s="1"/>
  <c r="F8" i="2"/>
  <c r="T7" i="3"/>
  <c r="U7" i="3" s="1"/>
  <c r="Q7" i="3"/>
  <c r="I18" i="2"/>
  <c r="T70" i="3"/>
  <c r="U70" i="3" s="1"/>
  <c r="Q70" i="3"/>
  <c r="J21" i="2"/>
  <c r="T89" i="3"/>
  <c r="U89" i="3" s="1"/>
  <c r="Q89" i="3"/>
  <c r="H25" i="2"/>
  <c r="U111" i="3"/>
  <c r="T111" i="3"/>
  <c r="Q111" i="3"/>
  <c r="E12" i="2"/>
  <c r="T30" i="3"/>
  <c r="U30" i="3" s="1"/>
  <c r="Q30" i="3"/>
  <c r="G16" i="2"/>
  <c r="T56" i="3"/>
  <c r="U56" i="3" s="1"/>
  <c r="Q56" i="3"/>
  <c r="G18" i="2"/>
  <c r="U68" i="3"/>
  <c r="T68" i="3"/>
  <c r="Q68" i="3"/>
  <c r="P68" i="3"/>
  <c r="H8" i="2"/>
  <c r="T9" i="3"/>
  <c r="U9" i="3" s="1"/>
  <c r="Q9" i="3"/>
  <c r="J19" i="2"/>
  <c r="U77" i="3"/>
  <c r="T77" i="3"/>
  <c r="Q77" i="3"/>
  <c r="H19" i="2"/>
  <c r="T75" i="3"/>
  <c r="U75" i="3" s="1"/>
  <c r="Q75" i="3"/>
  <c r="P80" i="3"/>
  <c r="E15" i="2"/>
  <c r="T48" i="3"/>
  <c r="U48" i="3" s="1"/>
  <c r="Q48" i="3"/>
  <c r="P48" i="3"/>
  <c r="U185" i="3"/>
  <c r="Q185" i="3"/>
  <c r="T185" i="3"/>
  <c r="U179" i="3"/>
  <c r="Q179" i="3"/>
  <c r="T179" i="3"/>
  <c r="J27" i="2"/>
  <c r="Q125" i="3"/>
  <c r="T125" i="3"/>
  <c r="Q131" i="3"/>
  <c r="U131" i="3"/>
  <c r="T131" i="3"/>
  <c r="F24" i="2"/>
  <c r="Q103" i="3"/>
  <c r="T103" i="3"/>
  <c r="U103" i="3" s="1"/>
  <c r="F22" i="2"/>
  <c r="Q91" i="3"/>
  <c r="T91" i="3"/>
  <c r="U91" i="3" s="1"/>
  <c r="U172" i="3"/>
  <c r="Q172" i="3"/>
  <c r="T172" i="3"/>
  <c r="G9" i="2"/>
  <c r="T14" i="3"/>
  <c r="U14" i="3" s="1"/>
  <c r="Q14" i="3"/>
  <c r="T10" i="3"/>
  <c r="U10" i="3" s="1"/>
  <c r="I8" i="2"/>
  <c r="Q10" i="3"/>
  <c r="H18" i="2"/>
  <c r="T69" i="3"/>
  <c r="U69" i="3"/>
  <c r="Q69" i="3"/>
  <c r="P69" i="3"/>
  <c r="Q136" i="3"/>
  <c r="T136" i="3"/>
  <c r="U136" i="3"/>
  <c r="I20" i="2"/>
  <c r="T82" i="3"/>
  <c r="U82" i="3" s="1"/>
  <c r="Q82" i="3"/>
  <c r="F15" i="2"/>
  <c r="T49" i="3"/>
  <c r="Q49" i="3"/>
  <c r="U49" i="3"/>
  <c r="T54" i="3"/>
  <c r="U54" i="3" s="1"/>
  <c r="E16" i="2"/>
  <c r="Q54" i="3"/>
  <c r="P54" i="3"/>
  <c r="L16" i="2" s="1"/>
  <c r="U167" i="3"/>
  <c r="Q167" i="3"/>
  <c r="T167" i="3"/>
  <c r="I24" i="2"/>
  <c r="T106" i="3"/>
  <c r="U106" i="3" s="1"/>
  <c r="Q106" i="3"/>
  <c r="I16" i="2"/>
  <c r="U58" i="3"/>
  <c r="T58" i="3"/>
  <c r="Q58" i="3"/>
  <c r="U153" i="3"/>
  <c r="Q153" i="3"/>
  <c r="T153" i="3"/>
  <c r="L24" i="2"/>
  <c r="Q137" i="3"/>
  <c r="U137" i="3"/>
  <c r="T137" i="3"/>
  <c r="E21" i="2"/>
  <c r="Q84" i="3"/>
  <c r="T84" i="3"/>
  <c r="U84" i="3" s="1"/>
  <c r="U152" i="3"/>
  <c r="Q152" i="3"/>
  <c r="T152" i="3"/>
  <c r="E24" i="2"/>
  <c r="T102" i="3"/>
  <c r="U102" i="3" s="1"/>
  <c r="Q102" i="3"/>
  <c r="E20" i="2"/>
  <c r="T78" i="3"/>
  <c r="U78" i="3" s="1"/>
  <c r="Q78" i="3"/>
  <c r="I14" i="2"/>
  <c r="T46" i="3"/>
  <c r="U46" i="3" s="1"/>
  <c r="Q46" i="3"/>
  <c r="P46" i="3"/>
  <c r="F14" i="2"/>
  <c r="T43" i="3"/>
  <c r="U43" i="3" s="1"/>
  <c r="Q43" i="3"/>
  <c r="H21" i="2"/>
  <c r="T87" i="3"/>
  <c r="U87" i="3" s="1"/>
  <c r="Q87" i="3"/>
  <c r="F21" i="2"/>
  <c r="T85" i="3"/>
  <c r="U85" i="3" s="1"/>
  <c r="Q85" i="3"/>
  <c r="G13" i="2"/>
  <c r="T38" i="3"/>
  <c r="U38" i="3" s="1"/>
  <c r="Q38" i="3"/>
  <c r="G12" i="2"/>
  <c r="T32" i="3"/>
  <c r="U32" i="3"/>
  <c r="Q32" i="3"/>
  <c r="F18" i="2"/>
  <c r="Q67" i="3"/>
  <c r="U67" i="3"/>
  <c r="T67" i="3"/>
  <c r="E9" i="2"/>
  <c r="T12" i="3"/>
  <c r="U12" i="3" s="1"/>
  <c r="Q12" i="3"/>
  <c r="U170" i="3"/>
  <c r="Q170" i="3"/>
  <c r="T170" i="3"/>
  <c r="H24" i="2"/>
  <c r="T105" i="3"/>
  <c r="U105" i="3" s="1"/>
  <c r="Q105" i="3"/>
  <c r="P105" i="3"/>
  <c r="U147" i="3"/>
  <c r="Q147" i="3"/>
  <c r="T147" i="3"/>
  <c r="F16" i="2"/>
  <c r="T55" i="3"/>
  <c r="Q55" i="3"/>
  <c r="U55" i="3"/>
  <c r="U143" i="3"/>
  <c r="Q143" i="3"/>
  <c r="T143" i="3"/>
  <c r="J15" i="2"/>
  <c r="T53" i="3"/>
  <c r="U53" i="3" s="1"/>
  <c r="Q53" i="3"/>
  <c r="L11" i="2"/>
  <c r="L19" i="2"/>
  <c r="E17" i="2"/>
  <c r="Q60" i="3"/>
  <c r="T60" i="3"/>
  <c r="U60" i="3" s="1"/>
  <c r="J18" i="2"/>
  <c r="Q71" i="3"/>
  <c r="U71" i="3"/>
  <c r="T71" i="3"/>
  <c r="U164" i="3"/>
  <c r="Q164" i="3"/>
  <c r="T164" i="3"/>
  <c r="G24" i="2"/>
  <c r="T104" i="3"/>
  <c r="U104" i="3" s="1"/>
  <c r="Q104" i="3"/>
  <c r="J8" i="2"/>
  <c r="T11" i="3"/>
  <c r="U11" i="3" s="1"/>
  <c r="Q11" i="3"/>
  <c r="U171" i="3"/>
  <c r="Q171" i="3"/>
  <c r="T171" i="3"/>
  <c r="U146" i="3"/>
  <c r="Q146" i="3"/>
  <c r="T146" i="3"/>
  <c r="J10" i="2"/>
  <c r="T23" i="3"/>
  <c r="U23" i="3" s="1"/>
  <c r="Q23" i="3"/>
  <c r="J17" i="2"/>
  <c r="T65" i="3"/>
  <c r="U65" i="3" s="1"/>
  <c r="Q65" i="3"/>
  <c r="Q83" i="3"/>
  <c r="J20" i="2"/>
  <c r="T83" i="3"/>
  <c r="U83" i="3" s="1"/>
  <c r="E25" i="2"/>
  <c r="Q108" i="3"/>
  <c r="T108" i="3"/>
  <c r="H20" i="2"/>
  <c r="T81" i="3"/>
  <c r="U81" i="3" s="1"/>
  <c r="Q81" i="3"/>
  <c r="P81" i="3"/>
  <c r="U183" i="3"/>
  <c r="Q183" i="3"/>
  <c r="T183" i="3"/>
  <c r="Q119" i="3"/>
  <c r="J26" i="2"/>
  <c r="T119" i="3"/>
  <c r="U119" i="3"/>
  <c r="E11" i="2"/>
  <c r="T24" i="3"/>
  <c r="U24" i="3" s="1"/>
  <c r="Q24" i="3"/>
  <c r="Q96" i="3"/>
  <c r="E23" i="2"/>
  <c r="T96" i="3"/>
  <c r="U96" i="3" s="1"/>
  <c r="E13" i="2"/>
  <c r="K13" i="2" s="1"/>
  <c r="T36" i="3"/>
  <c r="U36" i="3"/>
  <c r="Q36" i="3"/>
  <c r="G26" i="2"/>
  <c r="T116" i="3"/>
  <c r="U116" i="3" s="1"/>
  <c r="Q116" i="3"/>
  <c r="T47" i="3"/>
  <c r="J14" i="2"/>
  <c r="U47" i="3"/>
  <c r="Q47" i="3"/>
  <c r="F19" i="2"/>
  <c r="T73" i="3"/>
  <c r="U73" i="3" s="1"/>
  <c r="Q73" i="3"/>
  <c r="P65" i="3"/>
  <c r="J25" i="2"/>
  <c r="T113" i="3"/>
  <c r="U113" i="3" s="1"/>
  <c r="Q113" i="3"/>
  <c r="G14" i="2"/>
  <c r="T44" i="3"/>
  <c r="U44" i="3" s="1"/>
  <c r="Q44" i="3"/>
  <c r="H15" i="2"/>
  <c r="T51" i="3"/>
  <c r="U51" i="3" s="1"/>
  <c r="Q51" i="3"/>
  <c r="P51" i="3"/>
  <c r="U145" i="3"/>
  <c r="Q145" i="3"/>
  <c r="T145" i="3"/>
  <c r="U158" i="3"/>
  <c r="Q158" i="3"/>
  <c r="T158" i="3"/>
  <c r="I22" i="2"/>
  <c r="T94" i="3"/>
  <c r="U94" i="3" s="1"/>
  <c r="Q94" i="3"/>
  <c r="Q129" i="3"/>
  <c r="T129" i="3"/>
  <c r="U129" i="3"/>
  <c r="U140" i="3"/>
  <c r="Q140" i="3"/>
  <c r="T140" i="3"/>
  <c r="H26" i="2"/>
  <c r="T117" i="3"/>
  <c r="U117" i="3"/>
  <c r="Q117" i="3"/>
  <c r="P117" i="3"/>
  <c r="L26" i="2" s="1"/>
  <c r="U182" i="3"/>
  <c r="Q182" i="3"/>
  <c r="T182" i="3"/>
  <c r="I15" i="2"/>
  <c r="T52" i="3"/>
  <c r="Q52" i="3"/>
  <c r="U52" i="3"/>
  <c r="P125" i="3"/>
  <c r="U125" i="3" s="1"/>
  <c r="E19" i="2"/>
  <c r="Q72" i="3"/>
  <c r="T72" i="3"/>
  <c r="U72" i="3" s="1"/>
  <c r="E14" i="2"/>
  <c r="T42" i="3"/>
  <c r="U42" i="3" s="1"/>
  <c r="Q42" i="3"/>
  <c r="F11" i="2"/>
  <c r="T25" i="3"/>
  <c r="U25" i="3" s="1"/>
  <c r="Q25" i="3"/>
  <c r="U142" i="3"/>
  <c r="Q142" i="3"/>
  <c r="T142" i="3"/>
  <c r="U154" i="3"/>
  <c r="Q154" i="3"/>
  <c r="T154" i="3"/>
  <c r="G15" i="2"/>
  <c r="T50" i="3"/>
  <c r="U50" i="3"/>
  <c r="Q50" i="3"/>
  <c r="P44" i="3"/>
  <c r="L14" i="2" s="1"/>
  <c r="P23" i="3"/>
  <c r="L10" i="2" s="1"/>
  <c r="P67" i="3"/>
  <c r="L18" i="2" s="1"/>
  <c r="P108" i="3"/>
  <c r="L25" i="2" s="1"/>
  <c r="G8" i="2"/>
  <c r="T8" i="3"/>
  <c r="U8" i="3" s="1"/>
  <c r="Q8" i="3"/>
  <c r="Q100" i="3" l="1"/>
  <c r="I23" i="2"/>
  <c r="T100" i="3"/>
  <c r="U100" i="3" s="1"/>
  <c r="U108" i="3"/>
  <c r="K12" i="2"/>
  <c r="K10" i="2"/>
  <c r="K16" i="2"/>
  <c r="K25" i="2"/>
  <c r="L20" i="2"/>
  <c r="G23" i="2"/>
  <c r="G46" i="2" s="1"/>
  <c r="Q98" i="3"/>
  <c r="T98" i="3"/>
  <c r="U98" i="3" s="1"/>
  <c r="Q64" i="3"/>
  <c r="P64" i="3"/>
  <c r="L17" i="2" s="1"/>
  <c r="I17" i="2"/>
  <c r="I46" i="2" s="1"/>
  <c r="T64" i="3"/>
  <c r="U64" i="3" s="1"/>
  <c r="L22" i="2"/>
  <c r="K27" i="2"/>
  <c r="K26" i="2"/>
  <c r="K20" i="2"/>
  <c r="E46" i="2"/>
  <c r="E43" i="2"/>
  <c r="E45" i="2"/>
  <c r="E47" i="2"/>
  <c r="E44" i="2"/>
  <c r="K8" i="2"/>
  <c r="K18" i="2"/>
  <c r="N13" i="2"/>
  <c r="N22" i="2"/>
  <c r="N10" i="2"/>
  <c r="F46" i="2"/>
  <c r="F43" i="2"/>
  <c r="F45" i="2"/>
  <c r="F47" i="2"/>
  <c r="F44" i="2"/>
  <c r="K14" i="2"/>
  <c r="L15" i="2"/>
  <c r="K5" i="2"/>
  <c r="L8" i="2"/>
  <c r="K21" i="2"/>
  <c r="K9" i="2"/>
  <c r="H47" i="2"/>
  <c r="H44" i="2"/>
  <c r="H45" i="2"/>
  <c r="H46" i="2"/>
  <c r="H43" i="2"/>
  <c r="K11" i="2"/>
  <c r="L27" i="2"/>
  <c r="K24" i="2"/>
  <c r="K22" i="2"/>
  <c r="K19" i="2"/>
  <c r="K15" i="2"/>
  <c r="J47" i="2"/>
  <c r="J44" i="2"/>
  <c r="J46" i="2"/>
  <c r="J43" i="2"/>
  <c r="J45" i="2"/>
  <c r="I44" i="2" l="1"/>
  <c r="I43" i="2"/>
  <c r="S5" i="2"/>
  <c r="N11" i="2"/>
  <c r="E5" i="2"/>
  <c r="I47" i="2"/>
  <c r="O5" i="2"/>
  <c r="N18" i="2"/>
  <c r="N17" i="2"/>
  <c r="K17" i="2"/>
  <c r="N12" i="2"/>
  <c r="N23" i="2"/>
  <c r="G5" i="2"/>
  <c r="N9" i="2"/>
  <c r="N19" i="2"/>
  <c r="I5" i="2"/>
  <c r="G44" i="2"/>
  <c r="K44" i="2" s="1"/>
  <c r="N8" i="2"/>
  <c r="N25" i="2"/>
  <c r="G43" i="2"/>
  <c r="K43" i="2" s="1"/>
  <c r="N14" i="2"/>
  <c r="G45" i="2"/>
  <c r="K45" i="2" s="1"/>
  <c r="N15" i="2"/>
  <c r="N20" i="2"/>
  <c r="K23" i="2"/>
  <c r="N21" i="2"/>
  <c r="N26" i="2"/>
  <c r="I45" i="2"/>
  <c r="N27" i="2"/>
  <c r="G47" i="2"/>
  <c r="K47" i="2" s="1"/>
  <c r="N24" i="2"/>
  <c r="N16" i="2"/>
  <c r="E48" i="2"/>
  <c r="K46" i="2"/>
  <c r="J48" i="2"/>
  <c r="F48" i="2"/>
  <c r="H48" i="2"/>
  <c r="I48" i="2" l="1"/>
  <c r="G48" i="2"/>
  <c r="K48" i="2"/>
</calcChain>
</file>

<file path=xl/sharedStrings.xml><?xml version="1.0" encoding="utf-8"?>
<sst xmlns="http://schemas.openxmlformats.org/spreadsheetml/2006/main" count="1405" uniqueCount="475">
  <si>
    <t>Guide</t>
  </si>
  <si>
    <t>The logic</t>
  </si>
  <si>
    <t>1</t>
  </si>
  <si>
    <t>Every use case is split into six process steps: Enrich, Triage, Contain, Eradicate, Recover, Notify. Autonomy belongs to an action in a step, not to a whole use case.</t>
  </si>
  <si>
    <t>2</t>
  </si>
  <si>
    <t>Each action is rated on reversibility (the guiding principle) and on blast radius. An action is only as reversible as its least reversible element.</t>
  </si>
  <si>
    <t>3</t>
  </si>
  <si>
    <t>The policy matrix turns that rating into the recommended level for each risk appetite. The recommendation is pure policy - the target picture. The appetite applies by default; a use case can carry its own appetite (its delegation profile).</t>
  </si>
  <si>
    <t>4</t>
  </si>
  <si>
    <t>You follow the recommendation or choose differently per step. A more cautious choice applies at once. A choice above policy stays visible as a target and releases with a recorded approval: Exception approved = Yes.</t>
  </si>
  <si>
    <t>5</t>
  </si>
  <si>
    <t>Three constraints decide the release candidate, what may run today: model confidence (High sets no ceiling; Medium and Low cap one or two levels below the policy level; floor L1; read-only steps are exempt), the readiness gate (not passed: hold at current; passed: state-changing steps climb one level, read-only steps release fully), and the non-waivable human-signature guardrail (state-changing irreversible or high-blast actions never release above L3, referenced to the Scales labels).</t>
  </si>
  <si>
    <t>6</t>
  </si>
  <si>
    <t>'Limited by' names the binding constraint: readiness gate, model confidence, exception not approved, human-signature guardrail, own choice - or none. When several bind at the same level, all are named, joined by +. A row with missing inputs says Incomplete assessment and computes no candidate.</t>
  </si>
  <si>
    <t>7</t>
  </si>
  <si>
    <t>How to use it</t>
  </si>
  <si>
    <t>Autonomy map</t>
  </si>
  <si>
    <t>Choose the default risk appetite and the scenario view in the two yellow cells. The heatmap, counters and chart recalculate. All counters follow the selected view.</t>
  </si>
  <si>
    <t>Use cases</t>
  </si>
  <si>
    <t>Set a different appetite for single use cases (yellow column). IDs must stay unique; the Integrity column warns about duplicates, and a duplicate key blanks the affected register rows.</t>
  </si>
  <si>
    <t>Register</t>
  </si>
  <si>
    <t>Readiness gate</t>
  </si>
  <si>
    <t>Policy</t>
  </si>
  <si>
    <t>Change the matrix if none of the three profiles fits your organisation (whole levels 0 to 4). The guardrail column warns above L3 for irreversible or high-blast state changes; the release guardrail in the Register is non-waivable. A configuration-integrity cell checks the matrix.</t>
  </si>
  <si>
    <t>Scales</t>
  </si>
  <si>
    <t>Definitions of levels, steps, reversibility, blast radius, model confidence, gate criteria and verdicts. The confidence adjustments are editable governance conventions; a config check marks missing or invalid values, which then cap at L1.</t>
  </si>
  <si>
    <t>How to read it</t>
  </si>
  <si>
    <t>Autonomy levels</t>
  </si>
  <si>
    <t>The briefing assigns L0 to L5 per use case. Here the same scale is read per process step, as the split of work between human and system in that step.</t>
  </si>
  <si>
    <t>Recommended level</t>
  </si>
  <si>
    <t>Pure policy: risk appetite, reversibility, blast radius. This is the target picture. Confidence does not lower it - an ambitious target stays visible as a target.</t>
  </si>
  <si>
    <t>Model confidence</t>
  </si>
  <si>
    <t>Rated per task type. High means proven and calibrated and sets no ceiling; Medium and Low cap the release candidate below the policy level. A missing or unknown rating, or a broken adjustment on Scales, caps at L1: less evidence never produces more autonomy.</t>
  </si>
  <si>
    <t>Release candidate</t>
  </si>
  <si>
    <t>What may run today in the standard context, after confidence ceiling, gate allowance and the human-signature guardrail. Read-only steps are exempt from confidence and from one-level staging: once the gate passes, they release fully (briefing, slide 7). It remains a candidate: formal authorization stays with the Control Tower (slide 17), and the tool assumes actions, accesses and data uses are already permitted.</t>
  </si>
  <si>
    <t>Critical assets</t>
  </si>
  <si>
    <t>A target sensitivity view: production and business-critical services, board and VIP accounts, OT, supplier connections. Every row counts as High blast radius and shows the lower level.</t>
  </si>
  <si>
    <t>First human gate</t>
  </si>
  <si>
    <t>The first step in the chain that needs a human in this view. It assumes a linear path; a runtime response may branch or notify earlier.</t>
  </si>
  <si>
    <t>L5</t>
  </si>
  <si>
    <t>Self-improving is not part of the map. It stays in test and detection engineering.</t>
  </si>
  <si>
    <t>Cell colours</t>
  </si>
  <si>
    <t>Yellow fill</t>
  </si>
  <si>
    <t>Your decisions: risk appetite, scenario view, appetite per use case, your own level, exception approval, current level.</t>
  </si>
  <si>
    <t>Blue text</t>
  </si>
  <si>
    <t>Pre-filled content that you can edit: actions, ratings, confidence, policy values, definitions, gate answers.</t>
  </si>
  <si>
    <t>Black text</t>
  </si>
  <si>
    <t>Calculated. Do not overwrite. Colour reinforces the text; it never carries the meaning alone.</t>
  </si>
  <si>
    <t>Extending</t>
  </si>
  <si>
    <t>New use case</t>
  </si>
  <si>
    <t>Rows are prepared for UC21 to UC30: add name and domain on Use cases, fill the six prepared Register rows (action, ratings, confidence, current level) and answer the gate. The map fills itself.</t>
  </si>
  <si>
    <t>Capacity</t>
  </si>
  <si>
    <t>Supported capacity is 30 use cases. Beyond UC30, add rows on all four sheets and extend every named range and row bound - copying rows alone is not enough.</t>
  </si>
  <si>
    <t>Renaming</t>
  </si>
  <si>
    <t>Change a class or step name on Scales and reselect it where used. Calculations reference the Scales cells, so renaming is safe everywhere, including the guardrail. The map marks duplicate use-case-step pairs as Dup. instead of summing levels.</t>
  </si>
  <si>
    <t>Pre-filled content and sources</t>
  </si>
  <si>
    <t>Ratings</t>
  </si>
  <si>
    <t>All actions and ratings are a starting proposal built from the twenty playbooks of the briefing (slides 11 and 15). They assume standard assets and are not a standard.</t>
  </si>
  <si>
    <t>Three corrections</t>
  </si>
  <si>
    <t>UC01 and UC02 Contain read blast radius Medium: quarantine across all mailboxes is not 'one mailbox' by the tool's own definition. UC02 carries Progressive, same as UC01: the briefing gives the whole mail class a high delegation profile and says quarantine and mass remediation can run fully automatically (slides 9, 15, 16).</t>
  </si>
  <si>
    <t>Confidence</t>
  </si>
  <si>
    <t>Model confidence is an illustrative starting point and a chosen governance rule, not a measurement. Replace it with evidence: precision and false-positive rates per detection, and calibration checks after every model or prompt change (briefing, slide 14).</t>
  </si>
  <si>
    <t>Policy values</t>
  </si>
  <si>
    <t>The matrix follows the briefing: L3 to L4 for common incidents, L2 to L3 for highly critical ones; irreversible and business-critical actions need a human signature (slides 3, 4 and 15).</t>
  </si>
  <si>
    <t>Appetite examples</t>
  </si>
  <si>
    <t>UC01 and UC02 are set to Progressive and UC20 to Conservative, following the briefing's delegation intents (slide 16).</t>
  </si>
  <si>
    <t>Readiness criteria</t>
  </si>
  <si>
    <t>The six gate criteria come from the readiness gate of the briefing (slide 16). Criterion 2 asks for a documented and tested rollback path; reversibility itself is already rated per step.</t>
  </si>
  <si>
    <t>Current levels</t>
  </si>
  <si>
    <t>Known next step</t>
  </si>
  <si>
    <t>Reversibility is still a label, not a demonstrated property. A recovery field - detection plus halt plus recovery within the business tolerance window, with an evidence reference - is the deliberate next iteration.</t>
  </si>
  <si>
    <t>SOC Autonomy Map</t>
  </si>
  <si>
    <t>Risk appetite (default)</t>
  </si>
  <si>
    <t>Balanced</t>
  </si>
  <si>
    <t>Runs autonomously (L4)</t>
  </si>
  <si>
    <t>Human approves (L3)</t>
  </si>
  <si>
    <t>Human decides (L0 to L2)</t>
  </si>
  <si>
    <t>Choices above policy</t>
  </si>
  <si>
    <t>Readiness gates passed</t>
  </si>
  <si>
    <t>Steps not fully released</t>
  </si>
  <si>
    <t>Incomplete rows</t>
  </si>
  <si>
    <t>Current above permitted</t>
  </si>
  <si>
    <t>Scenario view</t>
  </si>
  <si>
    <t>ID</t>
  </si>
  <si>
    <t>Use case</t>
  </si>
  <si>
    <t>Domain</t>
  </si>
  <si>
    <t>Appetite</t>
  </si>
  <si>
    <t>Above policy</t>
  </si>
  <si>
    <t>Legend</t>
  </si>
  <si>
    <t>First step that needs a human in this view</t>
  </si>
  <si>
    <t>Level distribution by process step (this view)</t>
  </si>
  <si>
    <t>Level</t>
  </si>
  <si>
    <t>All steps</t>
  </si>
  <si>
    <t>Share running autonomously (L4) - distribution of assessed step rows, not of incidents</t>
  </si>
  <si>
    <t>One row per use case and process step. The recommended level is pure policy: risk appetite, reversibility, blast radius. Model confidence, the readiness gate and a non-waivable human-signature guardrail decide the release candidate.</t>
  </si>
  <si>
    <t>A row is rated by its least reversible element. An above-policy choice stays visible as a target and releases with a recorded approval (Exception approved = Yes). Formal authorization itself stays with the Control Tower (briefing, slide 17).</t>
  </si>
  <si>
    <t>Step</t>
  </si>
  <si>
    <t>Typical action</t>
  </si>
  <si>
    <t>Reversibility</t>
  </si>
  <si>
    <t>Blast radius</t>
  </si>
  <si>
    <t>Recommended level (policy)</t>
  </si>
  <si>
    <t>Confidence adjustment</t>
  </si>
  <si>
    <t>Confidence ceiling</t>
  </si>
  <si>
    <t>Your choice</t>
  </si>
  <si>
    <t>Exception approved</t>
  </si>
  <si>
    <t>Level applied (target)</t>
  </si>
  <si>
    <t>Check</t>
  </si>
  <si>
    <t>Level on critical assets</t>
  </si>
  <si>
    <t>Current level today</t>
  </si>
  <si>
    <t>Limited by</t>
  </si>
  <si>
    <t>Notes</t>
  </si>
  <si>
    <t>UC01</t>
  </si>
  <si>
    <t>Enrich</t>
  </si>
  <si>
    <t>Analyse headers, URLs and sender reputation; identify all recipients and who clicked.</t>
  </si>
  <si>
    <t>No state change</t>
  </si>
  <si>
    <t>Low</t>
  </si>
  <si>
    <t>High</t>
  </si>
  <si>
    <t>Triage</t>
  </si>
  <si>
    <t>Classify the reported mail and decide whether it is part of a campaign.</t>
  </si>
  <si>
    <t>Fully reversible</t>
  </si>
  <si>
    <t>Contain</t>
  </si>
  <si>
    <t>Quarantine the mail across all mailboxes; block sender, domain and URL.</t>
  </si>
  <si>
    <t>Medium</t>
  </si>
  <si>
    <t>Eradicate</t>
  </si>
  <si>
    <t>Remove the campaign from all mailboxes (soft delete); block look-alike domains.</t>
  </si>
  <si>
    <t>Recover</t>
  </si>
  <si>
    <t>Release wrongly quarantined mails; remove blocks once the campaign has ended.</t>
  </si>
  <si>
    <t>Notify</t>
  </si>
  <si>
    <t>Inform reporters and affected users; issue a campaign warning.</t>
  </si>
  <si>
    <t>UC02</t>
  </si>
  <si>
    <t>Detonate the attachment in a sandbox; extract indicators; find recipients and executions.</t>
  </si>
  <si>
    <t>Derive the verdict from detonation behaviour: malicious, suspicious or benign.</t>
  </si>
  <si>
    <t>Quarantine the mail in all mailboxes; block file hash and callback domains.</t>
  </si>
  <si>
    <t>Delete the attachment from mailboxes and file shares; clean endpoints that executed it.</t>
  </si>
  <si>
    <t>Reversible with effort</t>
  </si>
  <si>
    <t>Release the mail after a benign verdict; lift hash and domain blocks.</t>
  </si>
  <si>
    <t>Inform recipients who opened the attachment and their IT support.</t>
  </si>
  <si>
    <t>UC03</t>
  </si>
  <si>
    <t>Collect publisher, granted scopes, consenting users and API activity of the app.</t>
  </si>
  <si>
    <t>Classify the app as malicious, risky or legitimate.</t>
  </si>
  <si>
    <t>Disable the app; revoke the OAuth grant and its tokens.</t>
  </si>
  <si>
    <t>Remove the app tenant-wide; delete rules and data shares it created.</t>
  </si>
  <si>
    <t>Re-enable the app after verification; restore removed settings.</t>
  </si>
  <si>
    <t>Inform consenting users and the application owner.</t>
  </si>
  <si>
    <t>UC04</t>
  </si>
  <si>
    <t>Collect sign-in history, device, location and context of the new factor.</t>
  </si>
  <si>
    <t>Decide whether the registration was user-initiated or attacker-controlled.</t>
  </si>
  <si>
    <t>Block the new factor, revoke active sessions and require step-up authentication.</t>
  </si>
  <si>
    <t>Remove the factor, reset the password and re-enrol MFA after identity proofing.</t>
  </si>
  <si>
    <t>Restore normal access once the user's identity is verified.</t>
  </si>
  <si>
    <t>Inform the user and the service desk.</t>
  </si>
  <si>
    <t>UC05</t>
  </si>
  <si>
    <t>Collect privileged sessions, executed commands, PAM check-outs and change tickets.</t>
  </si>
  <si>
    <t>Classify the anomaly: approved change, misuse or compromise.</t>
  </si>
  <si>
    <t>Freeze the privileged session; suspend the account or its PAM check-out.</t>
  </si>
  <si>
    <t>Rotate credentials and secrets within reach of the account; remove persistence.</t>
  </si>
  <si>
    <t>Reinstate the privileged account after verification and a clean review.</t>
  </si>
  <si>
    <t>Inform account owner, system owners and the CISO.</t>
  </si>
  <si>
    <t>UC06</t>
  </si>
  <si>
    <t>Correlate token use across IPs, devices and locations; list accessed resources.</t>
  </si>
  <si>
    <t>Decide whether the session is replayed from an attacker-controlled device.</t>
  </si>
  <si>
    <t>Revoke sessions and refresh tokens; force re-authentication with MFA.</t>
  </si>
  <si>
    <t>Reset credentials; remove attacker-registered devices, factors and inbox rules.</t>
  </si>
  <si>
    <t>Restore access on a compliant device after re-authentication.</t>
  </si>
  <si>
    <t>Inform the user and the owners of the data that was accessed.</t>
  </si>
  <si>
    <t>UC07</t>
  </si>
  <si>
    <t>Collect process tree, file hashes, persistence and network connections from EDR.</t>
  </si>
  <si>
    <t>Classify the detection: commodity malware, targeted tooling or false positive.</t>
  </si>
  <si>
    <t>Isolate the endpoint from the network; kill the process and quarantine the file.</t>
  </si>
  <si>
    <t>Irreversible</t>
  </si>
  <si>
    <t>Release the endpoint from isolation after a clean scan.</t>
  </si>
  <si>
    <t>Inform the user and local IT support.</t>
  </si>
  <si>
    <t>UC08</t>
  </si>
  <si>
    <t>Collect precursor signals: shadow copy deletion, mass renames, backup tampering.</t>
  </si>
  <si>
    <t>Classify the pattern; when in doubt, treat it as malicious.</t>
  </si>
  <si>
    <t>Isolate the affected endpoint at once; suspend the user account.</t>
  </si>
  <si>
    <t>Reimage affected systems; rotate credentials that were exposed on them.</t>
  </si>
  <si>
    <t>Restore data from backup and return systems to operation.</t>
  </si>
  <si>
    <t>Start regulatory clocks; notify authorities and affected parties (NIS2, DORA, GDPR).</t>
  </si>
  <si>
    <t>UC09</t>
  </si>
  <si>
    <t>Correlate beacon pattern, destination reputation and the originating process.</t>
  </si>
  <si>
    <t>Decide whether the traffic is command and control or a benign periodic service.</t>
  </si>
  <si>
    <t>Block the confirmed destination domain or IP; isolate the beaconing host.</t>
  </si>
  <si>
    <t>Release the host after verification; keep the destination blocked.</t>
  </si>
  <si>
    <t>Inform the asset owner and the threat intelligence team.</t>
  </si>
  <si>
    <t>UC10</t>
  </si>
  <si>
    <t>Decode the command line; collect parent process, user context and script content.</t>
  </si>
  <si>
    <t>Separate admin activity and software deployment from a hands-on-keyboard attack.</t>
  </si>
  <si>
    <t>Terminate the process; isolate the host; suspend the user session.</t>
  </si>
  <si>
    <t>Remove scripts, scheduled tasks and other persistence; reset the user's credentials.</t>
  </si>
  <si>
    <t>Release the host; re-enable the session after verification.</t>
  </si>
  <si>
    <t>Inform the user, the asset owner and IT operations.</t>
  </si>
  <si>
    <t>UC11</t>
  </si>
  <si>
    <t>Quantify volume, destination, data classification and the user's recent behaviour.</t>
  </si>
  <si>
    <t>Decide whether the transfer is sanctioned business use or exfiltration.</t>
  </si>
  <si>
    <t>Block the upload destination; suspend the user's sessions and sync client.</t>
  </si>
  <si>
    <t>Revoke external shares; request deletion of the data at the destination.</t>
  </si>
  <si>
    <t>Restore the user's access under a tightened DLP policy.</t>
  </si>
  <si>
    <t>Inform data owner and DPO; notify the supervisory authority if personal data is affected.</t>
  </si>
  <si>
    <t>UC12</t>
  </si>
  <si>
    <t>List shared items, recipients, link types and data classification.</t>
  </si>
  <si>
    <t>Classify the sharing as business as usual, careless or malicious.</t>
  </si>
  <si>
    <t>Disable public links; suspend external sharing for the affected items.</t>
  </si>
  <si>
    <t>Remove external collaborators and delete the links permanently.</t>
  </si>
  <si>
    <t>Re-share with verified recipients at the owner's request.</t>
  </si>
  <si>
    <t>Inform the file owner and the data owner.</t>
  </si>
  <si>
    <t>UC13</t>
  </si>
  <si>
    <t>Identify the key, its owner and permissions; review its use since the exposure.</t>
  </si>
  <si>
    <t>Decide whether the key is live and whether a third party has used it.</t>
  </si>
  <si>
    <t>Deactivate the leaked key; attach a deny policy to the identity.</t>
  </si>
  <si>
    <t>Rotate the key and dependent secrets; remove resources the attacker created.</t>
  </si>
  <si>
    <t>Deploy the new key to all workloads and confirm that they run.</t>
  </si>
  <si>
    <t>Inform key owner and platform team; have the secret removed from the public source.</t>
  </si>
  <si>
    <t>UC14</t>
  </si>
  <si>
    <t>Identify the bucket, its owner and data classification; review access logs.</t>
  </si>
  <si>
    <t>Decide whether public access is intended (website, open data) or a misconfiguration.</t>
  </si>
  <si>
    <t>Block public access on the bucket or container.</t>
  </si>
  <si>
    <t>Correct the access policy in infrastructure as code; remove exposed data copies.</t>
  </si>
  <si>
    <t>Re-open intended public access through an approved exception.</t>
  </si>
  <si>
    <t>Inform data owner and DPO; notify the supervisory authority if personal data was accessed.</t>
  </si>
  <si>
    <t>UC15</t>
  </si>
  <si>
    <t>Map affected assets, internet reachability, exploit availability and business criticality.</t>
  </si>
  <si>
    <t>Prioritise by exposure and criticality; create tickets with evidence and owners.</t>
  </si>
  <si>
    <t>Apply compensating controls: WAF rule, virtual patch or restricted access.</t>
  </si>
  <si>
    <t>Deploy the patch or upgrade through an emergency change.</t>
  </si>
  <si>
    <t>Remove compensating controls once the patch is verified.</t>
  </si>
  <si>
    <t>Inform asset owners and management about exposure and deadline.</t>
  </si>
  <si>
    <t>UC16</t>
  </si>
  <si>
    <t>Identify creator, source, assigned roles and the matching change ticket.</t>
  </si>
  <si>
    <t>Decide whether the account is an approved change or attacker persistence.</t>
  </si>
  <si>
    <t>Disable the new account and remove its privileged roles.</t>
  </si>
  <si>
    <t>Delete the account; reset the creating account and review everything it changed.</t>
  </si>
  <si>
    <t>Re-enable the account if the change proves legitimate.</t>
  </si>
  <si>
    <t>Inform the IAM team and the owner of the creating account.</t>
  </si>
  <si>
    <t>UC17</t>
  </si>
  <si>
    <t>Build the path: source, target, credentials and protocols used; map reachable assets.</t>
  </si>
  <si>
    <t>Separate admin and scanner activity from attacker movement.</t>
  </si>
  <si>
    <t>Isolate source and target hosts; disable the credentials in use.</t>
  </si>
  <si>
    <t>Reset affected credentials including service accounts; tighten segmentation rules.</t>
  </si>
  <si>
    <t>Release hosts and re-enable accounts in stages after verification.</t>
  </si>
  <si>
    <t>Inform system owners and the incident manager.</t>
  </si>
  <si>
    <t>UC18</t>
  </si>
  <si>
    <t>Analyse query volume, entropy and domain age; identify the source process.</t>
  </si>
  <si>
    <t>Decide whether the pattern is tunneling or a legitimate service (CDN, security tool).</t>
  </si>
  <si>
    <t>Sinkhole or block the domain; isolate the source host.</t>
  </si>
  <si>
    <t>Remove the tunneling tool and its persistence from the host.</t>
  </si>
  <si>
    <t>Release the host; remove the block if the domain proves legitimate.</t>
  </si>
  <si>
    <t>Inform the asset owner and the network team.</t>
  </si>
  <si>
    <t>UC19</t>
  </si>
  <si>
    <t>Identify the AI service, the uploaded content, its classification and the user.</t>
  </si>
  <si>
    <t>Classify by data sensitivity and by whether the service is approved.</t>
  </si>
  <si>
    <t>Block the unapproved AI service or browser extension for the user.</t>
  </si>
  <si>
    <t>Request deletion from the provider; remove the extension across the fleet.</t>
  </si>
  <si>
    <t>Lift the block once the user has moved to the approved service.</t>
  </si>
  <si>
    <t>Inform the user, the line manager and the DPO (personnel-relevant).</t>
  </si>
  <si>
    <t>UC20</t>
  </si>
  <si>
    <t>Collect the supplier's access paths, accounts, integrations and recent activity.</t>
  </si>
  <si>
    <t>Assess the credibility of the signal and the exposure of the own environment.</t>
  </si>
  <si>
    <t>Suspend supplier accounts and block the supplier connection.</t>
  </si>
  <si>
    <t>Rotate shared secrets and API keys; review changes made through supplier access.</t>
  </si>
  <si>
    <t>Restore the connection after the supplier has attested remediation.</t>
  </si>
  <si>
    <t>Contact the supplier; inform procurement and legal; assess regulatory notification.</t>
  </si>
  <si>
    <t>UC21</t>
  </si>
  <si>
    <t>UC22</t>
  </si>
  <si>
    <t>UC23</t>
  </si>
  <si>
    <t>UC24</t>
  </si>
  <si>
    <t>UC25</t>
  </si>
  <si>
    <t>UC26</t>
  </si>
  <si>
    <t>UC27</t>
  </si>
  <si>
    <t>UC28</t>
  </si>
  <si>
    <t>UC29</t>
  </si>
  <si>
    <t>UC30</t>
  </si>
  <si>
    <t>One row per playbook. Leave the yellow cell empty to apply the default appetite from the map; set it to give this use case its own delegation profile. Rows 25-34 (UC21-UC30) are prepared for new playbooks; IDs must stay unique.</t>
  </si>
  <si>
    <t>Appetite for this use case</t>
  </si>
  <si>
    <t>Appetite applied</t>
  </si>
  <si>
    <t>Integrity</t>
  </si>
  <si>
    <t>Phishing campaign containment</t>
  </si>
  <si>
    <t>Email and collaboration</t>
  </si>
  <si>
    <t>Progressive</t>
  </si>
  <si>
    <t>Briefing: high autonomy budget for mail quarantine; quarantine and mass remediation can run fully automatically.</t>
  </si>
  <si>
    <t>Malicious attachment detonation and mailbox clean-up</t>
  </si>
  <si>
    <t>Briefing: quarantine and mass remediation can run fully automatically (slides 9 and 15); the mail class carries a high delegation profile (slide 16). Blast radius stays Medium by the tool's own definition - the appetite, not the rating, carries the intent.</t>
  </si>
  <si>
    <t>OAuth consent abuse</t>
  </si>
  <si>
    <t>Identity</t>
  </si>
  <si>
    <t>Suspicious MFA registration</t>
  </si>
  <si>
    <t>Privileged account anomaly</t>
  </si>
  <si>
    <t>Token theft and replay</t>
  </si>
  <si>
    <t>Endpoint malware containment</t>
  </si>
  <si>
    <t>Endpoint</t>
  </si>
  <si>
    <t>Early ransomware indicators</t>
  </si>
  <si>
    <t>C2 beaconing</t>
  </si>
  <si>
    <t>Network</t>
  </si>
  <si>
    <t>Suspicious PowerShell or LOLBin activity</t>
  </si>
  <si>
    <t>Data exfiltration via cloud storage</t>
  </si>
  <si>
    <t>Data</t>
  </si>
  <si>
    <t>Unusual SaaS sharing</t>
  </si>
  <si>
    <t>Cloud key leak</t>
  </si>
  <si>
    <t>Cloud</t>
  </si>
  <si>
    <t>Public S3 or blob exposure</t>
  </si>
  <si>
    <t>New internet-exposed critical CVE</t>
  </si>
  <si>
    <t>Exposure</t>
  </si>
  <si>
    <t>Suspicious admin creation</t>
  </si>
  <si>
    <t>Lateral movement indicators</t>
  </si>
  <si>
    <t>DNS tunneling</t>
  </si>
  <si>
    <t>Shadow AI data leakage</t>
  </si>
  <si>
    <t>Supplier compromise signal</t>
  </si>
  <si>
    <t>Third party</t>
  </si>
  <si>
    <t>Conservative</t>
  </si>
  <si>
    <t>Briefing: very low autonomy budget for supplier connections.</t>
  </si>
  <si>
    <t>Signal &amp; context quality</t>
  </si>
  <si>
    <t>Rollback path documented &amp; tested</t>
  </si>
  <si>
    <t>Evidence capture before action</t>
  </si>
  <si>
    <t>Outcome verification</t>
  </si>
  <si>
    <t>Cost per incident in budget</t>
  </si>
  <si>
    <t>Resilience &amp; degraded mode</t>
  </si>
  <si>
    <t>Result</t>
  </si>
  <si>
    <t>Yes</t>
  </si>
  <si>
    <t>No</t>
  </si>
  <si>
    <t>Risk appetite policy</t>
  </si>
  <si>
    <t>Maximum autonomy level for each combination of reversibility and blast radius. This matrix is the policy: edit the values in the three profile columns to define your own appetite.</t>
  </si>
  <si>
    <t>Guardrail check</t>
  </si>
  <si>
    <t>Lookup key (helper)</t>
  </si>
  <si>
    <t>How to read it: 0 = L0 Manual, 1 = L1 Assisted, 2 = L2 AI-recommended, 3 = L3 Human-approved, 4 = L4 Autonomous (see sheet Scales).</t>
  </si>
  <si>
    <t>Guardrail from the briefing: irreversible and business-critical actions need a human signature. The check flags any row where a profile allows L4 for an irreversible action or a high blast radius (read-only actions are exempt).</t>
  </si>
  <si>
    <t>The profile names in C4:E4 can be renamed; they feed the appetite dropdowns. After renaming, reselect the appetite on the map and on the sheet Use cases.</t>
  </si>
  <si>
    <t>The values are a starting proposal derived from the briefing (L3 to L4 for common incidents, L2 to L3 for highly critical ones). They are not a standard.</t>
  </si>
  <si>
    <t>Model confidence does not change this matrix. The recommended level is pure policy. Confidence caps the release candidate in the Register: High sets no ceiling, Medium and Low cap one or two levels below the policy level (floor L1); read-only steps are exempt. The human-signature rule is enforced there as a non-waivable ceiling, referenced to the Scales cells.</t>
  </si>
  <si>
    <t>Configuration integrity</t>
  </si>
  <si>
    <t>Scales and definitions</t>
  </si>
  <si>
    <t>The vocabulary of the tool. Labels feed the dropdowns and lookups on the other sheets; blue text is a pre-filled proposal you can edit. Calculations reference these cells, so renaming a class is safe everywhere, including the release guardrail.</t>
  </si>
  <si>
    <t>1   Autonomy levels</t>
  </si>
  <si>
    <t>Label</t>
  </si>
  <si>
    <t>Name in the briefing</t>
  </si>
  <si>
    <t>Who decides</t>
  </si>
  <si>
    <t>Who executes</t>
  </si>
  <si>
    <t>Meaning for a single process step</t>
  </si>
  <si>
    <t>L0 Manual</t>
  </si>
  <si>
    <t>Manual</t>
  </si>
  <si>
    <t>Human</t>
  </si>
  <si>
    <t>The analyst investigates and acts. The system only records.</t>
  </si>
  <si>
    <t>L1 Assisted</t>
  </si>
  <si>
    <t>Automated enrichment</t>
  </si>
  <si>
    <t>The system gathers evidence and context. It makes no recommendation.</t>
  </si>
  <si>
    <t>L2 AI-recommended</t>
  </si>
  <si>
    <t>AI-assisted decision</t>
  </si>
  <si>
    <t>Human, on an AI proposal</t>
  </si>
  <si>
    <t>The system proposes classification and next step. A human decides and carries it out.</t>
  </si>
  <si>
    <t>L3 Human-approved</t>
  </si>
  <si>
    <t>Approved automation</t>
  </si>
  <si>
    <t>Human approves</t>
  </si>
  <si>
    <t>System</t>
  </si>
  <si>
    <t>The system prepares the action, a human approves, the system executes.</t>
  </si>
  <si>
    <t>L4 Autonomous</t>
  </si>
  <si>
    <t>Conditionally autonomous</t>
  </si>
  <si>
    <t>System, within guardrails</t>
  </si>
  <si>
    <t>The system acts within pre-approved guardrails. A human is informed and can roll back.</t>
  </si>
  <si>
    <t>L5 Self-improving</t>
  </si>
  <si>
    <t>Self-improving</t>
  </si>
  <si>
    <t>Pipeline</t>
  </si>
  <si>
    <t>Not selectable in this tool. Stays in test and detection engineering, never straight into production.</t>
  </si>
  <si>
    <t>2   Process steps</t>
  </si>
  <si>
    <t>No.</t>
  </si>
  <si>
    <t>What happens</t>
  </si>
  <si>
    <t>Collect evidence and context for the case. Nothing in the environment changes.</t>
  </si>
  <si>
    <t>Classify, prioritise and route the case. The verdict can be revised and the case reopened.</t>
  </si>
  <si>
    <t>Stop the spread: isolate, block, suspend, revoke.</t>
  </si>
  <si>
    <t>Remove the cause: delete, reset, rotate, patch, reimage.</t>
  </si>
  <si>
    <t>Return to normal operation and lift containment.</t>
  </si>
  <si>
    <t>Inform owners, users, management, suppliers and authorities.</t>
  </si>
  <si>
    <t>3   Reversibility (the guiding principle)</t>
  </si>
  <si>
    <t>Class</t>
  </si>
  <si>
    <t>Definition</t>
  </si>
  <si>
    <t>Typical examples</t>
  </si>
  <si>
    <t>Read-only. Nothing in the environment changes.</t>
  </si>
  <si>
    <t>Enrichment, correlation, sandbox detonation, ticket creation, forensic collection</t>
  </si>
  <si>
    <t>The original state is back within minutes through one action and without lasting effect.</t>
  </si>
  <si>
    <t>Mail quarantine, endpoint isolation, session revocation, account suspension, blocking a domain, internal notification</t>
  </si>
  <si>
    <t>Can be undone, but it takes hours, coordination or leaves side effects.</t>
  </si>
  <si>
    <t>Credential reset, secret rotation, patching, permission and policy changes, restore from backup</t>
  </si>
  <si>
    <t>Cannot be undone once it has happened.</t>
  </si>
  <si>
    <t>Reimaging, permanent deletion, notification of authorities, customer and press communication, personnel-relevant messages</t>
  </si>
  <si>
    <t>4   Blast radius</t>
  </si>
  <si>
    <t>What is affected if the action turns out to be wrong</t>
  </si>
  <si>
    <t>One user, device, mailbox or non-critical asset.</t>
  </si>
  <si>
    <t>A standard laptop, a single mailbox, one user session</t>
  </si>
  <si>
    <t>Several users, a team or a non-critical service. Noticeable but contained.</t>
  </si>
  <si>
    <t>A department, a shared service account, a public bucket behind a website</t>
  </si>
  <si>
    <t>A business-critical service, or a legal or regulatory effect.</t>
  </si>
  <si>
    <t>Production workloads, board and VIP accounts, OT, supplier connections, notifications to authorities</t>
  </si>
  <si>
    <t>Blast radius describes the effect of a wrong action, not the severity of the incident. Ratings in the Register assume standard assets; for critical assets the tool treats every action as High.</t>
  </si>
  <si>
    <t>5   Model confidence</t>
  </si>
  <si>
    <t>Level adjustment</t>
  </si>
  <si>
    <t>Config check</t>
  </si>
  <si>
    <t>What it means</t>
  </si>
  <si>
    <t>Proven on this task type: calibrated on our data, measured error rates, stable over time. No ceiling on the release candidate.</t>
  </si>
  <si>
    <t>Works, but a thin track record, drifting calibration or sparse evidence. The release candidate caps one level below the policy level.</t>
  </si>
  <si>
    <t>Unproven, novel patterns or known failure modes; outside the training distribution. The release candidate caps two levels below the policy level.</t>
  </si>
  <si>
    <t>Rules: adjustments are editable (whole numbers, 0 or negative) and are a governance convention, not a calibrated conversion from model error. They cap the release candidate, never the target, with a floor at L1. Read-only steps (No state change) are exempt. A missing or invalid rating - or a missing or invalid adjustment here - caps at L1: less evidence must never produce more autonomy.</t>
  </si>
  <si>
    <t>6   Readiness gate criteria</t>
  </si>
  <si>
    <t>Criterion</t>
  </si>
  <si>
    <t>What the gate asks</t>
  </si>
  <si>
    <t>The signal is reliable and the business context is fresh enough to decide on.</t>
  </si>
  <si>
    <t>For every state-changing action in the playbook the rollback path is documented and has been tested.</t>
  </si>
  <si>
    <t>Snapshots, memory images and signed audit trails are secured before containment fires.</t>
  </si>
  <si>
    <t>The system proves the target state was reached: session ended, token revoked, mail removed.</t>
  </si>
  <si>
    <t>The automation cost per incident stays within the agreed limit.</t>
  </si>
  <si>
    <t>Fallback to manual operation and deterministic detections is defined and tested.</t>
  </si>
  <si>
    <t>7   Dropdown values and verdicts</t>
  </si>
  <si>
    <t>Gate criteria answer Yes or No; the gate passes only with six explicit Yes answers.</t>
  </si>
  <si>
    <t>As recommended</t>
  </si>
  <si>
    <t>Your choice matches the recommended level (the policy level), or no own choice was made.</t>
  </si>
  <si>
    <t>Above policy: needs sign-off</t>
  </si>
  <si>
    <t>Your choice sits above the policy level. It shows as a target, and releases once Exception approved = Yes.</t>
  </si>
  <si>
    <t>More cautious than policy</t>
  </si>
  <si>
    <t>Your choice sits below the policy level and applies immediately.</t>
  </si>
  <si>
    <t>Invalid choice</t>
  </si>
  <si>
    <t>A pasted or imported value that is not a level label; the row falls back to the recommended level.</t>
  </si>
  <si>
    <t>Incomplete assessment</t>
  </si>
  <si>
    <t>Limited by: Readiness gate</t>
  </si>
  <si>
    <t>The gate has not passed; the release candidate stays at the current level.</t>
  </si>
  <si>
    <t>Limited by: Readiness gate (one level per gate)</t>
  </si>
  <si>
    <t>The gate has passed; a state-changing step climbs at most one level above current (briefing, slide 11).</t>
  </si>
  <si>
    <t>Limited by: Model confidence</t>
  </si>
  <si>
    <t>The confidence ceiling binds the release candidate.</t>
  </si>
  <si>
    <t>Limited by: Exception not approved</t>
  </si>
  <si>
    <t>An above-policy choice without a recorded approval holds at the policy level - and only named when that is what actually binds.</t>
  </si>
  <si>
    <t>Limited by: Human-signature guardrail</t>
  </si>
  <si>
    <t>State-changing irreversible or high-blast actions never release above L3, whatever the policy matrix says. Non-waivable.</t>
  </si>
  <si>
    <t>Limited by: several constraints</t>
  </si>
  <si>
    <t>When two or more constraints bind at the same level, all are named and joined by +. The release candidate only moves once every one of them is cleared.</t>
  </si>
  <si>
    <t>Remove malware and persistence (services, scheduled tasks, run keys); restore affected files and settings.</t>
  </si>
  <si>
    <t>v1.4.2: reimaging (Irreversible) is a separate manual escalation when host integrity is in doubt; it is not part of this step's release.</t>
  </si>
  <si>
    <t>Remove the implant and its persistence (services, scheduled tasks, run keys); restore affected files and settings.</t>
  </si>
  <si>
    <t>Working tool for the briefing "Auf dem Weg zum autonomen SOC" (M. Muhlert). Version 1.4.3, merged from three prototypes (SOC-Autonomy-Map as the base, SOC-Autonomie-Steuerungstool, Autonomy Decision Planner) and hardened through four independent validation reviews; the change log at the end of this sheet lists what the last two changed. Design law: less evidence must never produce more autonomy.</t>
  </si>
  <si>
    <t>The scenario view puts target and today side by side: Standard assets (target) and Critical assets (target) are target pictures (critical re-rates every row at High blast radius), Released today shows release candidates. A target can sit above Released today; that gap is the point of the comparison.</t>
  </si>
  <si>
    <t>Check action, reversibility, blast radius and model confidence for each step (blue). Your decisions sit in the yellow columns: your choice, exception approval, current level. Action, both ratings, confidence and current level are required: until all five are filled the row reads Incomplete assessment and no target and no release candidate is computed (the policy level in column J shows as soon as reversibility and blast radius are set). Columns I, K and L are grouped; the outline buttons above the columns collapse them.</t>
  </si>
  <si>
    <t>Answer the six criteria per use case with Yes or No. IDs are stable keys with uniqueness enforced: a duplicated key produces Incomplete, never an uplift. Only six explicit Yes answers pass. The yellow setting in row 4 decides what read-only steps need (default: all six criteria).</t>
  </si>
  <si>
    <t>The current level today is an illustrative starting point, not an assessment - replace it with your own baseline. Rows where current exceeds the permitted level are flagged red; invalid pasted values are treated as 0 and flagged; a missing value makes the row an incomplete assessment.</t>
  </si>
  <si>
    <t>Change log v1.4.2</t>
  </si>
  <si>
    <t>Policy gate</t>
  </si>
  <si>
    <t>Recommended level (J) and Level on critical assets (Q) require the Policy integrity check (Policy!B24) to read OK. Before, a blank policy cell fell through as L0, and a blank or text cell in a High blast radius row let the critical-assets level fall back to the standard level, because MIN ignores blank and text references. A broken matrix now reads Config error on every row and the line above the heatmap names the error.</t>
  </si>
  <si>
    <t>Current level</t>
  </si>
  <si>
    <t>A missing Current level today (R) reads Incomplete assessment in Check and Limited by, computes no release candidate and counts under Incomplete rows. Before, a blank cell was treated as 0 and Limited by named the readiness gate as the cause.</t>
  </si>
  <si>
    <t>Check column</t>
  </si>
  <si>
    <t>Check (P) reads Incomplete assessment whenever Limited by does, so a partly filled row no longer shows As recommended beside Incomplete assessment. The target (O) still needed only reversibility and blast radius; v1.4.3 applies one rule to the whole row.</t>
  </si>
  <si>
    <t>Map counters</t>
  </si>
  <si>
    <t>The three KPI cards and the level distribution count from the heatmap grid instead of the Register, so they match the map exactly: duplicate (ID, Step) rows that the map shows as Dup. are no longer counted, and the Released today share can no longer divide by zero.</t>
  </si>
  <si>
    <t>Scenario labels</t>
  </si>
  <si>
    <t>The scenario view reads Standard assets (target), Critical assets (target) and Released today, so the two target pictures are not mistaken for what may run today.</t>
  </si>
  <si>
    <t>Configuration</t>
  </si>
  <si>
    <t>The line above the heatmap turns red and names the error when the policy matrix or the confidence adjustments fail their integrity check on Policy or Scales.</t>
  </si>
  <si>
    <t>Register layout</t>
  </si>
  <si>
    <t>Columns I (Appetite), K (Confidence adjustment) and L (Confidence ceiling) are grouped; the outline buttons above the columns collapse them so inputs and verdicts sit side by side.</t>
  </si>
  <si>
    <t>Content</t>
  </si>
  <si>
    <t>UC07 and UC09 Eradicate cover standard remediation (Reversible with effort); reimaging is noted as a separate manual escalation, since bundling it pinned the whole step at L1. UC14 Notify confidence reads Medium, in line with the other regulatory notifications; its level is unchanged, the policy level is already L1.</t>
  </si>
  <si>
    <t>Review input</t>
  </si>
  <si>
    <t>The changes follow the third independent validation review of v1.4.1. Not adopted: a step-order constraint (a human-approved verdict followed by autonomous containment is coherent, and the inversions in the review's examples come from the Current level inputs) and reclassifying Triage as read-only (an autonomous verdict closes or escalates cases, a real state change). Open decision: a reduced readiness gate for read-only steps (Signal, Cost and Resilience only), which would release auto-enrichment in the nine use cases whose gate has not passed.</t>
  </si>
  <si>
    <t>Change log v1.4.3</t>
  </si>
  <si>
    <t>Completeness rule</t>
  </si>
  <si>
    <t>One rule for the whole row: Level applied (O) stays blank until action, reversibility, blast radius, confidence and current level are all filled, and Check, Level on critical assets, Release candidate and Limited by follow O. Before, the target computed from reversibility and blast radius alone, so an above-policy choice on a half-filled row appeared on the target map while Check read Incomplete assessment and the above-policy counters stayed at 0. The policy level in J still shows as soon as reversibility and blast radius are set.</t>
  </si>
  <si>
    <t>Conditional formats</t>
  </si>
  <si>
    <t>Scales C43 and D39:D41 turn red when the confidence adjustments fail their check, as Policy B24 already did; Check (P) shows Incomplete assessment in grey, as Limited by does.</t>
  </si>
  <si>
    <t>Read-only gate setting</t>
  </si>
  <si>
    <t>The Readiness gate sheet carries a setting (row 4) for what read-only steps need to pass: All six criteria (default, behaviour unchanged), Signal + cost + resilience, or Signal + cost. The column Result (read-only steps) holds that verdict; the Register uses it for No state change rows only, state-changing steps always need all six. With the pre-filled answers, Signal + cost + resilience changes nothing (Resilience &amp; degraded mode is No in every use case whose gate has not passed) and Signal + cost releases Enrich to L4 in UC05, UC10, UC11, UC12 and UC16.</t>
  </si>
  <si>
    <t>File</t>
  </si>
  <si>
    <t>The workbook no longer forces a full recalculation on opening. Cached values are verified against a fresh calculation, so Excel asks to save only when something was edited.</t>
  </si>
  <si>
    <t>The changes follow the fourth independent validation review (of v1.4.2). The scroll position reported there (Register opening at row 95) was not in the delivered file; a later save while scrolled wrote it.</t>
  </si>
  <si>
    <t>Autonomy level per use case and process step. The target is pure policy: risk appetite, reversibility, blast radius. Model confidence, the readiness gate and the human-signature guardrail decide the release candidate. Version 1.4.3.</t>
  </si>
  <si>
    <t>A use case only climbs when its gate passes with six explicit Yes answers. State-changing steps then climb at most one level above current (briefing, slide 11); read-only steps release fully. The setting in row 4 can let read-only steps (No state change) pass on a reduced set of criteria; state-changing steps always need all six. IDs are stable keys: reordering the Use cases sheet never moves anyone's answers, and a duplicated key produces Incomplete, never an uplift.</t>
  </si>
  <si>
    <t>Read-only steps need</t>
  </si>
  <si>
    <t>All six criteria</t>
  </si>
  <si>
    <t>Default: All six criteria (unchanged behaviour). Signal + cost + resilience or Signal + cost applies to read-only steps only and feeds the Result (read-only steps) column; the Register uses it for No state change rows.</t>
  </si>
  <si>
    <t>Result (read-only steps)</t>
  </si>
  <si>
    <t>A required input (action, reversibility, blast radius, confidence, current level) is missing; no target and no release candidate is computed for the row.</t>
  </si>
  <si>
    <t>Released today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</si>
</sst>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L0"/>
  </numFmts>
  <fonts count="11" x14ac:knownFonts="1">
    <font>
      <sz val="11"/>
      <color rgb="FF000000"/>
      <name val="Calibri"/>
      <family val="2"/>
      <charset val="1"/>
    </font>
    <font>
      <b/>
      <sz val="16"/>
      <color rgb="FF1D6F6B"/>
      <name val="Calibri"/>
      <charset val="1"/>
    </font>
    <font>
      <i/>
      <sz val="9"/>
      <color rgb="FF808080"/>
      <name val="Calibri"/>
      <charset val="1"/>
    </font>
    <font>
      <b/>
      <sz val="11"/>
      <color rgb="FF1D6F6B"/>
      <name val="Calibri"/>
      <charset val="1"/>
    </font>
    <font>
      <b/>
      <sz val="9"/>
      <name val="Calibri"/>
      <charset val="1"/>
    </font>
    <font>
      <sz val="9"/>
      <name val="Calibri"/>
      <charset val="1"/>
    </font>
    <font>
      <b/>
      <sz val="9"/>
      <color rgb="FF7F6000"/>
      <name val="Calibri"/>
      <charset val="1"/>
    </font>
    <font>
      <i/>
      <sz val="8"/>
      <color rgb="FF808080"/>
      <name val="Calibri"/>
      <charset val="1"/>
    </font>
    <font>
      <b/>
      <sz val="9"/>
      <color rgb="FFFFFFFF"/>
      <name val="Calibri"/>
      <charset val="1"/>
    </font>
    <font>
      <b/>
      <sz val="9"/>
      <color rgb="FFFFFFFF"/>
      <name val="Cambria"/>
      <charset val="1"/>
    </font>
    <font>
      <sz val="9"/>
      <color rgb="FF0563C1"/>
      <name val="Calibri"/>
      <charset val="1"/>
    </font>
  </fonts>
  <fills count="9">
    <fill>
      <patternFill patternType="none"/>
    </fill>
    <fill>
      <patternFill patternType="gray125"/>
    </fill>
    <fill>
      <patternFill patternType="solid">
        <fgColor rgb="FFFFF2CC"/>
        <bgColor rgb="FFF2F2F2"/>
      </patternFill>
    </fill>
    <fill>
      <patternFill patternType="solid">
        <fgColor rgb="FF1D6F6B"/>
        <bgColor rgb="FF1E7B34"/>
      </patternFill>
    </fill>
    <fill>
      <patternFill patternType="solid">
        <fgColor rgb="FFF2F2F2"/>
        <bgColor rgb="FFF4FAF9"/>
      </patternFill>
    </fill>
    <fill>
      <patternFill patternType="solid">
        <fgColor rgb="FFDCEBEA"/>
        <bgColor rgb="FFF2F2F2"/>
      </patternFill>
    </fill>
    <fill>
      <patternFill patternType="solid">
        <fgColor rgb="FFB5D6D3"/>
        <bgColor rgb="FFC9D6D4"/>
      </patternFill>
    </fill>
    <fill>
      <patternFill patternType="solid">
        <fgColor rgb="FF6FB3AE"/>
        <bgColor rgb="FF8FC3BF"/>
      </patternFill>
    </fill>
    <fill>
      <patternFill patternType="solid">
        <fgColor rgb="FFF4FAF9"/>
        <bgColor rgb="FFF2F2F2"/>
      </patternFill>
    </fill>
  </fills>
  <borders count="3">
    <border>
      <left/>
      <right/>
      <top/>
      <bottom/>
      <diagonal/>
    </border>
    <border>
      <left/>
      <right/>
      <top/>
      <bottom style="thin">
        <color rgb="FFC9D6D4"/>
      </bottom>
      <diagonal/>
    </border>
    <border>
      <left/>
      <right/>
      <top/>
      <bottom style="medium">
        <color rgb="FF1D6F6B"/>
      </bottom>
      <diagonal/>
    </border>
  </borders>
  <cellStyleXfs count="1">
    <xf numFmtId="0" fontId="0" fillId="0" borderId="0"/>
  </cellStyleXfs>
  <cellXfs count="37">
    <xf numFmtId="0" fontId="0" fillId="0" borderId="0" xfId="0"/>
    <xf numFmtId="0" fontId="1" fillId="0" borderId="0" xfId="0" applyFont="1"/>
    <xf numFmtId="0" fontId="2" fillId="0" borderId="0" xfId="0" applyFont="1"/>
    <xf numFmtId="0" fontId="3" fillId="0" borderId="0" xfId="0" applyFont="1"/>
    <xf numFmtId="0" fontId="4" fillId="0" borderId="0" xfId="0" applyFont="1" applyAlignment="1">
      <alignment horizontal="left" vertical="center"/>
    </xf>
    <xf numFmtId="0" fontId="6" fillId="2" borderId="1" xfId="0" applyFont="1" applyFill="1" applyBorder="1" applyAlignment="1">
      <alignment horizontal="center" vertical="center"/>
    </xf>
    <xf numFmtId="0" fontId="7" fillId="0" borderId="0" xfId="0" applyFont="1" applyAlignment="1">
      <alignment horizontal="center" vertical="center"/>
    </xf>
    <xf numFmtId="9" fontId="4" fillId="0" borderId="1" xfId="0" applyNumberFormat="1" applyFont="1" applyBorder="1" applyAlignment="1">
      <alignment horizontal="center" vertical="center"/>
    </xf>
    <xf numFmtId="0" fontId="4" fillId="0" borderId="1" xfId="0" applyFont="1" applyBorder="1" applyAlignment="1">
      <alignment horizontal="center" vertical="center"/>
    </xf>
    <xf numFmtId="0" fontId="7" fillId="0" borderId="0" xfId="0" applyFont="1" applyAlignment="1">
      <alignment horizontal="left" vertical="center"/>
    </xf>
    <xf numFmtId="0" fontId="8" fillId="3" borderId="2" xfId="0" applyFont="1" applyFill="1" applyBorder="1" applyAlignment="1">
      <alignment horizontal="center" vertical="center" wrapText="1"/>
    </xf>
    <xf numFmtId="0" fontId="4" fillId="0" borderId="1" xfId="0" applyFont="1" applyBorder="1" applyAlignment="1">
      <alignment horizontal="left" vertical="center"/>
    </xf>
    <xf numFmtId="0" fontId="5" fillId="0" borderId="1" xfId="0" applyFont="1" applyBorder="1" applyAlignment="1">
      <alignment horizontal="left" vertical="center"/>
    </xf>
    <xf numFmtId="0" fontId="5" fillId="0" borderId="1" xfId="0" applyFont="1" applyBorder="1" applyAlignment="1">
      <alignment horizontal="center" vertical="center"/>
    </xf>
    <xf numFmtId="164" fontId="4" fillId="0" borderId="1" xfId="0" applyNumberFormat="1" applyFont="1" applyBorder="1" applyAlignment="1">
      <alignment horizontal="center" vertical="center"/>
    </xf>
    <xf numFmtId="0" fontId="3" fillId="0" borderId="0" xfId="0" applyFont="1" applyAlignment="1">
      <alignment horizontal="left" vertical="center"/>
    </xf>
    <xf numFmtId="0" fontId="4" fillId="4" borderId="1" xfId="0" applyFont="1" applyFill="1" applyBorder="1" applyAlignment="1">
      <alignment horizontal="center" vertical="center"/>
    </xf>
    <xf numFmtId="0" fontId="4" fillId="5" borderId="1" xfId="0" applyFont="1" applyFill="1" applyBorder="1" applyAlignment="1">
      <alignment horizontal="center" vertical="center"/>
    </xf>
    <xf numFmtId="0" fontId="4" fillId="6" borderId="1" xfId="0" applyFont="1" applyFill="1" applyBorder="1" applyAlignment="1">
      <alignment horizontal="center" vertical="center"/>
    </xf>
    <xf numFmtId="0" fontId="4" fillId="7" borderId="1" xfId="0" applyFont="1" applyFill="1" applyBorder="1" applyAlignment="1">
      <alignment horizontal="center" vertical="center"/>
    </xf>
    <xf numFmtId="0" fontId="9" fillId="3" borderId="1" xfId="0" applyFont="1" applyFill="1" applyBorder="1" applyAlignment="1">
      <alignment horizontal="center" vertical="center"/>
    </xf>
    <xf numFmtId="0" fontId="8" fillId="3" borderId="1" xfId="0" applyFont="1" applyFill="1" applyBorder="1" applyAlignment="1">
      <alignment horizontal="center" vertical="center"/>
    </xf>
    <xf numFmtId="9" fontId="7" fillId="0" borderId="1" xfId="0" applyNumberFormat="1" applyFont="1" applyBorder="1" applyAlignment="1">
      <alignment horizontal="center" vertical="center"/>
    </xf>
    <xf numFmtId="0" fontId="10" fillId="0" borderId="1" xfId="0" applyFont="1" applyBorder="1" applyAlignment="1">
      <alignment horizontal="left" vertical="center"/>
    </xf>
    <xf numFmtId="0" fontId="10" fillId="0" borderId="1" xfId="0" applyFont="1" applyBorder="1" applyAlignment="1">
      <alignment horizontal="center" vertical="center"/>
    </xf>
    <xf numFmtId="0" fontId="10" fillId="8" borderId="1" xfId="0" applyFont="1" applyFill="1" applyBorder="1" applyAlignment="1">
      <alignment horizontal="center" vertical="center"/>
    </xf>
    <xf numFmtId="0" fontId="7" fillId="0" borderId="1" xfId="0" applyFont="1" applyBorder="1" applyAlignment="1">
      <alignment horizontal="left" vertical="center"/>
    </xf>
    <xf numFmtId="0" fontId="7" fillId="0" borderId="1" xfId="0" applyFont="1" applyBorder="1" applyAlignment="1">
      <alignment horizontal="center" vertical="center"/>
    </xf>
    <xf numFmtId="0" fontId="5" fillId="0" borderId="0" xfId="0" applyFont="1" applyAlignment="1">
      <alignment horizontal="left" vertical="center"/>
    </xf>
    <xf numFmtId="0" fontId="5" fillId="0" borderId="0" xfId="0" applyFont="1" applyAlignment="1">
      <alignment vertical="top" wrapText="1"/>
    </xf>
    <xf numFmtId="0" fontId="4" fillId="0" borderId="0" xfId="0" applyFont="1" applyAlignment="1">
      <alignment vertical="top"/>
    </xf>
    <xf numFmtId="0" fontId="10" fillId="0" borderId="1" xfId="0" applyFont="1" applyBorder="1" applyAlignment="1">
      <alignment horizontal="left" vertical="center" wrapText="1"/>
    </xf>
    <xf numFmtId="0" fontId="4" fillId="0" borderId="0" xfId="0" applyFont="1" applyAlignment="1">
      <alignment horizontal="left" vertical="center" wrapText="1"/>
    </xf>
    <xf numFmtId="0" fontId="2" fillId="0" borderId="0" xfId="0" applyFont="1" applyAlignment="1">
      <alignment vertical="top" wrapText="1"/>
    </xf>
    <xf numFmtId="0" fontId="0" fillId="0" borderId="0" xfId="0"/>
    <xf numFmtId="0" fontId="6" fillId="2" borderId="1" xfId="0" applyFont="1" applyFill="1" applyBorder="1" applyAlignment="1">
      <alignment horizontal="center" vertical="center"/>
    </xf>
    <xf numFmtId="0" fontId="7" fillId="0" borderId="0" xfId="0" applyFont="1" applyAlignment="1">
      <alignment horizontal="left" vertical="top" wrapText="1"/>
    </xf>
  </cellXfs>
  <cellStyles count="1">
    <cellStyle name="Standard" xfId="0" builtinId="0"/>
  </cellStyles>
  <dxfs count="57">
    <dxf>
      <font>
        <sz val="9"/>
        <color rgb="FFC00000"/>
      </font>
      <fill>
        <patternFill>
          <bgColor rgb="FFF8D7DA"/>
        </patternFill>
      </fill>
    </dxf>
    <dxf>
      <font>
        <b/>
        <sz val="9"/>
        <color rgb="FFC00000"/>
      </font>
      <fill>
        <patternFill>
          <bgColor rgb="FFF8D7DA"/>
        </patternFill>
      </fill>
    </dxf>
    <dxf>
      <font>
        <b/>
        <sz val="9"/>
        <color rgb="FFC00000"/>
      </font>
      <fill>
        <patternFill>
          <bgColor rgb="FFF8D7DA"/>
        </patternFill>
      </fill>
    </dxf>
    <dxf>
      <font>
        <b/>
        <sz val="9"/>
        <color rgb="FFC00000"/>
      </font>
      <fill>
        <patternFill>
          <bgColor rgb="FFF8D7DA"/>
        </patternFill>
      </fill>
    </dxf>
    <dxf>
      <font>
        <i/>
        <sz val="9"/>
        <color rgb="FF808080"/>
      </font>
    </dxf>
    <dxf>
      <font>
        <b/>
        <sz val="9"/>
        <color rgb="FF9C6500"/>
      </font>
      <fill>
        <patternFill>
          <bgColor rgb="FFFFF2CC"/>
        </patternFill>
      </fill>
    </dxf>
    <dxf>
      <font>
        <b/>
        <sz val="9"/>
        <color rgb="FF1E7B34"/>
      </font>
    </dxf>
    <dxf>
      <font>
        <b/>
        <sz val="9"/>
        <color rgb="FFC00000"/>
      </font>
      <fill>
        <patternFill>
          <bgColor rgb="FFF8D7DA"/>
        </patternFill>
      </fill>
    </dxf>
    <dxf>
      <font>
        <i/>
        <sz val="9"/>
        <color rgb="FF808080"/>
      </font>
    </dxf>
    <dxf>
      <font>
        <b/>
        <sz val="9"/>
        <color rgb="FF9C6500"/>
      </font>
      <fill>
        <patternFill>
          <bgColor rgb="FFFFF2CC"/>
        </patternFill>
      </fill>
    </dxf>
    <dxf>
      <font>
        <b/>
        <sz val="9"/>
        <color rgb="FF1E7B34"/>
      </font>
    </dxf>
    <dxf>
      <font>
        <b/>
        <sz val="9"/>
        <color rgb="FFC00000"/>
      </font>
      <fill>
        <patternFill>
          <bgColor rgb="FFF8D7DA"/>
        </patternFill>
      </fill>
    </dxf>
    <dxf>
      <font>
        <sz val="9"/>
        <color rgb="FFC00000"/>
      </font>
      <fill>
        <patternFill>
          <bgColor rgb="FFF8D7DA"/>
        </patternFill>
      </fill>
    </dxf>
    <dxf>
      <font>
        <i/>
        <sz val="9"/>
        <color rgb="FF808080"/>
      </font>
    </dxf>
    <dxf>
      <font>
        <sz val="9"/>
        <color rgb="FF808080"/>
      </font>
    </dxf>
    <dxf>
      <font>
        <b/>
        <sz val="9"/>
        <color rgb="FF9C6500"/>
      </font>
    </dxf>
    <dxf>
      <font>
        <b/>
        <sz val="9"/>
        <color rgb="FF9C6500"/>
      </font>
    </dxf>
    <dxf>
      <font>
        <b/>
        <sz val="9"/>
        <color rgb="FF9C6500"/>
      </font>
    </dxf>
    <dxf>
      <font>
        <b/>
        <sz val="9"/>
        <color rgb="FFFFFFFF"/>
      </font>
      <fill>
        <patternFill>
          <bgColor rgb="FF1D6F6B"/>
        </patternFill>
      </fill>
    </dxf>
    <dxf>
      <font>
        <sz val="9"/>
        <color rgb="FF000000"/>
      </font>
      <fill>
        <patternFill>
          <bgColor rgb="FF6FB3AE"/>
        </patternFill>
      </fill>
    </dxf>
    <dxf>
      <font>
        <sz val="9"/>
        <color rgb="FF000000"/>
      </font>
      <fill>
        <patternFill>
          <bgColor rgb="FFB5D6D3"/>
        </patternFill>
      </fill>
    </dxf>
    <dxf>
      <font>
        <sz val="9"/>
        <color rgb="FF000000"/>
      </font>
      <fill>
        <patternFill>
          <bgColor rgb="FFDCEBEA"/>
        </patternFill>
      </fill>
    </dxf>
    <dxf>
      <font>
        <sz val="9"/>
        <color rgb="FF000000"/>
      </font>
      <fill>
        <patternFill>
          <bgColor rgb="FFF2F2F2"/>
        </patternFill>
      </fill>
    </dxf>
    <dxf>
      <font>
        <sz val="9"/>
        <color rgb="FF1E7B34"/>
      </font>
    </dxf>
    <dxf>
      <font>
        <b/>
        <sz val="9"/>
        <color rgb="FF9C6500"/>
      </font>
    </dxf>
    <dxf>
      <font>
        <b/>
        <sz val="9"/>
        <color rgb="FFC00000"/>
      </font>
      <fill>
        <patternFill>
          <bgColor rgb="FFF8D7DA"/>
        </patternFill>
      </fill>
    </dxf>
    <dxf>
      <font>
        <b/>
        <sz val="9"/>
        <color rgb="FFC00000"/>
      </font>
      <fill>
        <patternFill>
          <bgColor rgb="FFF8D7DA"/>
        </patternFill>
      </fill>
    </dxf>
    <dxf>
      <font>
        <b/>
        <sz val="9"/>
        <color rgb="FFFFFFFF"/>
      </font>
      <fill>
        <patternFill>
          <bgColor rgb="FF1D6F6B"/>
        </patternFill>
      </fill>
    </dxf>
    <dxf>
      <font>
        <sz val="9"/>
        <color rgb="FF000000"/>
      </font>
      <fill>
        <patternFill>
          <bgColor rgb="FF6FB3AE"/>
        </patternFill>
      </fill>
    </dxf>
    <dxf>
      <font>
        <sz val="9"/>
        <color rgb="FF000000"/>
      </font>
      <fill>
        <patternFill>
          <bgColor rgb="FFB5D6D3"/>
        </patternFill>
      </fill>
    </dxf>
    <dxf>
      <font>
        <sz val="9"/>
        <color rgb="FF000000"/>
      </font>
      <fill>
        <patternFill>
          <bgColor rgb="FFDCEBEA"/>
        </patternFill>
      </fill>
    </dxf>
    <dxf>
      <font>
        <sz val="9"/>
        <color rgb="FF000000"/>
      </font>
      <fill>
        <patternFill>
          <bgColor rgb="FFF2F2F2"/>
        </patternFill>
      </fill>
    </dxf>
    <dxf>
      <font>
        <i/>
        <sz val="9"/>
        <color rgb="FF808080"/>
      </font>
    </dxf>
    <dxf>
      <font>
        <sz val="9"/>
        <color rgb="FF9C6500"/>
      </font>
      <fill>
        <patternFill>
          <bgColor rgb="FFFFF2CC"/>
        </patternFill>
      </fill>
    </dxf>
    <dxf>
      <font>
        <sz val="9"/>
        <color rgb="FFC00000"/>
      </font>
      <fill>
        <patternFill>
          <bgColor rgb="FFF8D7DA"/>
        </patternFill>
      </fill>
    </dxf>
    <dxf>
      <font>
        <b/>
        <sz val="9"/>
        <color rgb="FFFFFFFF"/>
      </font>
      <fill>
        <patternFill>
          <bgColor rgb="FF1D6F6B"/>
        </patternFill>
      </fill>
    </dxf>
    <dxf>
      <font>
        <sz val="9"/>
        <color rgb="FF000000"/>
      </font>
      <fill>
        <patternFill>
          <bgColor rgb="FF6FB3AE"/>
        </patternFill>
      </fill>
    </dxf>
    <dxf>
      <font>
        <sz val="9"/>
        <color rgb="FF000000"/>
      </font>
      <fill>
        <patternFill>
          <bgColor rgb="FFB5D6D3"/>
        </patternFill>
      </fill>
    </dxf>
    <dxf>
      <font>
        <sz val="9"/>
        <color rgb="FF000000"/>
      </font>
      <fill>
        <patternFill>
          <bgColor rgb="FFDCEBEA"/>
        </patternFill>
      </fill>
    </dxf>
    <dxf>
      <font>
        <sz val="9"/>
        <color rgb="FF000000"/>
      </font>
      <fill>
        <patternFill>
          <bgColor rgb="FFF2F2F2"/>
        </patternFill>
      </fill>
    </dxf>
    <dxf>
      <font>
        <sz val="9"/>
        <color rgb="FF9C6500"/>
      </font>
    </dxf>
    <dxf>
      <font>
        <b/>
        <sz val="9"/>
        <color rgb="FF9C6500"/>
      </font>
    </dxf>
    <dxf>
      <font>
        <b/>
        <sz val="9"/>
        <color rgb="FFC00000"/>
      </font>
      <fill>
        <patternFill>
          <bgColor rgb="FFF8D7DA"/>
        </patternFill>
      </fill>
    </dxf>
    <dxf>
      <font>
        <b/>
        <sz val="9"/>
        <color rgb="FF9C6500"/>
      </font>
      <fill>
        <patternFill>
          <bgColor rgb="FFFFF2CC"/>
        </patternFill>
      </fill>
    </dxf>
    <dxf>
      <font>
        <b/>
        <sz val="9"/>
        <color rgb="FF9C6500"/>
      </font>
      <fill>
        <patternFill>
          <bgColor rgb="FFFFF2CC"/>
        </patternFill>
      </fill>
    </dxf>
    <dxf>
      <font>
        <sz val="9"/>
        <color rgb="FF9C6500"/>
      </font>
      <fill>
        <patternFill>
          <bgColor rgb="FFFFF2CC"/>
        </patternFill>
      </fill>
    </dxf>
    <dxf>
      <font>
        <sz val="9"/>
        <color rgb="FF9C6500"/>
      </font>
      <fill>
        <patternFill>
          <bgColor rgb="FFFFF2CC"/>
        </patternFill>
      </fill>
    </dxf>
    <dxf>
      <fill>
        <patternFill>
          <bgColor rgb="FFF8D7DA"/>
        </patternFill>
      </fill>
    </dxf>
    <dxf>
      <font>
        <b/>
        <sz val="9"/>
        <color rgb="FFC00000"/>
      </font>
      <fill>
        <patternFill>
          <bgColor rgb="FFF8D7DA"/>
        </patternFill>
      </fill>
    </dxf>
    <dxf>
      <font>
        <b/>
        <sz val="9"/>
        <color rgb="FFC00000"/>
      </font>
      <fill>
        <patternFill>
          <bgColor rgb="FFF8D7DA"/>
        </patternFill>
      </fill>
    </dxf>
    <dxf>
      <font>
        <b/>
        <sz val="9"/>
        <color rgb="FFFFFFFF"/>
      </font>
      <fill>
        <patternFill>
          <bgColor rgb="FF1D6F6B"/>
        </patternFill>
      </fill>
    </dxf>
    <dxf>
      <font>
        <sz val="9"/>
        <color rgb="FF000000"/>
      </font>
      <fill>
        <patternFill>
          <bgColor rgb="FF6FB3AE"/>
        </patternFill>
      </fill>
    </dxf>
    <dxf>
      <font>
        <sz val="9"/>
        <color rgb="FF000000"/>
      </font>
      <fill>
        <patternFill>
          <bgColor rgb="FFB5D6D3"/>
        </patternFill>
      </fill>
    </dxf>
    <dxf>
      <font>
        <sz val="9"/>
        <color rgb="FF000000"/>
      </font>
      <fill>
        <patternFill>
          <bgColor rgb="FFDCEBEA"/>
        </patternFill>
      </fill>
    </dxf>
    <dxf>
      <font>
        <sz val="9"/>
        <color rgb="FF000000"/>
      </font>
      <fill>
        <patternFill>
          <bgColor rgb="FFF2F2F2"/>
        </patternFill>
      </fill>
    </dxf>
    <dxf>
      <fill>
        <patternFill>
          <bgColor rgb="FFFFF2CC"/>
        </patternFill>
      </fill>
    </dxf>
    <dxf>
      <font>
        <b/>
        <sz val="9"/>
        <color rgb="FFC00000"/>
      </font>
      <fill>
        <patternFill>
          <bgColor rgb="FFF8D7DA"/>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1E7B34"/>
      <rgbColor rgb="FF000080"/>
      <rgbColor rgb="FF7F6000"/>
      <rgbColor rgb="FF800080"/>
      <rgbColor rgb="FF1D6F6B"/>
      <rgbColor rgb="FFB5D6D3"/>
      <rgbColor rgb="FF808080"/>
      <rgbColor rgb="FF9999FF"/>
      <rgbColor rgb="FF993366"/>
      <rgbColor rgb="FFFFF2CC"/>
      <rgbColor rgb="FFDCEBEA"/>
      <rgbColor rgb="FF660066"/>
      <rgbColor rgb="FFFF8080"/>
      <rgbColor rgb="FF0563C1"/>
      <rgbColor rgb="FFC9D6D4"/>
      <rgbColor rgb="FF000080"/>
      <rgbColor rgb="FFFF00FF"/>
      <rgbColor rgb="FFFFFF00"/>
      <rgbColor rgb="FF00FFFF"/>
      <rgbColor rgb="FF800080"/>
      <rgbColor rgb="FF800000"/>
      <rgbColor rgb="FF008080"/>
      <rgbColor rgb="FF0000FF"/>
      <rgbColor rgb="FF00CCFF"/>
      <rgbColor rgb="FFF4FAF9"/>
      <rgbColor rgb="FFF2F2F2"/>
      <rgbColor rgb="FFD9D9D9"/>
      <rgbColor rgb="FF8FC3BF"/>
      <rgbColor rgb="FFFF99CC"/>
      <rgbColor rgb="FFCC99FF"/>
      <rgbColor rgb="FFF8D7DA"/>
      <rgbColor rgb="FF3366FF"/>
      <rgbColor rgb="FF6FB3AE"/>
      <rgbColor rgb="FF99CC00"/>
      <rgbColor rgb="FFFFCC00"/>
      <rgbColor rgb="FFFF9900"/>
      <rgbColor rgb="FFFF6600"/>
      <rgbColor rgb="FF666699"/>
      <rgbColor rgb="FF878787"/>
      <rgbColor rgb="FF003366"/>
      <rgbColor rgb="FF339966"/>
      <rgbColor rgb="FF003300"/>
      <rgbColor rgb="FF333300"/>
      <rgbColor rgb="FF9C65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c:style val="2"/>
  <c:chart>
    <c:title>
      <c:tx>
        <c:rich>
          <a:bodyPr rot="0"/>
          <a:lstStyle/>
          <a:p>
            <a:pPr>
              <a:defRPr sz="1800" b="1" strike="noStrike" spc="-1">
                <a:solidFill>
                  <a:srgbClr val="000000"/>
                </a:solidFill>
                <a:latin typeface="Calibri"/>
              </a:defRPr>
            </a:pPr>
            <a:r>
              <a:rPr lang="de-DE" sz="1800" b="1" strike="noStrike" spc="-1">
                <a:solidFill>
                  <a:srgbClr val="000000"/>
                </a:solidFill>
                <a:latin typeface="Calibri"/>
              </a:rPr>
              <a:t>Level distribution by process step (this view)</a:t>
            </a:r>
          </a:p>
        </c:rich>
      </c:tx>
      <c:overlay val="0"/>
      <c:spPr>
        <a:noFill/>
        <a:ln w="0">
          <a:noFill/>
        </a:ln>
      </c:spPr>
    </c:title>
    <c:autoTitleDeleted val="0"/>
    <c:plotArea>
      <c:layout/>
      <c:barChart>
        <c:barDir val="col"/>
        <c:grouping val="stacked"/>
        <c:varyColors val="0"/>
        <c:ser>
          <c:idx val="0"/>
          <c:order val="0"/>
          <c:tx>
            <c:strRef>
              <c:f>'Autonomy map'!$B$43</c:f>
              <c:strCache>
                <c:ptCount val="1"/>
                <c:pt idx="0">
                  <c:v>L0 Manual</c:v>
                </c:pt>
              </c:strCache>
            </c:strRef>
          </c:tx>
          <c:spPr>
            <a:solidFill>
              <a:srgbClr val="D9D9D9"/>
            </a:solidFill>
            <a:ln w="0">
              <a:noFill/>
            </a:ln>
          </c:spPr>
          <c:invertIfNegative val="0"/>
          <c:dLbls>
            <c:spPr>
              <a:noFill/>
              <a:ln>
                <a:noFill/>
              </a:ln>
              <a:effectLst/>
            </c:spPr>
            <c:txPr>
              <a:bodyPr wrap="none"/>
              <a:lstStyle/>
              <a:p>
                <a:pPr>
                  <a:defRPr sz="1000" b="0" strike="noStrike" spc="-1">
                    <a:latin typeface="Arial"/>
                  </a:defRPr>
                </a:pPr>
                <a:endParaRPr lang="de-DE"/>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'Autonomy map'!$E$42:$J$42</c:f>
              <c:strCache>
                <c:ptCount val="6"/>
                <c:pt idx="0">
                  <c:v>Enrich</c:v>
                </c:pt>
                <c:pt idx="1">
                  <c:v>Triage</c:v>
                </c:pt>
                <c:pt idx="2">
                  <c:v>Contain</c:v>
                </c:pt>
                <c:pt idx="3">
                  <c:v>Eradicate</c:v>
                </c:pt>
                <c:pt idx="4">
                  <c:v>Recover</c:v>
                </c:pt>
                <c:pt idx="5">
                  <c:v>Notify</c:v>
                </c:pt>
              </c:strCache>
            </c:strRef>
          </c:cat>
          <c:val>
            <c:numRef>
              <c:f>'Autonomy map'!$E$43:$J$43</c:f>
              <c:numCache>
                <c:formatCode>General</c:formatCode>
                <c:ptCount val="6"/>
                <c:pt idx="0">
                  <c:v>0</c:v>
                </c:pt>
                <c:pt idx="1">
                  <c:v>0</c:v>
                </c:pt>
                <c:pt idx="2">
                  <c:v>1</c:v>
                </c:pt>
                <c:pt idx="3">
                  <c:v>1</c:v>
                </c:pt>
                <c:pt idx="4">
                  <c:v>1</c:v>
                </c:pt>
                <c:pt idx="5">
                  <c:v>0</c:v>
                </c:pt>
              </c:numCache>
            </c:numRef>
          </c:val>
          <c:extLst>
            <c:ext xmlns:c16="http://schemas.microsoft.com/office/drawing/2014/chart" uri="{C3380CC4-5D6E-409C-BE32-E72D297353CC}">
              <c16:uniqueId val="{00000000-5571-40CD-82F5-99C7535AE5D0}"/>
            </c:ext>
          </c:extLst>
        </c:ser>
        <c:ser>
          <c:idx val="1"/>
          <c:order val="1"/>
          <c:tx>
            <c:strRef>
              <c:f>'Autonomy map'!$B$44</c:f>
              <c:strCache>
                <c:ptCount val="1"/>
                <c:pt idx="0">
                  <c:v>L1 Assisted</c:v>
                </c:pt>
              </c:strCache>
            </c:strRef>
          </c:tx>
          <c:spPr>
            <a:solidFill>
              <a:srgbClr val="B5D6D3"/>
            </a:solidFill>
            <a:ln w="0">
              <a:noFill/>
            </a:ln>
          </c:spPr>
          <c:invertIfNegative val="0"/>
          <c:dLbls>
            <c:spPr>
              <a:noFill/>
              <a:ln>
                <a:noFill/>
              </a:ln>
              <a:effectLst/>
            </c:spPr>
            <c:txPr>
              <a:bodyPr wrap="none"/>
              <a:lstStyle/>
              <a:p>
                <a:pPr>
                  <a:defRPr sz="1000" b="0" strike="noStrike" spc="-1">
                    <a:latin typeface="Arial"/>
                  </a:defRPr>
                </a:pPr>
                <a:endParaRPr lang="de-DE"/>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'Autonomy map'!$E$42:$J$42</c:f>
              <c:strCache>
                <c:ptCount val="6"/>
                <c:pt idx="0">
                  <c:v>Enrich</c:v>
                </c:pt>
                <c:pt idx="1">
                  <c:v>Triage</c:v>
                </c:pt>
                <c:pt idx="2">
                  <c:v>Contain</c:v>
                </c:pt>
                <c:pt idx="3">
                  <c:v>Eradicate</c:v>
                </c:pt>
                <c:pt idx="4">
                  <c:v>Recover</c:v>
                </c:pt>
                <c:pt idx="5">
                  <c:v>Notify</c:v>
                </c:pt>
              </c:strCache>
            </c:strRef>
          </c:cat>
          <c:val>
            <c:numRef>
              <c:f>'Autonomy map'!$E$44:$J$44</c:f>
              <c:numCache>
                <c:formatCode>General</c:formatCode>
                <c:ptCount val="6"/>
                <c:pt idx="0">
                  <c:v>9</c:v>
                </c:pt>
                <c:pt idx="1">
                  <c:v>8</c:v>
                </c:pt>
                <c:pt idx="2">
                  <c:v>0</c:v>
                </c:pt>
                <c:pt idx="3">
                  <c:v>8</c:v>
                </c:pt>
                <c:pt idx="4">
                  <c:v>8</c:v>
                </c:pt>
                <c:pt idx="5">
                  <c:v>10</c:v>
                </c:pt>
              </c:numCache>
            </c:numRef>
          </c:val>
          <c:extLst>
            <c:ext xmlns:c16="http://schemas.microsoft.com/office/drawing/2014/chart" uri="{C3380CC4-5D6E-409C-BE32-E72D297353CC}">
              <c16:uniqueId val="{00000001-5571-40CD-82F5-99C7535AE5D0}"/>
            </c:ext>
          </c:extLst>
        </c:ser>
        <c:ser>
          <c:idx val="2"/>
          <c:order val="2"/>
          <c:tx>
            <c:strRef>
              <c:f>'Autonomy map'!$B$45</c:f>
              <c:strCache>
                <c:ptCount val="1"/>
                <c:pt idx="0">
                  <c:v>L2 AI-recommended</c:v>
                </c:pt>
              </c:strCache>
            </c:strRef>
          </c:tx>
          <c:spPr>
            <a:solidFill>
              <a:srgbClr val="8FC3BF"/>
            </a:solidFill>
            <a:ln w="0">
              <a:noFill/>
            </a:ln>
          </c:spPr>
          <c:invertIfNegative val="0"/>
          <c:dLbls>
            <c:spPr>
              <a:noFill/>
              <a:ln>
                <a:noFill/>
              </a:ln>
              <a:effectLst/>
            </c:spPr>
            <c:txPr>
              <a:bodyPr wrap="none"/>
              <a:lstStyle/>
              <a:p>
                <a:pPr>
                  <a:defRPr sz="1000" b="0" strike="noStrike" spc="-1">
                    <a:latin typeface="Arial"/>
                  </a:defRPr>
                </a:pPr>
                <a:endParaRPr lang="de-DE"/>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'Autonomy map'!$E$42:$J$42</c:f>
              <c:strCache>
                <c:ptCount val="6"/>
                <c:pt idx="0">
                  <c:v>Enrich</c:v>
                </c:pt>
                <c:pt idx="1">
                  <c:v>Triage</c:v>
                </c:pt>
                <c:pt idx="2">
                  <c:v>Contain</c:v>
                </c:pt>
                <c:pt idx="3">
                  <c:v>Eradicate</c:v>
                </c:pt>
                <c:pt idx="4">
                  <c:v>Recover</c:v>
                </c:pt>
                <c:pt idx="5">
                  <c:v>Notify</c:v>
                </c:pt>
              </c:strCache>
            </c:strRef>
          </c:cat>
          <c:val>
            <c:numRef>
              <c:f>'Autonomy map'!$E$45:$J$45</c:f>
              <c:numCache>
                <c:formatCode>General</c:formatCode>
                <c:ptCount val="6"/>
                <c:pt idx="0">
                  <c:v>0</c:v>
                </c:pt>
                <c:pt idx="1">
                  <c:v>11</c:v>
                </c:pt>
                <c:pt idx="2">
                  <c:v>8</c:v>
                </c:pt>
                <c:pt idx="3">
                  <c:v>10</c:v>
                </c:pt>
                <c:pt idx="4">
                  <c:v>11</c:v>
                </c:pt>
                <c:pt idx="5">
                  <c:v>9</c:v>
                </c:pt>
              </c:numCache>
            </c:numRef>
          </c:val>
          <c:extLst>
            <c:ext xmlns:c16="http://schemas.microsoft.com/office/drawing/2014/chart" uri="{C3380CC4-5D6E-409C-BE32-E72D297353CC}">
              <c16:uniqueId val="{00000002-5571-40CD-82F5-99C7535AE5D0}"/>
            </c:ext>
          </c:extLst>
        </c:ser>
        <c:ser>
          <c:idx val="3"/>
          <c:order val="3"/>
          <c:tx>
            <c:strRef>
              <c:f>'Autonomy map'!$B$46</c:f>
              <c:strCache>
                <c:ptCount val="1"/>
                <c:pt idx="0">
                  <c:v>L3 Human-approved</c:v>
                </c:pt>
              </c:strCache>
            </c:strRef>
          </c:tx>
          <c:spPr>
            <a:solidFill>
              <a:srgbClr val="6FB3AE"/>
            </a:solidFill>
            <a:ln w="0">
              <a:noFill/>
            </a:ln>
          </c:spPr>
          <c:invertIfNegative val="0"/>
          <c:dLbls>
            <c:spPr>
              <a:noFill/>
              <a:ln>
                <a:noFill/>
              </a:ln>
              <a:effectLst/>
            </c:spPr>
            <c:txPr>
              <a:bodyPr wrap="none"/>
              <a:lstStyle/>
              <a:p>
                <a:pPr>
                  <a:defRPr sz="1000" b="0" strike="noStrike" spc="-1">
                    <a:latin typeface="Arial"/>
                  </a:defRPr>
                </a:pPr>
                <a:endParaRPr lang="de-DE"/>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'Autonomy map'!$E$42:$J$42</c:f>
              <c:strCache>
                <c:ptCount val="6"/>
                <c:pt idx="0">
                  <c:v>Enrich</c:v>
                </c:pt>
                <c:pt idx="1">
                  <c:v>Triage</c:v>
                </c:pt>
                <c:pt idx="2">
                  <c:v>Contain</c:v>
                </c:pt>
                <c:pt idx="3">
                  <c:v>Eradicate</c:v>
                </c:pt>
                <c:pt idx="4">
                  <c:v>Recover</c:v>
                </c:pt>
                <c:pt idx="5">
                  <c:v>Notify</c:v>
                </c:pt>
              </c:strCache>
            </c:strRef>
          </c:cat>
          <c:val>
            <c:numRef>
              <c:f>'Autonomy map'!$E$46:$J$46</c:f>
              <c:numCache>
                <c:formatCode>General</c:formatCode>
                <c:ptCount val="6"/>
                <c:pt idx="0">
                  <c:v>0</c:v>
                </c:pt>
                <c:pt idx="1">
                  <c:v>1</c:v>
                </c:pt>
                <c:pt idx="2">
                  <c:v>8</c:v>
                </c:pt>
                <c:pt idx="3">
                  <c:v>1</c:v>
                </c:pt>
                <c:pt idx="4">
                  <c:v>0</c:v>
                </c:pt>
                <c:pt idx="5">
                  <c:v>1</c:v>
                </c:pt>
              </c:numCache>
            </c:numRef>
          </c:val>
          <c:extLst>
            <c:ext xmlns:c16="http://schemas.microsoft.com/office/drawing/2014/chart" uri="{C3380CC4-5D6E-409C-BE32-E72D297353CC}">
              <c16:uniqueId val="{00000003-5571-40CD-82F5-99C7535AE5D0}"/>
            </c:ext>
          </c:extLst>
        </c:ser>
        <c:ser>
          <c:idx val="4"/>
          <c:order val="4"/>
          <c:tx>
            <c:strRef>
              <c:f>'Autonomy map'!$B$47</c:f>
              <c:strCache>
                <c:ptCount val="1"/>
                <c:pt idx="0">
                  <c:v>L4 Autonomous</c:v>
                </c:pt>
              </c:strCache>
            </c:strRef>
          </c:tx>
          <c:spPr>
            <a:solidFill>
              <a:srgbClr val="1D6F6B"/>
            </a:solidFill>
            <a:ln w="0">
              <a:noFill/>
            </a:ln>
          </c:spPr>
          <c:invertIfNegative val="0"/>
          <c:dLbls>
            <c:spPr>
              <a:noFill/>
              <a:ln>
                <a:noFill/>
              </a:ln>
              <a:effectLst/>
            </c:spPr>
            <c:txPr>
              <a:bodyPr wrap="none"/>
              <a:lstStyle/>
              <a:p>
                <a:pPr>
                  <a:defRPr sz="1000" b="0" strike="noStrike" spc="-1">
                    <a:latin typeface="Arial"/>
                  </a:defRPr>
                </a:pPr>
                <a:endParaRPr lang="de-DE"/>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'Autonomy map'!$E$42:$J$42</c:f>
              <c:strCache>
                <c:ptCount val="6"/>
                <c:pt idx="0">
                  <c:v>Enrich</c:v>
                </c:pt>
                <c:pt idx="1">
                  <c:v>Triage</c:v>
                </c:pt>
                <c:pt idx="2">
                  <c:v>Contain</c:v>
                </c:pt>
                <c:pt idx="3">
                  <c:v>Eradicate</c:v>
                </c:pt>
                <c:pt idx="4">
                  <c:v>Recover</c:v>
                </c:pt>
                <c:pt idx="5">
                  <c:v>Notify</c:v>
                </c:pt>
              </c:strCache>
            </c:strRef>
          </c:cat>
          <c:val>
            <c:numRef>
              <c:f>'Autonomy map'!$E$47:$J$47</c:f>
              <c:numCache>
                <c:formatCode>General</c:formatCode>
                <c:ptCount val="6"/>
                <c:pt idx="0">
                  <c:v>11</c:v>
                </c:pt>
                <c:pt idx="1">
                  <c:v>0</c:v>
                </c:pt>
                <c:pt idx="2">
                  <c:v>3</c:v>
                </c:pt>
                <c:pt idx="3">
                  <c:v>0</c:v>
                </c:pt>
                <c:pt idx="4">
                  <c:v>0</c:v>
                </c:pt>
                <c:pt idx="5">
                  <c:v>0</c:v>
                </c:pt>
              </c:numCache>
            </c:numRef>
          </c:val>
          <c:extLst>
            <c:ext xmlns:c16="http://schemas.microsoft.com/office/drawing/2014/chart" uri="{C3380CC4-5D6E-409C-BE32-E72D297353CC}">
              <c16:uniqueId val="{00000004-5571-40CD-82F5-99C7535AE5D0}"/>
            </c:ext>
          </c:extLst>
        </c:ser>
        <c:dLbls>
          <c:showLegendKey val="0"/>
          <c:showVal val="0"/>
          <c:showCatName val="0"/>
          <c:showSerName val="0"/>
          <c:showPercent val="0"/>
          <c:showBubbleSize val="0"/>
        </c:dLbls>
        <c:gapWidth val="150"/>
        <c:overlap val="100"/>
        <c:axId val="88941957"/>
        <c:axId val="8034061"/>
      </c:barChart>
      <c:catAx>
        <c:axId val="88941957"/>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de-DE"/>
          </a:p>
        </c:txPr>
        <c:crossAx val="8034061"/>
        <c:crosses val="autoZero"/>
        <c:auto val="1"/>
        <c:lblAlgn val="ctr"/>
        <c:lblOffset val="100"/>
        <c:noMultiLvlLbl val="0"/>
      </c:catAx>
      <c:valAx>
        <c:axId val="8034061"/>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de-DE" sz="1000" b="1" strike="noStrike" spc="-1">
                    <a:solidFill>
                      <a:srgbClr val="000000"/>
                    </a:solidFill>
                    <a:latin typeface="Calibri"/>
                  </a:rPr>
                  <a:t>Rows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de-DE"/>
          </a:p>
        </c:txPr>
        <c:crossAx val="88941957"/>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de-DE"/>
        </a:p>
      </c:txPr>
    </c:legend>
    <c:plotVisOnly val="1"/>
    <c:dispBlanksAs val="gap"/>
    <c:showDLblsOverMax val="1"/>
  </c:chart>
  <c:spPr>
    <a:solidFill>
      <a:srgbClr val="FFFFFF"/>
    </a:solidFill>
    <a:ln w="9360">
      <a:solidFill>
        <a:srgbClr val="D9D9D9"/>
      </a:solidFill>
      <a:round/>
    </a:ln>
  </c:spPr>
  <c:printSettings>
    <c:headerFooter/>
    <c:pageMargins b="0.78740157499999996" l="0.7" r="0.7" t="0.78740157499999996"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50</xdr:row>
      <xdr:rowOff>0</xdr:rowOff>
    </xdr:from>
    <xdr:to>
      <xdr:col>7</xdr:col>
      <xdr:colOff>42735</xdr:colOff>
      <xdr:row>66</xdr:row>
      <xdr:rowOff>3900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66"/>
  <sheetViews>
    <sheetView showGridLines="0" topLeftCell="A2" zoomScaleNormal="100" zoomScalePageLayoutView="60" workbookViewId="0"/>
  </sheetViews>
  <sheetFormatPr baseColWidth="10" defaultColWidth="8.7109375" defaultRowHeight="15" x14ac:dyDescent="0.25"/>
  <cols>
    <col min="1" max="1" width="3" customWidth="1"/>
    <col min="2" max="2" width="24" customWidth="1"/>
    <col min="3" max="3" width="128" customWidth="1"/>
  </cols>
  <sheetData>
    <row r="1" spans="1:3" ht="24" customHeight="1" x14ac:dyDescent="0.35">
      <c r="A1" s="1" t="s">
        <v>0</v>
      </c>
    </row>
    <row r="2" spans="1:3" ht="25.5" customHeight="1" x14ac:dyDescent="0.25">
      <c r="A2" s="33" t="s">
        <v>433</v>
      </c>
      <c r="B2" s="34"/>
      <c r="C2" s="34"/>
    </row>
    <row r="4" spans="1:3" x14ac:dyDescent="0.25">
      <c r="B4" s="3" t="s">
        <v>1</v>
      </c>
    </row>
    <row r="5" spans="1:3" ht="24" x14ac:dyDescent="0.25">
      <c r="B5" s="30" t="s">
        <v>2</v>
      </c>
      <c r="C5" s="29" t="s">
        <v>3</v>
      </c>
    </row>
    <row r="6" spans="1:3" x14ac:dyDescent="0.25">
      <c r="B6" s="30" t="s">
        <v>4</v>
      </c>
      <c r="C6" s="29" t="s">
        <v>5</v>
      </c>
    </row>
    <row r="7" spans="1:3" ht="24" x14ac:dyDescent="0.25">
      <c r="B7" s="30" t="s">
        <v>6</v>
      </c>
      <c r="C7" s="29" t="s">
        <v>7</v>
      </c>
    </row>
    <row r="8" spans="1:3" ht="24" x14ac:dyDescent="0.25">
      <c r="B8" s="30" t="s">
        <v>8</v>
      </c>
      <c r="C8" s="29" t="s">
        <v>9</v>
      </c>
    </row>
    <row r="9" spans="1:3" ht="48" x14ac:dyDescent="0.25">
      <c r="B9" s="30" t="s">
        <v>10</v>
      </c>
      <c r="C9" s="29" t="s">
        <v>11</v>
      </c>
    </row>
    <row r="10" spans="1:3" ht="24" x14ac:dyDescent="0.25">
      <c r="B10" s="30" t="s">
        <v>12</v>
      </c>
      <c r="C10" s="29" t="s">
        <v>13</v>
      </c>
    </row>
    <row r="11" spans="1:3" ht="24" x14ac:dyDescent="0.25">
      <c r="B11" s="30" t="s">
        <v>14</v>
      </c>
      <c r="C11" s="29" t="s">
        <v>434</v>
      </c>
    </row>
    <row r="13" spans="1:3" x14ac:dyDescent="0.25">
      <c r="B13" s="3" t="s">
        <v>15</v>
      </c>
    </row>
    <row r="14" spans="1:3" ht="24" x14ac:dyDescent="0.25">
      <c r="B14" s="30" t="s">
        <v>16</v>
      </c>
      <c r="C14" s="29" t="s">
        <v>17</v>
      </c>
    </row>
    <row r="15" spans="1:3" ht="24" x14ac:dyDescent="0.25">
      <c r="B15" s="30" t="s">
        <v>18</v>
      </c>
      <c r="C15" s="29" t="s">
        <v>19</v>
      </c>
    </row>
    <row r="16" spans="1:3" ht="48" x14ac:dyDescent="0.25">
      <c r="B16" s="30" t="s">
        <v>20</v>
      </c>
      <c r="C16" s="29" t="s">
        <v>435</v>
      </c>
    </row>
    <row r="17" spans="2:3" ht="24" x14ac:dyDescent="0.25">
      <c r="B17" s="30" t="s">
        <v>21</v>
      </c>
      <c r="C17" s="29" t="s">
        <v>436</v>
      </c>
    </row>
    <row r="18" spans="2:3" ht="24" x14ac:dyDescent="0.25">
      <c r="B18" s="30" t="s">
        <v>22</v>
      </c>
      <c r="C18" s="29" t="s">
        <v>23</v>
      </c>
    </row>
    <row r="19" spans="2:3" ht="24" x14ac:dyDescent="0.25">
      <c r="B19" s="30" t="s">
        <v>24</v>
      </c>
      <c r="C19" s="29" t="s">
        <v>25</v>
      </c>
    </row>
    <row r="21" spans="2:3" x14ac:dyDescent="0.25">
      <c r="B21" s="3" t="s">
        <v>26</v>
      </c>
    </row>
    <row r="22" spans="2:3" x14ac:dyDescent="0.25">
      <c r="B22" s="30" t="s">
        <v>27</v>
      </c>
      <c r="C22" s="29" t="s">
        <v>28</v>
      </c>
    </row>
    <row r="23" spans="2:3" x14ac:dyDescent="0.25">
      <c r="B23" s="30" t="s">
        <v>29</v>
      </c>
      <c r="C23" s="29" t="s">
        <v>30</v>
      </c>
    </row>
    <row r="24" spans="2:3" ht="24" x14ac:dyDescent="0.25">
      <c r="B24" s="30" t="s">
        <v>31</v>
      </c>
      <c r="C24" s="29" t="s">
        <v>32</v>
      </c>
    </row>
    <row r="25" spans="2:3" ht="36" x14ac:dyDescent="0.25">
      <c r="B25" s="30" t="s">
        <v>33</v>
      </c>
      <c r="C25" s="29" t="s">
        <v>34</v>
      </c>
    </row>
    <row r="26" spans="2:3" ht="24" x14ac:dyDescent="0.25">
      <c r="B26" s="30" t="s">
        <v>35</v>
      </c>
      <c r="C26" s="29" t="s">
        <v>36</v>
      </c>
    </row>
    <row r="27" spans="2:3" x14ac:dyDescent="0.25">
      <c r="B27" s="30" t="s">
        <v>37</v>
      </c>
      <c r="C27" s="29" t="s">
        <v>38</v>
      </c>
    </row>
    <row r="28" spans="2:3" x14ac:dyDescent="0.25">
      <c r="B28" s="30" t="s">
        <v>39</v>
      </c>
      <c r="C28" s="29" t="s">
        <v>40</v>
      </c>
    </row>
    <row r="30" spans="2:3" x14ac:dyDescent="0.25">
      <c r="B30" s="3" t="s">
        <v>41</v>
      </c>
    </row>
    <row r="31" spans="2:3" x14ac:dyDescent="0.25">
      <c r="B31" s="30" t="s">
        <v>42</v>
      </c>
      <c r="C31" s="29" t="s">
        <v>43</v>
      </c>
    </row>
    <row r="32" spans="2:3" x14ac:dyDescent="0.25">
      <c r="B32" s="30" t="s">
        <v>44</v>
      </c>
      <c r="C32" s="29" t="s">
        <v>45</v>
      </c>
    </row>
    <row r="33" spans="2:3" x14ac:dyDescent="0.25">
      <c r="B33" s="30" t="s">
        <v>46</v>
      </c>
      <c r="C33" s="29" t="s">
        <v>47</v>
      </c>
    </row>
    <row r="35" spans="2:3" x14ac:dyDescent="0.25">
      <c r="B35" s="3" t="s">
        <v>48</v>
      </c>
    </row>
    <row r="36" spans="2:3" ht="24" x14ac:dyDescent="0.25">
      <c r="B36" s="30" t="s">
        <v>49</v>
      </c>
      <c r="C36" s="29" t="s">
        <v>50</v>
      </c>
    </row>
    <row r="37" spans="2:3" x14ac:dyDescent="0.25">
      <c r="B37" s="30" t="s">
        <v>51</v>
      </c>
      <c r="C37" s="29" t="s">
        <v>52</v>
      </c>
    </row>
    <row r="38" spans="2:3" ht="24" x14ac:dyDescent="0.25">
      <c r="B38" s="30" t="s">
        <v>53</v>
      </c>
      <c r="C38" s="29" t="s">
        <v>54</v>
      </c>
    </row>
    <row r="40" spans="2:3" x14ac:dyDescent="0.25">
      <c r="B40" s="3" t="s">
        <v>55</v>
      </c>
    </row>
    <row r="41" spans="2:3" ht="24" x14ac:dyDescent="0.25">
      <c r="B41" s="30" t="s">
        <v>56</v>
      </c>
      <c r="C41" s="29" t="s">
        <v>57</v>
      </c>
    </row>
    <row r="42" spans="2:3" ht="36" x14ac:dyDescent="0.25">
      <c r="B42" s="30" t="s">
        <v>58</v>
      </c>
      <c r="C42" s="29" t="s">
        <v>59</v>
      </c>
    </row>
    <row r="43" spans="2:3" ht="24" x14ac:dyDescent="0.25">
      <c r="B43" s="30" t="s">
        <v>60</v>
      </c>
      <c r="C43" s="29" t="s">
        <v>61</v>
      </c>
    </row>
    <row r="44" spans="2:3" ht="24" x14ac:dyDescent="0.25">
      <c r="B44" s="30" t="s">
        <v>62</v>
      </c>
      <c r="C44" s="29" t="s">
        <v>63</v>
      </c>
    </row>
    <row r="45" spans="2:3" x14ac:dyDescent="0.25">
      <c r="B45" s="30" t="s">
        <v>64</v>
      </c>
      <c r="C45" s="29" t="s">
        <v>65</v>
      </c>
    </row>
    <row r="46" spans="2:3" ht="24" x14ac:dyDescent="0.25">
      <c r="B46" s="30" t="s">
        <v>66</v>
      </c>
      <c r="C46" s="29" t="s">
        <v>67</v>
      </c>
    </row>
    <row r="47" spans="2:3" ht="24" x14ac:dyDescent="0.25">
      <c r="B47" s="30" t="s">
        <v>68</v>
      </c>
      <c r="C47" s="29" t="s">
        <v>437</v>
      </c>
    </row>
    <row r="48" spans="2:3" ht="24" x14ac:dyDescent="0.25">
      <c r="B48" s="30" t="s">
        <v>69</v>
      </c>
      <c r="C48" s="29" t="s">
        <v>70</v>
      </c>
    </row>
    <row r="50" spans="2:3" x14ac:dyDescent="0.25">
      <c r="B50" s="3" t="s">
        <v>438</v>
      </c>
    </row>
    <row r="51" spans="2:3" ht="36" x14ac:dyDescent="0.25">
      <c r="B51" s="30" t="s">
        <v>439</v>
      </c>
      <c r="C51" s="29" t="s">
        <v>440</v>
      </c>
    </row>
    <row r="52" spans="2:3" ht="24" x14ac:dyDescent="0.25">
      <c r="B52" s="30" t="s">
        <v>441</v>
      </c>
      <c r="C52" s="29" t="s">
        <v>442</v>
      </c>
    </row>
    <row r="53" spans="2:3" ht="24" x14ac:dyDescent="0.25">
      <c r="B53" s="30" t="s">
        <v>443</v>
      </c>
      <c r="C53" s="29" t="s">
        <v>444</v>
      </c>
    </row>
    <row r="54" spans="2:3" ht="24" x14ac:dyDescent="0.25">
      <c r="B54" s="30" t="s">
        <v>445</v>
      </c>
      <c r="C54" s="29" t="s">
        <v>446</v>
      </c>
    </row>
    <row r="55" spans="2:3" ht="24" x14ac:dyDescent="0.25">
      <c r="B55" s="30" t="s">
        <v>447</v>
      </c>
      <c r="C55" s="29" t="s">
        <v>448</v>
      </c>
    </row>
    <row r="56" spans="2:3" x14ac:dyDescent="0.25">
      <c r="B56" s="30" t="s">
        <v>449</v>
      </c>
      <c r="C56" s="29" t="s">
        <v>450</v>
      </c>
    </row>
    <row r="57" spans="2:3" ht="24" x14ac:dyDescent="0.25">
      <c r="B57" s="30" t="s">
        <v>451</v>
      </c>
      <c r="C57" s="29" t="s">
        <v>452</v>
      </c>
    </row>
    <row r="58" spans="2:3" ht="24" x14ac:dyDescent="0.25">
      <c r="B58" s="30" t="s">
        <v>453</v>
      </c>
      <c r="C58" s="29" t="s">
        <v>454</v>
      </c>
    </row>
    <row r="59" spans="2:3" ht="48" x14ac:dyDescent="0.25">
      <c r="B59" s="30" t="s">
        <v>455</v>
      </c>
      <c r="C59" s="29" t="s">
        <v>456</v>
      </c>
    </row>
    <row r="61" spans="2:3" x14ac:dyDescent="0.25">
      <c r="B61" s="3" t="s">
        <v>457</v>
      </c>
    </row>
    <row r="62" spans="2:3" ht="48" x14ac:dyDescent="0.25">
      <c r="B62" s="30" t="s">
        <v>458</v>
      </c>
      <c r="C62" s="29" t="s">
        <v>459</v>
      </c>
    </row>
    <row r="63" spans="2:3" ht="24" x14ac:dyDescent="0.25">
      <c r="B63" s="30" t="s">
        <v>460</v>
      </c>
      <c r="C63" s="29" t="s">
        <v>461</v>
      </c>
    </row>
    <row r="64" spans="2:3" ht="48" x14ac:dyDescent="0.25">
      <c r="B64" s="30" t="s">
        <v>462</v>
      </c>
      <c r="C64" s="29" t="s">
        <v>463</v>
      </c>
    </row>
    <row r="65" spans="2:3" ht="24" x14ac:dyDescent="0.25">
      <c r="B65" s="30" t="s">
        <v>464</v>
      </c>
      <c r="C65" s="29" t="s">
        <v>465</v>
      </c>
    </row>
    <row r="66" spans="2:3" ht="24" x14ac:dyDescent="0.25">
      <c r="B66" s="30" t="s">
        <v>455</v>
      </c>
      <c r="C66" s="29" t="s">
        <v>466</v>
      </c>
    </row>
  </sheetData>
  <mergeCells count="1">
    <mergeCell ref="A2:C2"/>
  </mergeCells>
  <pageMargins left="0.75" right="0.75" top="1" bottom="1" header="0.511811023622047" footer="0.511811023622047"/>
  <pageSetup paperSize="9"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D6F6B"/>
    <pageSetUpPr fitToPage="1"/>
  </sheetPr>
  <dimension ref="A1:S48"/>
  <sheetViews>
    <sheetView showGridLines="0" zoomScale="115" zoomScaleNormal="100" zoomScalePageLayoutView="60" workbookViewId="0">
      <pane xSplit="2" ySplit="7" topLeftCell="C8" activePane="bottomRight" state="frozen"/>
      <selection pane="topRight"/>
      <selection pane="bottomLeft"/>
      <selection pane="bottomRight" activeCell="C5" sqref="C5"/>
    </sheetView>
  </sheetViews>
  <sheetFormatPr baseColWidth="10" defaultColWidth="8.7109375" defaultRowHeight="15" x14ac:dyDescent="0.25"/>
  <cols>
    <col min="1" max="1" width="7" customWidth="1"/>
    <col min="2" max="2" width="42" customWidth="1"/>
    <col min="3" max="3" width="21" customWidth="1"/>
    <col min="4" max="4" width="13" customWidth="1"/>
    <col min="5" max="10" width="10.5703125" customWidth="1"/>
    <col min="11" max="11" width="22" customWidth="1"/>
    <col min="12" max="12" width="10" customWidth="1"/>
    <col min="13" max="15" width="12" customWidth="1"/>
    <col min="17" max="17" width="11" customWidth="1"/>
    <col min="19" max="19" width="12" customWidth="1"/>
  </cols>
  <sheetData>
    <row r="1" spans="1:19" ht="24" customHeight="1" x14ac:dyDescent="0.35">
      <c r="A1" s="1" t="s">
        <v>71</v>
      </c>
    </row>
    <row r="2" spans="1:19" x14ac:dyDescent="0.25">
      <c r="A2" s="2" t="s">
        <v>467</v>
      </c>
    </row>
    <row r="4" spans="1:19" x14ac:dyDescent="0.25">
      <c r="A4" s="4" t="s">
        <v>72</v>
      </c>
      <c r="C4" s="5" t="s">
        <v>278</v>
      </c>
      <c r="E4" s="6" t="s">
        <v>74</v>
      </c>
      <c r="G4" s="6" t="s">
        <v>75</v>
      </c>
      <c r="I4" s="6" t="s">
        <v>76</v>
      </c>
      <c r="K4" s="6" t="s">
        <v>77</v>
      </c>
      <c r="M4" s="6" t="s">
        <v>78</v>
      </c>
      <c r="O4" s="6" t="s">
        <v>79</v>
      </c>
      <c r="Q4" s="6" t="s">
        <v>80</v>
      </c>
      <c r="S4" s="6" t="s">
        <v>81</v>
      </c>
    </row>
    <row r="5" spans="1:19" x14ac:dyDescent="0.25">
      <c r="A5" s="4" t="s">
        <v>82</v>
      </c>
      <c r="C5" s="5" t="s">
        <v>474</v>
      </c>
      <c r="E5" s="7">
        <f>IF(COUNT($E$8:$J$37)=0,0,COUNTIF($E$8:$J$37,4)/COUNT($E$8:$J$37))</f>
        <v>0.11666666666666667</v>
      </c>
      <c r="G5" s="7">
        <f>IF(COUNT($E$8:$J$37)=0,0,COUNTIF($E$8:$J$37,3)/COUNT($E$8:$J$37))</f>
        <v>9.166666666666666E-2</v>
      </c>
      <c r="I5" s="7">
        <f>IF(COUNT($E$8:$J$37)=0,0,COUNTIF($E$8:$J$37,"&lt;3")/COUNT($E$8:$J$37))</f>
        <v>0.79166666666666663</v>
      </c>
      <c r="K5" s="8">
        <f>COUNTIF(Register!$P$6:$P$185,"Above policy*")</f>
        <v>0</v>
      </c>
      <c r="M5" s="8" t="str">
        <f>COUNTIF('Readiness gate'!$I$7:$I$36,"Passed")&amp;" of "&amp;COUNTA('Use cases'!$B$5:$B$34)</f>
        <v>11 of 20</v>
      </c>
      <c r="O5" s="8">
        <f>SUMPRODUCT((Register!$O$6:$O$185&lt;&gt;"")*(Register!$T$6:$T$185&lt;&gt;"")*(Register!$T$6:$T$185&lt;Register!$O$6:$O$185))</f>
        <v>105</v>
      </c>
      <c r="Q5" s="8">
        <f>SUMPRODUCT((Register!$B$6:$B$185&lt;&gt;"")*(Register!$O$6:$O$185=""))</f>
        <v>0</v>
      </c>
      <c r="S5" s="8">
        <f>SUMPRODUCT((Register!$R$6:$R$185&lt;&gt;"")*(Register!$T$6:$T$185&lt;&gt;"")*(Register!$R$6:$R$185&gt;Register!$T$6:$T$185))</f>
        <v>0</v>
      </c>
    </row>
    <row r="6" spans="1:19" x14ac:dyDescent="0.25">
      <c r="A6" s="9" t="str">
        <f>IF(OR(Policy!$B$24&lt;&gt;"OK",Scales!$C$43&lt;&gt;"OK"),"Configuration error: "&amp;IF(Policy!$B$24&lt;&gt;"OK",Policy!$B$24&amp;" (Policy sheet; no level is computed until it reads OK)","")&amp;IF(AND(Policy!$B$24&lt;&gt;"OK",Scales!$C$43&lt;&gt;"OK"),"; ","")&amp;IF(Scales!$C$43&lt;&gt;"OK",Scales!$C$43&amp;" (Scales sheet; affected ratings cap at L1 until it reads OK)","")&amp;".","This view: "&amp;$C$5&amp;" - "&amp;IF($C$5="Released today","release candidates in the standard context (what may run today)","target picture (what the policy allows)")&amp;". Formal authorization stays with the Control Tower.")</f>
        <v>This view: Released today - release candidates in the standard context (what may run today). Formal authorization stays with the Control Tower.</v>
      </c>
    </row>
    <row r="7" spans="1:19" ht="30" customHeight="1" x14ac:dyDescent="0.25">
      <c r="A7" s="10" t="s">
        <v>83</v>
      </c>
      <c r="B7" s="10" t="s">
        <v>84</v>
      </c>
      <c r="C7" s="10" t="s">
        <v>85</v>
      </c>
      <c r="D7" s="10" t="s">
        <v>86</v>
      </c>
      <c r="E7" s="10" t="str">
        <f>Scales!$B$15</f>
        <v>Enrich</v>
      </c>
      <c r="F7" s="10" t="str">
        <f>Scales!$B$16</f>
        <v>Triage</v>
      </c>
      <c r="G7" s="10" t="str">
        <f>Scales!$B$17</f>
        <v>Contain</v>
      </c>
      <c r="H7" s="10" t="str">
        <f>Scales!$B$18</f>
        <v>Eradicate</v>
      </c>
      <c r="I7" s="10" t="str">
        <f>Scales!$B$19</f>
        <v>Recover</v>
      </c>
      <c r="J7" s="10" t="str">
        <f>Scales!$B$20</f>
        <v>Notify</v>
      </c>
      <c r="K7" s="10" t="str">
        <f>"First human gate ("&amp;IF($C$5="Released today","released","target")&amp;")"</f>
        <v>First human gate (released)</v>
      </c>
      <c r="L7" s="10" t="s">
        <v>87</v>
      </c>
      <c r="M7" s="10" t="s">
        <v>21</v>
      </c>
      <c r="N7" s="10" t="s">
        <v>79</v>
      </c>
    </row>
    <row r="8" spans="1:19" x14ac:dyDescent="0.25">
      <c r="A8" s="8" t="str">
        <f>IF('Use cases'!$B$5="","",'Use cases'!$A$5)</f>
        <v>UC01</v>
      </c>
      <c r="B8" s="11" t="str">
        <f>IF($A8="","",'Use cases'!$B$5)</f>
        <v>Phishing campaign containment</v>
      </c>
      <c r="C8" s="12" t="str">
        <f>IF($A8="","",'Use cases'!$C$5)</f>
        <v>Email and collaboration</v>
      </c>
      <c r="D8" s="13" t="str">
        <f>IF($A8="","",'Use cases'!$E$5)</f>
        <v>Progressive</v>
      </c>
      <c r="E8" s="14">
        <f>IF($A8="","",IF(COUNTIFS(Register!$A$6:$A$185,$A8,Register!$D$6:$D$185,E$7)&gt;1,"Dup.",IF($C$5="Critical assets (target)",IF(COUNTIFS(Register!$A$6:$A$185,$A8,Register!$D$6:$D$185,E$7,Register!$Q$6:$Q$185,"&gt;=0")=0,"",SUMIFS(Register!$Q$6:$Q$185,Register!$A$6:$A$185,$A8,Register!$D$6:$D$185,E$7)),IF($C$5="Released today",IF(COUNTIFS(Register!$A$6:$A$185,$A8,Register!$D$6:$D$185,E$7,Register!$T$6:$T$185,"&gt;=0")=0,"",SUMIFS(Register!$T$6:$T$185,Register!$A$6:$A$185,$A8,Register!$D$6:$D$185,E$7)),IF(COUNTIFS(Register!$A$6:$A$185,$A8,Register!$D$6:$D$185,E$7,Register!$O$6:$O$185,"&gt;=0")=0,"",SUMIFS(Register!$O$6:$O$185,Register!$A$6:$A$185,$A8,Register!$D$6:$D$185,E$7))))))</f>
        <v>4</v>
      </c>
      <c r="F8" s="14">
        <f>IF($A8="","",IF(COUNTIFS(Register!$A$6:$A$185,$A8,Register!$D$6:$D$185,F$7)&gt;1,"Dup.",IF($C$5="Critical assets (target)",IF(COUNTIFS(Register!$A$6:$A$185,$A8,Register!$D$6:$D$185,F$7,Register!$Q$6:$Q$185,"&gt;=0")=0,"",SUMIFS(Register!$Q$6:$Q$185,Register!$A$6:$A$185,$A8,Register!$D$6:$D$185,F$7)),IF($C$5="Released today",IF(COUNTIFS(Register!$A$6:$A$185,$A8,Register!$D$6:$D$185,F$7,Register!$T$6:$T$185,"&gt;=0")=0,"",SUMIFS(Register!$T$6:$T$185,Register!$A$6:$A$185,$A8,Register!$D$6:$D$185,F$7)),IF(COUNTIFS(Register!$A$6:$A$185,$A8,Register!$D$6:$D$185,F$7,Register!$O$6:$O$185,"&gt;=0")=0,"",SUMIFS(Register!$O$6:$O$185,Register!$A$6:$A$185,$A8,Register!$D$6:$D$185,F$7))))))</f>
        <v>3</v>
      </c>
      <c r="G8" s="14">
        <f>IF($A8="","",IF(COUNTIFS(Register!$A$6:$A$185,$A8,Register!$D$6:$D$185,G$7)&gt;1,"Dup.",IF($C$5="Critical assets (target)",IF(COUNTIFS(Register!$A$6:$A$185,$A8,Register!$D$6:$D$185,G$7,Register!$Q$6:$Q$185,"&gt;=0")=0,"",SUMIFS(Register!$Q$6:$Q$185,Register!$A$6:$A$185,$A8,Register!$D$6:$D$185,G$7)),IF($C$5="Released today",IF(COUNTIFS(Register!$A$6:$A$185,$A8,Register!$D$6:$D$185,G$7,Register!$T$6:$T$185,"&gt;=0")=0,"",SUMIFS(Register!$T$6:$T$185,Register!$A$6:$A$185,$A8,Register!$D$6:$D$185,G$7)),IF(COUNTIFS(Register!$A$6:$A$185,$A8,Register!$D$6:$D$185,G$7,Register!$O$6:$O$185,"&gt;=0")=0,"",SUMIFS(Register!$O$6:$O$185,Register!$A$6:$A$185,$A8,Register!$D$6:$D$185,G$7))))))</f>
        <v>4</v>
      </c>
      <c r="H8" s="14">
        <f>IF($A8="","",IF(COUNTIFS(Register!$A$6:$A$185,$A8,Register!$D$6:$D$185,H$7)&gt;1,"Dup.",IF($C$5="Critical assets (target)",IF(COUNTIFS(Register!$A$6:$A$185,$A8,Register!$D$6:$D$185,H$7,Register!$Q$6:$Q$185,"&gt;=0")=0,"",SUMIFS(Register!$Q$6:$Q$185,Register!$A$6:$A$185,$A8,Register!$D$6:$D$185,H$7)),IF($C$5="Released today",IF(COUNTIFS(Register!$A$6:$A$185,$A8,Register!$D$6:$D$185,H$7,Register!$T$6:$T$185,"&gt;=0")=0,"",SUMIFS(Register!$T$6:$T$185,Register!$A$6:$A$185,$A8,Register!$D$6:$D$185,H$7)),IF(COUNTIFS(Register!$A$6:$A$185,$A8,Register!$D$6:$D$185,H$7,Register!$O$6:$O$185,"&gt;=0")=0,"",SUMIFS(Register!$O$6:$O$185,Register!$A$6:$A$185,$A8,Register!$D$6:$D$185,H$7))))))</f>
        <v>3</v>
      </c>
      <c r="I8" s="14">
        <f>IF($A8="","",IF(COUNTIFS(Register!$A$6:$A$185,$A8,Register!$D$6:$D$185,I$7)&gt;1,"Dup.",IF($C$5="Critical assets (target)",IF(COUNTIFS(Register!$A$6:$A$185,$A8,Register!$D$6:$D$185,I$7,Register!$Q$6:$Q$185,"&gt;=0")=0,"",SUMIFS(Register!$Q$6:$Q$185,Register!$A$6:$A$185,$A8,Register!$D$6:$D$185,I$7)),IF($C$5="Released today",IF(COUNTIFS(Register!$A$6:$A$185,$A8,Register!$D$6:$D$185,I$7,Register!$T$6:$T$185,"&gt;=0")=0,"",SUMIFS(Register!$T$6:$T$185,Register!$A$6:$A$185,$A8,Register!$D$6:$D$185,I$7)),IF(COUNTIFS(Register!$A$6:$A$185,$A8,Register!$D$6:$D$185,I$7,Register!$O$6:$O$185,"&gt;=0")=0,"",SUMIFS(Register!$O$6:$O$185,Register!$A$6:$A$185,$A8,Register!$D$6:$D$185,I$7))))))</f>
        <v>2</v>
      </c>
      <c r="J8" s="14">
        <f>IF($A8="","",IF(COUNTIFS(Register!$A$6:$A$185,$A8,Register!$D$6:$D$185,J$7)&gt;1,"Dup.",IF($C$5="Critical assets (target)",IF(COUNTIFS(Register!$A$6:$A$185,$A8,Register!$D$6:$D$185,J$7,Register!$Q$6:$Q$185,"&gt;=0")=0,"",SUMIFS(Register!$Q$6:$Q$185,Register!$A$6:$A$185,$A8,Register!$D$6:$D$185,J$7)),IF($C$5="Released today",IF(COUNTIFS(Register!$A$6:$A$185,$A8,Register!$D$6:$D$185,J$7,Register!$T$6:$T$185,"&gt;=0")=0,"",SUMIFS(Register!$T$6:$T$185,Register!$A$6:$A$185,$A8,Register!$D$6:$D$185,J$7)),IF(COUNTIFS(Register!$A$6:$A$185,$A8,Register!$D$6:$D$185,J$7,Register!$O$6:$O$185,"&gt;=0")=0,"",SUMIFS(Register!$O$6:$O$185,Register!$A$6:$A$185,$A8,Register!$D$6:$D$185,J$7))))))</f>
        <v>3</v>
      </c>
      <c r="K8" s="13" t="str">
        <f t="shared" ref="K8:K37" si="0">IF($A8="","",IF(COUNT(E8:J8)&lt;6,"Incomplete",IF(AND(ISNUMBER(E8),E8&lt;4),E$7,IF(AND(ISNUMBER(F8),F8&lt;4),F$7,IF(AND(ISNUMBER(G8),G8&lt;4),G$7,IF(AND(ISNUMBER(H8),H8&lt;4),H$7,IF(AND(ISNUMBER(I8),I8&lt;4),I$7,IF(AND(ISNUMBER(J8),J8&lt;4),J$7,"None"))))))))</f>
        <v>Triage</v>
      </c>
      <c r="L8" s="13">
        <f>IF($A8="","",COUNTIFS(Register!$A$6:$A$185,$A8,Register!$P$6:$P$185,"Above policy*"))</f>
        <v>0</v>
      </c>
      <c r="M8" s="13" t="str">
        <f>IF($A8="","",IF(COUNTIF('Readiness gate'!$A$7:$A$36,$A8)&lt;&gt;1,"Incomplete",IFERROR(IF(VLOOKUP($A8,GateTab,9,FALSE())="","Incomplete",VLOOKUP($A8,GateTab,9,FALSE())),"Incomplete")))</f>
        <v>Passed</v>
      </c>
      <c r="N8" s="13">
        <f>IF($A8="","",SUMPRODUCT((Register!$A$6:$A$185=$A8)*(Register!$T$6:$T$185&lt;&gt;"")*(Register!$O$6:$O$185&lt;&gt;"")*(Register!$T$6:$T$185&lt;Register!$O$6:$O$185)))</f>
        <v>4</v>
      </c>
    </row>
    <row r="9" spans="1:19" x14ac:dyDescent="0.25">
      <c r="A9" s="8" t="str">
        <f>IF('Use cases'!$B$6="","",'Use cases'!$A$6)</f>
        <v>UC02</v>
      </c>
      <c r="B9" s="11" t="str">
        <f>IF($A9="","",'Use cases'!$B$6)</f>
        <v>Malicious attachment detonation and mailbox clean-up</v>
      </c>
      <c r="C9" s="12" t="str">
        <f>IF($A9="","",'Use cases'!$C$6)</f>
        <v>Email and collaboration</v>
      </c>
      <c r="D9" s="13" t="str">
        <f>IF($A9="","",'Use cases'!$E$6)</f>
        <v>Progressive</v>
      </c>
      <c r="E9" s="14">
        <f>IF($A9="","",IF(COUNTIFS(Register!$A$6:$A$185,$A9,Register!$D$6:$D$185,E$7)&gt;1,"Dup.",IF($C$5="Critical assets (target)",IF(COUNTIFS(Register!$A$6:$A$185,$A9,Register!$D$6:$D$185,E$7,Register!$Q$6:$Q$185,"&gt;=0")=0,"",SUMIFS(Register!$Q$6:$Q$185,Register!$A$6:$A$185,$A9,Register!$D$6:$D$185,E$7)),IF($C$5="Released today",IF(COUNTIFS(Register!$A$6:$A$185,$A9,Register!$D$6:$D$185,E$7,Register!$T$6:$T$185,"&gt;=0")=0,"",SUMIFS(Register!$T$6:$T$185,Register!$A$6:$A$185,$A9,Register!$D$6:$D$185,E$7)),IF(COUNTIFS(Register!$A$6:$A$185,$A9,Register!$D$6:$D$185,E$7,Register!$O$6:$O$185,"&gt;=0")=0,"",SUMIFS(Register!$O$6:$O$185,Register!$A$6:$A$185,$A9,Register!$D$6:$D$185,E$7))))))</f>
        <v>4</v>
      </c>
      <c r="F9" s="14">
        <f>IF($A9="","",IF(COUNTIFS(Register!$A$6:$A$185,$A9,Register!$D$6:$D$185,F$7)&gt;1,"Dup.",IF($C$5="Critical assets (target)",IF(COUNTIFS(Register!$A$6:$A$185,$A9,Register!$D$6:$D$185,F$7,Register!$Q$6:$Q$185,"&gt;=0")=0,"",SUMIFS(Register!$Q$6:$Q$185,Register!$A$6:$A$185,$A9,Register!$D$6:$D$185,F$7)),IF($C$5="Released today",IF(COUNTIFS(Register!$A$6:$A$185,$A9,Register!$D$6:$D$185,F$7,Register!$T$6:$T$185,"&gt;=0")=0,"",SUMIFS(Register!$T$6:$T$185,Register!$A$6:$A$185,$A9,Register!$D$6:$D$185,F$7)),IF(COUNTIFS(Register!$A$6:$A$185,$A9,Register!$D$6:$D$185,F$7,Register!$O$6:$O$185,"&gt;=0")=0,"",SUMIFS(Register!$O$6:$O$185,Register!$A$6:$A$185,$A9,Register!$D$6:$D$185,F$7))))))</f>
        <v>2</v>
      </c>
      <c r="G9" s="14">
        <f>IF($A9="","",IF(COUNTIFS(Register!$A$6:$A$185,$A9,Register!$D$6:$D$185,G$7)&gt;1,"Dup.",IF($C$5="Critical assets (target)",IF(COUNTIFS(Register!$A$6:$A$185,$A9,Register!$D$6:$D$185,G$7,Register!$Q$6:$Q$185,"&gt;=0")=0,"",SUMIFS(Register!$Q$6:$Q$185,Register!$A$6:$A$185,$A9,Register!$D$6:$D$185,G$7)),IF($C$5="Released today",IF(COUNTIFS(Register!$A$6:$A$185,$A9,Register!$D$6:$D$185,G$7,Register!$T$6:$T$185,"&gt;=0")=0,"",SUMIFS(Register!$T$6:$T$185,Register!$A$6:$A$185,$A9,Register!$D$6:$D$185,G$7)),IF(COUNTIFS(Register!$A$6:$A$185,$A9,Register!$D$6:$D$185,G$7,Register!$O$6:$O$185,"&gt;=0")=0,"",SUMIFS(Register!$O$6:$O$185,Register!$A$6:$A$185,$A9,Register!$D$6:$D$185,G$7))))))</f>
        <v>3</v>
      </c>
      <c r="H9" s="14">
        <f>IF($A9="","",IF(COUNTIFS(Register!$A$6:$A$185,$A9,Register!$D$6:$D$185,H$7)&gt;1,"Dup.",IF($C$5="Critical assets (target)",IF(COUNTIFS(Register!$A$6:$A$185,$A9,Register!$D$6:$D$185,H$7,Register!$Q$6:$Q$185,"&gt;=0")=0,"",SUMIFS(Register!$Q$6:$Q$185,Register!$A$6:$A$185,$A9,Register!$D$6:$D$185,H$7)),IF($C$5="Released today",IF(COUNTIFS(Register!$A$6:$A$185,$A9,Register!$D$6:$D$185,H$7,Register!$T$6:$T$185,"&gt;=0")=0,"",SUMIFS(Register!$T$6:$T$185,Register!$A$6:$A$185,$A9,Register!$D$6:$D$185,H$7)),IF(COUNTIFS(Register!$A$6:$A$185,$A9,Register!$D$6:$D$185,H$7,Register!$O$6:$O$185,"&gt;=0")=0,"",SUMIFS(Register!$O$6:$O$185,Register!$A$6:$A$185,$A9,Register!$D$6:$D$185,H$7))))))</f>
        <v>2</v>
      </c>
      <c r="I9" s="14">
        <f>IF($A9="","",IF(COUNTIFS(Register!$A$6:$A$185,$A9,Register!$D$6:$D$185,I$7)&gt;1,"Dup.",IF($C$5="Critical assets (target)",IF(COUNTIFS(Register!$A$6:$A$185,$A9,Register!$D$6:$D$185,I$7,Register!$Q$6:$Q$185,"&gt;=0")=0,"",SUMIFS(Register!$Q$6:$Q$185,Register!$A$6:$A$185,$A9,Register!$D$6:$D$185,I$7)),IF($C$5="Released today",IF(COUNTIFS(Register!$A$6:$A$185,$A9,Register!$D$6:$D$185,I$7,Register!$T$6:$T$185,"&gt;=0")=0,"",SUMIFS(Register!$T$6:$T$185,Register!$A$6:$A$185,$A9,Register!$D$6:$D$185,I$7)),IF(COUNTIFS(Register!$A$6:$A$185,$A9,Register!$D$6:$D$185,I$7,Register!$O$6:$O$185,"&gt;=0")=0,"",SUMIFS(Register!$O$6:$O$185,Register!$A$6:$A$185,$A9,Register!$D$6:$D$185,I$7))))))</f>
        <v>2</v>
      </c>
      <c r="J9" s="14">
        <f>IF($A9="","",IF(COUNTIFS(Register!$A$6:$A$185,$A9,Register!$D$6:$D$185,J$7)&gt;1,"Dup.",IF($C$5="Critical assets (target)",IF(COUNTIFS(Register!$A$6:$A$185,$A9,Register!$D$6:$D$185,J$7,Register!$Q$6:$Q$185,"&gt;=0")=0,"",SUMIFS(Register!$Q$6:$Q$185,Register!$A$6:$A$185,$A9,Register!$D$6:$D$185,J$7)),IF($C$5="Released today",IF(COUNTIFS(Register!$A$6:$A$185,$A9,Register!$D$6:$D$185,J$7,Register!$T$6:$T$185,"&gt;=0")=0,"",SUMIFS(Register!$T$6:$T$185,Register!$A$6:$A$185,$A9,Register!$D$6:$D$185,J$7)),IF(COUNTIFS(Register!$A$6:$A$185,$A9,Register!$D$6:$D$185,J$7,Register!$O$6:$O$185,"&gt;=0")=0,"",SUMIFS(Register!$O$6:$O$185,Register!$A$6:$A$185,$A9,Register!$D$6:$D$185,J$7))))))</f>
        <v>2</v>
      </c>
      <c r="K9" s="13" t="str">
        <f t="shared" si="0"/>
        <v>Triage</v>
      </c>
      <c r="L9" s="13">
        <f>IF($A9="","",COUNTIFS(Register!$A$6:$A$185,$A9,Register!$P$6:$P$185,"Above policy*"))</f>
        <v>0</v>
      </c>
      <c r="M9" s="13" t="str">
        <f>IF($A9="","",IF(COUNTIF('Readiness gate'!$A$7:$A$36,$A9)&lt;&gt;1,"Incomplete",IFERROR(IF(VLOOKUP($A9,GateTab,9,FALSE())="","Incomplete",VLOOKUP($A9,GateTab,9,FALSE())),"Incomplete")))</f>
        <v>Passed</v>
      </c>
      <c r="N9" s="13">
        <f>IF($A9="","",SUMPRODUCT((Register!$A$6:$A$185=$A9)*(Register!$T$6:$T$185&lt;&gt;"")*(Register!$O$6:$O$185&lt;&gt;"")*(Register!$T$6:$T$185&lt;Register!$O$6:$O$185)))</f>
        <v>5</v>
      </c>
    </row>
    <row r="10" spans="1:19" x14ac:dyDescent="0.25">
      <c r="A10" s="8" t="str">
        <f>IF('Use cases'!$B$7="","",'Use cases'!$A$7)</f>
        <v>UC03</v>
      </c>
      <c r="B10" s="11" t="str">
        <f>IF($A10="","",'Use cases'!$B$7)</f>
        <v>OAuth consent abuse</v>
      </c>
      <c r="C10" s="12" t="str">
        <f>IF($A10="","",'Use cases'!$C$7)</f>
        <v>Identity</v>
      </c>
      <c r="D10" s="13" t="str">
        <f>IF($A10="","",'Use cases'!$E$7)</f>
        <v>Progressive</v>
      </c>
      <c r="E10" s="14">
        <f>IF($A10="","",IF(COUNTIFS(Register!$A$6:$A$185,$A10,Register!$D$6:$D$185,E$7)&gt;1,"Dup.",IF($C$5="Critical assets (target)",IF(COUNTIFS(Register!$A$6:$A$185,$A10,Register!$D$6:$D$185,E$7,Register!$Q$6:$Q$185,"&gt;=0")=0,"",SUMIFS(Register!$Q$6:$Q$185,Register!$A$6:$A$185,$A10,Register!$D$6:$D$185,E$7)),IF($C$5="Released today",IF(COUNTIFS(Register!$A$6:$A$185,$A10,Register!$D$6:$D$185,E$7,Register!$T$6:$T$185,"&gt;=0")=0,"",SUMIFS(Register!$T$6:$T$185,Register!$A$6:$A$185,$A10,Register!$D$6:$D$185,E$7)),IF(COUNTIFS(Register!$A$6:$A$185,$A10,Register!$D$6:$D$185,E$7,Register!$O$6:$O$185,"&gt;=0")=0,"",SUMIFS(Register!$O$6:$O$185,Register!$A$6:$A$185,$A10,Register!$D$6:$D$185,E$7))))))</f>
        <v>4</v>
      </c>
      <c r="F10" s="14">
        <f>IF($A10="","",IF(COUNTIFS(Register!$A$6:$A$185,$A10,Register!$D$6:$D$185,F$7)&gt;1,"Dup.",IF($C$5="Critical assets (target)",IF(COUNTIFS(Register!$A$6:$A$185,$A10,Register!$D$6:$D$185,F$7,Register!$Q$6:$Q$185,"&gt;=0")=0,"",SUMIFS(Register!$Q$6:$Q$185,Register!$A$6:$A$185,$A10,Register!$D$6:$D$185,F$7)),IF($C$5="Released today",IF(COUNTIFS(Register!$A$6:$A$185,$A10,Register!$D$6:$D$185,F$7,Register!$T$6:$T$185,"&gt;=0")=0,"",SUMIFS(Register!$T$6:$T$185,Register!$A$6:$A$185,$A10,Register!$D$6:$D$185,F$7)),IF(COUNTIFS(Register!$A$6:$A$185,$A10,Register!$D$6:$D$185,F$7,Register!$O$6:$O$185,"&gt;=0")=0,"",SUMIFS(Register!$O$6:$O$185,Register!$A$6:$A$185,$A10,Register!$D$6:$D$185,F$7))))))</f>
        <v>2</v>
      </c>
      <c r="G10" s="14">
        <f>IF($A10="","",IF(COUNTIFS(Register!$A$6:$A$185,$A10,Register!$D$6:$D$185,G$7)&gt;1,"Dup.",IF($C$5="Critical assets (target)",IF(COUNTIFS(Register!$A$6:$A$185,$A10,Register!$D$6:$D$185,G$7,Register!$Q$6:$Q$185,"&gt;=0")=0,"",SUMIFS(Register!$Q$6:$Q$185,Register!$A$6:$A$185,$A10,Register!$D$6:$D$185,G$7)),IF($C$5="Released today",IF(COUNTIFS(Register!$A$6:$A$185,$A10,Register!$D$6:$D$185,G$7,Register!$T$6:$T$185,"&gt;=0")=0,"",SUMIFS(Register!$T$6:$T$185,Register!$A$6:$A$185,$A10,Register!$D$6:$D$185,G$7)),IF(COUNTIFS(Register!$A$6:$A$185,$A10,Register!$D$6:$D$185,G$7,Register!$O$6:$O$185,"&gt;=0")=0,"",SUMIFS(Register!$O$6:$O$185,Register!$A$6:$A$185,$A10,Register!$D$6:$D$185,G$7))))))</f>
        <v>3</v>
      </c>
      <c r="H10" s="14">
        <f>IF($A10="","",IF(COUNTIFS(Register!$A$6:$A$185,$A10,Register!$D$6:$D$185,H$7)&gt;1,"Dup.",IF($C$5="Critical assets (target)",IF(COUNTIFS(Register!$A$6:$A$185,$A10,Register!$D$6:$D$185,H$7,Register!$Q$6:$Q$185,"&gt;=0")=0,"",SUMIFS(Register!$Q$6:$Q$185,Register!$A$6:$A$185,$A10,Register!$D$6:$D$185,H$7)),IF($C$5="Released today",IF(COUNTIFS(Register!$A$6:$A$185,$A10,Register!$D$6:$D$185,H$7,Register!$T$6:$T$185,"&gt;=0")=0,"",SUMIFS(Register!$T$6:$T$185,Register!$A$6:$A$185,$A10,Register!$D$6:$D$185,H$7)),IF(COUNTIFS(Register!$A$6:$A$185,$A10,Register!$D$6:$D$185,H$7,Register!$O$6:$O$185,"&gt;=0")=0,"",SUMIFS(Register!$O$6:$O$185,Register!$A$6:$A$185,$A10,Register!$D$6:$D$185,H$7))))))</f>
        <v>2</v>
      </c>
      <c r="I10" s="14">
        <f>IF($A10="","",IF(COUNTIFS(Register!$A$6:$A$185,$A10,Register!$D$6:$D$185,I$7)&gt;1,"Dup.",IF($C$5="Critical assets (target)",IF(COUNTIFS(Register!$A$6:$A$185,$A10,Register!$D$6:$D$185,I$7,Register!$Q$6:$Q$185,"&gt;=0")=0,"",SUMIFS(Register!$Q$6:$Q$185,Register!$A$6:$A$185,$A10,Register!$D$6:$D$185,I$7)),IF($C$5="Released today",IF(COUNTIFS(Register!$A$6:$A$185,$A10,Register!$D$6:$D$185,I$7,Register!$T$6:$T$185,"&gt;=0")=0,"",SUMIFS(Register!$T$6:$T$185,Register!$A$6:$A$185,$A10,Register!$D$6:$D$185,I$7)),IF(COUNTIFS(Register!$A$6:$A$185,$A10,Register!$D$6:$D$185,I$7,Register!$O$6:$O$185,"&gt;=0")=0,"",SUMIFS(Register!$O$6:$O$185,Register!$A$6:$A$185,$A10,Register!$D$6:$D$185,I$7))))))</f>
        <v>2</v>
      </c>
      <c r="J10" s="14">
        <f>IF($A10="","",IF(COUNTIFS(Register!$A$6:$A$185,$A10,Register!$D$6:$D$185,J$7)&gt;1,"Dup.",IF($C$5="Critical assets (target)",IF(COUNTIFS(Register!$A$6:$A$185,$A10,Register!$D$6:$D$185,J$7,Register!$Q$6:$Q$185,"&gt;=0")=0,"",SUMIFS(Register!$Q$6:$Q$185,Register!$A$6:$A$185,$A10,Register!$D$6:$D$185,J$7)),IF($C$5="Released today",IF(COUNTIFS(Register!$A$6:$A$185,$A10,Register!$D$6:$D$185,J$7,Register!$T$6:$T$185,"&gt;=0")=0,"",SUMIFS(Register!$T$6:$T$185,Register!$A$6:$A$185,$A10,Register!$D$6:$D$185,J$7)),IF(COUNTIFS(Register!$A$6:$A$185,$A10,Register!$D$6:$D$185,J$7,Register!$O$6:$O$185,"&gt;=0")=0,"",SUMIFS(Register!$O$6:$O$185,Register!$A$6:$A$185,$A10,Register!$D$6:$D$185,J$7))))))</f>
        <v>2</v>
      </c>
      <c r="K10" s="13" t="str">
        <f t="shared" si="0"/>
        <v>Triage</v>
      </c>
      <c r="L10" s="13">
        <f>IF($A10="","",COUNTIFS(Register!$A$6:$A$185,$A10,Register!$P$6:$P$185,"Above policy*"))</f>
        <v>0</v>
      </c>
      <c r="M10" s="13" t="str">
        <f>IF($A10="","",IF(COUNTIF('Readiness gate'!$A$7:$A$36,$A10)&lt;&gt;1,"Incomplete",IFERROR(IF(VLOOKUP($A10,GateTab,9,FALSE())="","Incomplete",VLOOKUP($A10,GateTab,9,FALSE())),"Incomplete")))</f>
        <v>Passed</v>
      </c>
      <c r="N10" s="13">
        <f>IF($A10="","",SUMPRODUCT((Register!$A$6:$A$185=$A10)*(Register!$T$6:$T$185&lt;&gt;"")*(Register!$O$6:$O$185&lt;&gt;"")*(Register!$T$6:$T$185&lt;Register!$O$6:$O$185)))</f>
        <v>5</v>
      </c>
    </row>
    <row r="11" spans="1:19" x14ac:dyDescent="0.25">
      <c r="A11" s="8" t="str">
        <f>IF('Use cases'!$B$8="","",'Use cases'!$A$8)</f>
        <v>UC04</v>
      </c>
      <c r="B11" s="11" t="str">
        <f>IF($A11="","",'Use cases'!$B$8)</f>
        <v>Suspicious MFA registration</v>
      </c>
      <c r="C11" s="12" t="str">
        <f>IF($A11="","",'Use cases'!$C$8)</f>
        <v>Identity</v>
      </c>
      <c r="D11" s="13" t="str">
        <f>IF($A11="","",'Use cases'!$E$8)</f>
        <v>Progressive</v>
      </c>
      <c r="E11" s="14">
        <f>IF($A11="","",IF(COUNTIFS(Register!$A$6:$A$185,$A11,Register!$D$6:$D$185,E$7)&gt;1,"Dup.",IF($C$5="Critical assets (target)",IF(COUNTIFS(Register!$A$6:$A$185,$A11,Register!$D$6:$D$185,E$7,Register!$Q$6:$Q$185,"&gt;=0")=0,"",SUMIFS(Register!$Q$6:$Q$185,Register!$A$6:$A$185,$A11,Register!$D$6:$D$185,E$7)),IF($C$5="Released today",IF(COUNTIFS(Register!$A$6:$A$185,$A11,Register!$D$6:$D$185,E$7,Register!$T$6:$T$185,"&gt;=0")=0,"",SUMIFS(Register!$T$6:$T$185,Register!$A$6:$A$185,$A11,Register!$D$6:$D$185,E$7)),IF(COUNTIFS(Register!$A$6:$A$185,$A11,Register!$D$6:$D$185,E$7,Register!$O$6:$O$185,"&gt;=0")=0,"",SUMIFS(Register!$O$6:$O$185,Register!$A$6:$A$185,$A11,Register!$D$6:$D$185,E$7))))))</f>
        <v>4</v>
      </c>
      <c r="F11" s="14">
        <f>IF($A11="","",IF(COUNTIFS(Register!$A$6:$A$185,$A11,Register!$D$6:$D$185,F$7)&gt;1,"Dup.",IF($C$5="Critical assets (target)",IF(COUNTIFS(Register!$A$6:$A$185,$A11,Register!$D$6:$D$185,F$7,Register!$Q$6:$Q$185,"&gt;=0")=0,"",SUMIFS(Register!$Q$6:$Q$185,Register!$A$6:$A$185,$A11,Register!$D$6:$D$185,F$7)),IF($C$5="Released today",IF(COUNTIFS(Register!$A$6:$A$185,$A11,Register!$D$6:$D$185,F$7,Register!$T$6:$T$185,"&gt;=0")=0,"",SUMIFS(Register!$T$6:$T$185,Register!$A$6:$A$185,$A11,Register!$D$6:$D$185,F$7)),IF(COUNTIFS(Register!$A$6:$A$185,$A11,Register!$D$6:$D$185,F$7,Register!$O$6:$O$185,"&gt;=0")=0,"",SUMIFS(Register!$O$6:$O$185,Register!$A$6:$A$185,$A11,Register!$D$6:$D$185,F$7))))))</f>
        <v>2</v>
      </c>
      <c r="G11" s="14">
        <f>IF($A11="","",IF(COUNTIFS(Register!$A$6:$A$185,$A11,Register!$D$6:$D$185,G$7)&gt;1,"Dup.",IF($C$5="Critical assets (target)",IF(COUNTIFS(Register!$A$6:$A$185,$A11,Register!$D$6:$D$185,G$7,Register!$Q$6:$Q$185,"&gt;=0")=0,"",SUMIFS(Register!$Q$6:$Q$185,Register!$A$6:$A$185,$A11,Register!$D$6:$D$185,G$7)),IF($C$5="Released today",IF(COUNTIFS(Register!$A$6:$A$185,$A11,Register!$D$6:$D$185,G$7,Register!$T$6:$T$185,"&gt;=0")=0,"",SUMIFS(Register!$T$6:$T$185,Register!$A$6:$A$185,$A11,Register!$D$6:$D$185,G$7)),IF(COUNTIFS(Register!$A$6:$A$185,$A11,Register!$D$6:$D$185,G$7,Register!$O$6:$O$185,"&gt;=0")=0,"",SUMIFS(Register!$O$6:$O$185,Register!$A$6:$A$185,$A11,Register!$D$6:$D$185,G$7))))))</f>
        <v>3</v>
      </c>
      <c r="H11" s="14">
        <f>IF($A11="","",IF(COUNTIFS(Register!$A$6:$A$185,$A11,Register!$D$6:$D$185,H$7)&gt;1,"Dup.",IF($C$5="Critical assets (target)",IF(COUNTIFS(Register!$A$6:$A$185,$A11,Register!$D$6:$D$185,H$7,Register!$Q$6:$Q$185,"&gt;=0")=0,"",SUMIFS(Register!$Q$6:$Q$185,Register!$A$6:$A$185,$A11,Register!$D$6:$D$185,H$7)),IF($C$5="Released today",IF(COUNTIFS(Register!$A$6:$A$185,$A11,Register!$D$6:$D$185,H$7,Register!$T$6:$T$185,"&gt;=0")=0,"",SUMIFS(Register!$T$6:$T$185,Register!$A$6:$A$185,$A11,Register!$D$6:$D$185,H$7)),IF(COUNTIFS(Register!$A$6:$A$185,$A11,Register!$D$6:$D$185,H$7,Register!$O$6:$O$185,"&gt;=0")=0,"",SUMIFS(Register!$O$6:$O$185,Register!$A$6:$A$185,$A11,Register!$D$6:$D$185,H$7))))))</f>
        <v>2</v>
      </c>
      <c r="I11" s="14">
        <f>IF($A11="","",IF(COUNTIFS(Register!$A$6:$A$185,$A11,Register!$D$6:$D$185,I$7)&gt;1,"Dup.",IF($C$5="Critical assets (target)",IF(COUNTIFS(Register!$A$6:$A$185,$A11,Register!$D$6:$D$185,I$7,Register!$Q$6:$Q$185,"&gt;=0")=0,"",SUMIFS(Register!$Q$6:$Q$185,Register!$A$6:$A$185,$A11,Register!$D$6:$D$185,I$7)),IF($C$5="Released today",IF(COUNTIFS(Register!$A$6:$A$185,$A11,Register!$D$6:$D$185,I$7,Register!$T$6:$T$185,"&gt;=0")=0,"",SUMIFS(Register!$T$6:$T$185,Register!$A$6:$A$185,$A11,Register!$D$6:$D$185,I$7)),IF(COUNTIFS(Register!$A$6:$A$185,$A11,Register!$D$6:$D$185,I$7,Register!$O$6:$O$185,"&gt;=0")=0,"",SUMIFS(Register!$O$6:$O$185,Register!$A$6:$A$185,$A11,Register!$D$6:$D$185,I$7))))))</f>
        <v>2</v>
      </c>
      <c r="J11" s="14">
        <f>IF($A11="","",IF(COUNTIFS(Register!$A$6:$A$185,$A11,Register!$D$6:$D$185,J$7)&gt;1,"Dup.",IF($C$5="Critical assets (target)",IF(COUNTIFS(Register!$A$6:$A$185,$A11,Register!$D$6:$D$185,J$7,Register!$Q$6:$Q$185,"&gt;=0")=0,"",SUMIFS(Register!$Q$6:$Q$185,Register!$A$6:$A$185,$A11,Register!$D$6:$D$185,J$7)),IF($C$5="Released today",IF(COUNTIFS(Register!$A$6:$A$185,$A11,Register!$D$6:$D$185,J$7,Register!$T$6:$T$185,"&gt;=0")=0,"",SUMIFS(Register!$T$6:$T$185,Register!$A$6:$A$185,$A11,Register!$D$6:$D$185,J$7)),IF(COUNTIFS(Register!$A$6:$A$185,$A11,Register!$D$6:$D$185,J$7,Register!$O$6:$O$185,"&gt;=0")=0,"",SUMIFS(Register!$O$6:$O$185,Register!$A$6:$A$185,$A11,Register!$D$6:$D$185,J$7))))))</f>
        <v>2</v>
      </c>
      <c r="K11" s="13" t="str">
        <f t="shared" si="0"/>
        <v>Triage</v>
      </c>
      <c r="L11" s="13">
        <f>IF($A11="","",COUNTIFS(Register!$A$6:$A$185,$A11,Register!$P$6:$P$185,"Above policy*"))</f>
        <v>0</v>
      </c>
      <c r="M11" s="13" t="str">
        <f>IF($A11="","",IF(COUNTIF('Readiness gate'!$A$7:$A$36,$A11)&lt;&gt;1,"Incomplete",IFERROR(IF(VLOOKUP($A11,GateTab,9,FALSE())="","Incomplete",VLOOKUP($A11,GateTab,9,FALSE())),"Incomplete")))</f>
        <v>Passed</v>
      </c>
      <c r="N11" s="13">
        <f>IF($A11="","",SUMPRODUCT((Register!$A$6:$A$185=$A11)*(Register!$T$6:$T$185&lt;&gt;"")*(Register!$O$6:$O$185&lt;&gt;"")*(Register!$T$6:$T$185&lt;Register!$O$6:$O$185)))</f>
        <v>5</v>
      </c>
    </row>
    <row r="12" spans="1:19" x14ac:dyDescent="0.25">
      <c r="A12" s="8" t="str">
        <f>IF('Use cases'!$B$9="","",'Use cases'!$A$9)</f>
        <v>UC05</v>
      </c>
      <c r="B12" s="11" t="str">
        <f>IF($A12="","",'Use cases'!$B$9)</f>
        <v>Privileged account anomaly</v>
      </c>
      <c r="C12" s="12" t="str">
        <f>IF($A12="","",'Use cases'!$C$9)</f>
        <v>Identity</v>
      </c>
      <c r="D12" s="13" t="str">
        <f>IF($A12="","",'Use cases'!$E$9)</f>
        <v>Progressive</v>
      </c>
      <c r="E12" s="14">
        <f>IF($A12="","",IF(COUNTIFS(Register!$A$6:$A$185,$A12,Register!$D$6:$D$185,E$7)&gt;1,"Dup.",IF($C$5="Critical assets (target)",IF(COUNTIFS(Register!$A$6:$A$185,$A12,Register!$D$6:$D$185,E$7,Register!$Q$6:$Q$185,"&gt;=0")=0,"",SUMIFS(Register!$Q$6:$Q$185,Register!$A$6:$A$185,$A12,Register!$D$6:$D$185,E$7)),IF($C$5="Released today",IF(COUNTIFS(Register!$A$6:$A$185,$A12,Register!$D$6:$D$185,E$7,Register!$T$6:$T$185,"&gt;=0")=0,"",SUMIFS(Register!$T$6:$T$185,Register!$A$6:$A$185,$A12,Register!$D$6:$D$185,E$7)),IF(COUNTIFS(Register!$A$6:$A$185,$A12,Register!$D$6:$D$185,E$7,Register!$O$6:$O$185,"&gt;=0")=0,"",SUMIFS(Register!$O$6:$O$185,Register!$A$6:$A$185,$A12,Register!$D$6:$D$185,E$7))))))</f>
        <v>1</v>
      </c>
      <c r="F12" s="14">
        <f>IF($A12="","",IF(COUNTIFS(Register!$A$6:$A$185,$A12,Register!$D$6:$D$185,F$7)&gt;1,"Dup.",IF($C$5="Critical assets (target)",IF(COUNTIFS(Register!$A$6:$A$185,$A12,Register!$D$6:$D$185,F$7,Register!$Q$6:$Q$185,"&gt;=0")=0,"",SUMIFS(Register!$Q$6:$Q$185,Register!$A$6:$A$185,$A12,Register!$D$6:$D$185,F$7)),IF($C$5="Released today",IF(COUNTIFS(Register!$A$6:$A$185,$A12,Register!$D$6:$D$185,F$7,Register!$T$6:$T$185,"&gt;=0")=0,"",SUMIFS(Register!$T$6:$T$185,Register!$A$6:$A$185,$A12,Register!$D$6:$D$185,F$7)),IF(COUNTIFS(Register!$A$6:$A$185,$A12,Register!$D$6:$D$185,F$7,Register!$O$6:$O$185,"&gt;=0")=0,"",SUMIFS(Register!$O$6:$O$185,Register!$A$6:$A$185,$A12,Register!$D$6:$D$185,F$7))))))</f>
        <v>1</v>
      </c>
      <c r="G12" s="14">
        <f>IF($A12="","",IF(COUNTIFS(Register!$A$6:$A$185,$A12,Register!$D$6:$D$185,G$7)&gt;1,"Dup.",IF($C$5="Critical assets (target)",IF(COUNTIFS(Register!$A$6:$A$185,$A12,Register!$D$6:$D$185,G$7,Register!$Q$6:$Q$185,"&gt;=0")=0,"",SUMIFS(Register!$Q$6:$Q$185,Register!$A$6:$A$185,$A12,Register!$D$6:$D$185,G$7)),IF($C$5="Released today",IF(COUNTIFS(Register!$A$6:$A$185,$A12,Register!$D$6:$D$185,G$7,Register!$T$6:$T$185,"&gt;=0")=0,"",SUMIFS(Register!$T$6:$T$185,Register!$A$6:$A$185,$A12,Register!$D$6:$D$185,G$7)),IF(COUNTIFS(Register!$A$6:$A$185,$A12,Register!$D$6:$D$185,G$7,Register!$O$6:$O$185,"&gt;=0")=0,"",SUMIFS(Register!$O$6:$O$185,Register!$A$6:$A$185,$A12,Register!$D$6:$D$185,G$7))))))</f>
        <v>2</v>
      </c>
      <c r="H12" s="14">
        <f>IF($A12="","",IF(COUNTIFS(Register!$A$6:$A$185,$A12,Register!$D$6:$D$185,H$7)&gt;1,"Dup.",IF($C$5="Critical assets (target)",IF(COUNTIFS(Register!$A$6:$A$185,$A12,Register!$D$6:$D$185,H$7,Register!$Q$6:$Q$185,"&gt;=0")=0,"",SUMIFS(Register!$Q$6:$Q$185,Register!$A$6:$A$185,$A12,Register!$D$6:$D$185,H$7)),IF($C$5="Released today",IF(COUNTIFS(Register!$A$6:$A$185,$A12,Register!$D$6:$D$185,H$7,Register!$T$6:$T$185,"&gt;=0")=0,"",SUMIFS(Register!$T$6:$T$185,Register!$A$6:$A$185,$A12,Register!$D$6:$D$185,H$7)),IF(COUNTIFS(Register!$A$6:$A$185,$A12,Register!$D$6:$D$185,H$7,Register!$O$6:$O$185,"&gt;=0")=0,"",SUMIFS(Register!$O$6:$O$185,Register!$A$6:$A$185,$A12,Register!$D$6:$D$185,H$7))))))</f>
        <v>1</v>
      </c>
      <c r="I12" s="14">
        <f>IF($A12="","",IF(COUNTIFS(Register!$A$6:$A$185,$A12,Register!$D$6:$D$185,I$7)&gt;1,"Dup.",IF($C$5="Critical assets (target)",IF(COUNTIFS(Register!$A$6:$A$185,$A12,Register!$D$6:$D$185,I$7,Register!$Q$6:$Q$185,"&gt;=0")=0,"",SUMIFS(Register!$Q$6:$Q$185,Register!$A$6:$A$185,$A12,Register!$D$6:$D$185,I$7)),IF($C$5="Released today",IF(COUNTIFS(Register!$A$6:$A$185,$A12,Register!$D$6:$D$185,I$7,Register!$T$6:$T$185,"&gt;=0")=0,"",SUMIFS(Register!$T$6:$T$185,Register!$A$6:$A$185,$A12,Register!$D$6:$D$185,I$7)),IF(COUNTIFS(Register!$A$6:$A$185,$A12,Register!$D$6:$D$185,I$7,Register!$O$6:$O$185,"&gt;=0")=0,"",SUMIFS(Register!$O$6:$O$185,Register!$A$6:$A$185,$A12,Register!$D$6:$D$185,I$7))))))</f>
        <v>1</v>
      </c>
      <c r="J12" s="14">
        <f>IF($A12="","",IF(COUNTIFS(Register!$A$6:$A$185,$A12,Register!$D$6:$D$185,J$7)&gt;1,"Dup.",IF($C$5="Critical assets (target)",IF(COUNTIFS(Register!$A$6:$A$185,$A12,Register!$D$6:$D$185,J$7,Register!$Q$6:$Q$185,"&gt;=0")=0,"",SUMIFS(Register!$Q$6:$Q$185,Register!$A$6:$A$185,$A12,Register!$D$6:$D$185,J$7)),IF($C$5="Released today",IF(COUNTIFS(Register!$A$6:$A$185,$A12,Register!$D$6:$D$185,J$7,Register!$T$6:$T$185,"&gt;=0")=0,"",SUMIFS(Register!$T$6:$T$185,Register!$A$6:$A$185,$A12,Register!$D$6:$D$185,J$7)),IF(COUNTIFS(Register!$A$6:$A$185,$A12,Register!$D$6:$D$185,J$7,Register!$O$6:$O$185,"&gt;=0")=0,"",SUMIFS(Register!$O$6:$O$185,Register!$A$6:$A$185,$A12,Register!$D$6:$D$185,J$7))))))</f>
        <v>1</v>
      </c>
      <c r="K12" s="13" t="str">
        <f t="shared" si="0"/>
        <v>Enrich</v>
      </c>
      <c r="L12" s="13">
        <f>IF($A12="","",COUNTIFS(Register!$A$6:$A$185,$A12,Register!$P$6:$P$185,"Above policy*"))</f>
        <v>0</v>
      </c>
      <c r="M12" s="13" t="str">
        <f>IF($A12="","",IF(COUNTIF('Readiness gate'!$A$7:$A$36,$A12)&lt;&gt;1,"Incomplete",IFERROR(IF(VLOOKUP($A12,GateTab,9,FALSE())="","Incomplete",VLOOKUP($A12,GateTab,9,FALSE())),"Incomplete")))</f>
        <v>Not passed</v>
      </c>
      <c r="N12" s="13">
        <f>IF($A12="","",SUMPRODUCT((Register!$A$6:$A$185=$A12)*(Register!$T$6:$T$185&lt;&gt;"")*(Register!$O$6:$O$185&lt;&gt;"")*(Register!$T$6:$T$185&lt;Register!$O$6:$O$185)))</f>
        <v>6</v>
      </c>
    </row>
    <row r="13" spans="1:19" x14ac:dyDescent="0.25">
      <c r="A13" s="8" t="str">
        <f>IF('Use cases'!$B$10="","",'Use cases'!$A$10)</f>
        <v>UC06</v>
      </c>
      <c r="B13" s="11" t="str">
        <f>IF($A13="","",'Use cases'!$B$10)</f>
        <v>Token theft and replay</v>
      </c>
      <c r="C13" s="12" t="str">
        <f>IF($A13="","",'Use cases'!$C$10)</f>
        <v>Identity</v>
      </c>
      <c r="D13" s="13" t="str">
        <f>IF($A13="","",'Use cases'!$E$10)</f>
        <v>Progressive</v>
      </c>
      <c r="E13" s="14">
        <f>IF($A13="","",IF(COUNTIFS(Register!$A$6:$A$185,$A13,Register!$D$6:$D$185,E$7)&gt;1,"Dup.",IF($C$5="Critical assets (target)",IF(COUNTIFS(Register!$A$6:$A$185,$A13,Register!$D$6:$D$185,E$7,Register!$Q$6:$Q$185,"&gt;=0")=0,"",SUMIFS(Register!$Q$6:$Q$185,Register!$A$6:$A$185,$A13,Register!$D$6:$D$185,E$7)),IF($C$5="Released today",IF(COUNTIFS(Register!$A$6:$A$185,$A13,Register!$D$6:$D$185,E$7,Register!$T$6:$T$185,"&gt;=0")=0,"",SUMIFS(Register!$T$6:$T$185,Register!$A$6:$A$185,$A13,Register!$D$6:$D$185,E$7)),IF(COUNTIFS(Register!$A$6:$A$185,$A13,Register!$D$6:$D$185,E$7,Register!$O$6:$O$185,"&gt;=0")=0,"",SUMIFS(Register!$O$6:$O$185,Register!$A$6:$A$185,$A13,Register!$D$6:$D$185,E$7))))))</f>
        <v>4</v>
      </c>
      <c r="F13" s="14">
        <f>IF($A13="","",IF(COUNTIFS(Register!$A$6:$A$185,$A13,Register!$D$6:$D$185,F$7)&gt;1,"Dup.",IF($C$5="Critical assets (target)",IF(COUNTIFS(Register!$A$6:$A$185,$A13,Register!$D$6:$D$185,F$7,Register!$Q$6:$Q$185,"&gt;=0")=0,"",SUMIFS(Register!$Q$6:$Q$185,Register!$A$6:$A$185,$A13,Register!$D$6:$D$185,F$7)),IF($C$5="Released today",IF(COUNTIFS(Register!$A$6:$A$185,$A13,Register!$D$6:$D$185,F$7,Register!$T$6:$T$185,"&gt;=0")=0,"",SUMIFS(Register!$T$6:$T$185,Register!$A$6:$A$185,$A13,Register!$D$6:$D$185,F$7)),IF(COUNTIFS(Register!$A$6:$A$185,$A13,Register!$D$6:$D$185,F$7,Register!$O$6:$O$185,"&gt;=0")=0,"",SUMIFS(Register!$O$6:$O$185,Register!$A$6:$A$185,$A13,Register!$D$6:$D$185,F$7))))))</f>
        <v>2</v>
      </c>
      <c r="G13" s="14">
        <f>IF($A13="","",IF(COUNTIFS(Register!$A$6:$A$185,$A13,Register!$D$6:$D$185,G$7)&gt;1,"Dup.",IF($C$5="Critical assets (target)",IF(COUNTIFS(Register!$A$6:$A$185,$A13,Register!$D$6:$D$185,G$7,Register!$Q$6:$Q$185,"&gt;=0")=0,"",SUMIFS(Register!$Q$6:$Q$185,Register!$A$6:$A$185,$A13,Register!$D$6:$D$185,G$7)),IF($C$5="Released today",IF(COUNTIFS(Register!$A$6:$A$185,$A13,Register!$D$6:$D$185,G$7,Register!$T$6:$T$185,"&gt;=0")=0,"",SUMIFS(Register!$T$6:$T$185,Register!$A$6:$A$185,$A13,Register!$D$6:$D$185,G$7)),IF(COUNTIFS(Register!$A$6:$A$185,$A13,Register!$D$6:$D$185,G$7,Register!$O$6:$O$185,"&gt;=0")=0,"",SUMIFS(Register!$O$6:$O$185,Register!$A$6:$A$185,$A13,Register!$D$6:$D$185,G$7))))))</f>
        <v>3</v>
      </c>
      <c r="H13" s="14">
        <f>IF($A13="","",IF(COUNTIFS(Register!$A$6:$A$185,$A13,Register!$D$6:$D$185,H$7)&gt;1,"Dup.",IF($C$5="Critical assets (target)",IF(COUNTIFS(Register!$A$6:$A$185,$A13,Register!$D$6:$D$185,H$7,Register!$Q$6:$Q$185,"&gt;=0")=0,"",SUMIFS(Register!$Q$6:$Q$185,Register!$A$6:$A$185,$A13,Register!$D$6:$D$185,H$7)),IF($C$5="Released today",IF(COUNTIFS(Register!$A$6:$A$185,$A13,Register!$D$6:$D$185,H$7,Register!$T$6:$T$185,"&gt;=0")=0,"",SUMIFS(Register!$T$6:$T$185,Register!$A$6:$A$185,$A13,Register!$D$6:$D$185,H$7)),IF(COUNTIFS(Register!$A$6:$A$185,$A13,Register!$D$6:$D$185,H$7,Register!$O$6:$O$185,"&gt;=0")=0,"",SUMIFS(Register!$O$6:$O$185,Register!$A$6:$A$185,$A13,Register!$D$6:$D$185,H$7))))))</f>
        <v>2</v>
      </c>
      <c r="I13" s="14">
        <f>IF($A13="","",IF(COUNTIFS(Register!$A$6:$A$185,$A13,Register!$D$6:$D$185,I$7)&gt;1,"Dup.",IF($C$5="Critical assets (target)",IF(COUNTIFS(Register!$A$6:$A$185,$A13,Register!$D$6:$D$185,I$7,Register!$Q$6:$Q$185,"&gt;=0")=0,"",SUMIFS(Register!$Q$6:$Q$185,Register!$A$6:$A$185,$A13,Register!$D$6:$D$185,I$7)),IF($C$5="Released today",IF(COUNTIFS(Register!$A$6:$A$185,$A13,Register!$D$6:$D$185,I$7,Register!$T$6:$T$185,"&gt;=0")=0,"",SUMIFS(Register!$T$6:$T$185,Register!$A$6:$A$185,$A13,Register!$D$6:$D$185,I$7)),IF(COUNTIFS(Register!$A$6:$A$185,$A13,Register!$D$6:$D$185,I$7,Register!$O$6:$O$185,"&gt;=0")=0,"",SUMIFS(Register!$O$6:$O$185,Register!$A$6:$A$185,$A13,Register!$D$6:$D$185,I$7))))))</f>
        <v>2</v>
      </c>
      <c r="J13" s="14">
        <f>IF($A13="","",IF(COUNTIFS(Register!$A$6:$A$185,$A13,Register!$D$6:$D$185,J$7)&gt;1,"Dup.",IF($C$5="Critical assets (target)",IF(COUNTIFS(Register!$A$6:$A$185,$A13,Register!$D$6:$D$185,J$7,Register!$Q$6:$Q$185,"&gt;=0")=0,"",SUMIFS(Register!$Q$6:$Q$185,Register!$A$6:$A$185,$A13,Register!$D$6:$D$185,J$7)),IF($C$5="Released today",IF(COUNTIFS(Register!$A$6:$A$185,$A13,Register!$D$6:$D$185,J$7,Register!$T$6:$T$185,"&gt;=0")=0,"",SUMIFS(Register!$T$6:$T$185,Register!$A$6:$A$185,$A13,Register!$D$6:$D$185,J$7)),IF(COUNTIFS(Register!$A$6:$A$185,$A13,Register!$D$6:$D$185,J$7,Register!$O$6:$O$185,"&gt;=0")=0,"",SUMIFS(Register!$O$6:$O$185,Register!$A$6:$A$185,$A13,Register!$D$6:$D$185,J$7))))))</f>
        <v>2</v>
      </c>
      <c r="K13" s="13" t="str">
        <f t="shared" si="0"/>
        <v>Triage</v>
      </c>
      <c r="L13" s="13">
        <f>IF($A13="","",COUNTIFS(Register!$A$6:$A$185,$A13,Register!$P$6:$P$185,"Above policy*"))</f>
        <v>0</v>
      </c>
      <c r="M13" s="13" t="str">
        <f>IF($A13="","",IF(COUNTIF('Readiness gate'!$A$7:$A$36,$A13)&lt;&gt;1,"Incomplete",IFERROR(IF(VLOOKUP($A13,GateTab,9,FALSE())="","Incomplete",VLOOKUP($A13,GateTab,9,FALSE())),"Incomplete")))</f>
        <v>Passed</v>
      </c>
      <c r="N13" s="13">
        <f>IF($A13="","",SUMPRODUCT((Register!$A$6:$A$185=$A13)*(Register!$T$6:$T$185&lt;&gt;"")*(Register!$O$6:$O$185&lt;&gt;"")*(Register!$T$6:$T$185&lt;Register!$O$6:$O$185)))</f>
        <v>5</v>
      </c>
    </row>
    <row r="14" spans="1:19" x14ac:dyDescent="0.25">
      <c r="A14" s="8" t="str">
        <f>IF('Use cases'!$B$11="","",'Use cases'!$A$11)</f>
        <v>UC07</v>
      </c>
      <c r="B14" s="11" t="str">
        <f>IF($A14="","",'Use cases'!$B$11)</f>
        <v>Endpoint malware containment</v>
      </c>
      <c r="C14" s="12" t="str">
        <f>IF($A14="","",'Use cases'!$C$11)</f>
        <v>Endpoint</v>
      </c>
      <c r="D14" s="13" t="str">
        <f>IF($A14="","",'Use cases'!$E$11)</f>
        <v>Progressive</v>
      </c>
      <c r="E14" s="14">
        <f>IF($A14="","",IF(COUNTIFS(Register!$A$6:$A$185,$A14,Register!$D$6:$D$185,E$7)&gt;1,"Dup.",IF($C$5="Critical assets (target)",IF(COUNTIFS(Register!$A$6:$A$185,$A14,Register!$D$6:$D$185,E$7,Register!$Q$6:$Q$185,"&gt;=0")=0,"",SUMIFS(Register!$Q$6:$Q$185,Register!$A$6:$A$185,$A14,Register!$D$6:$D$185,E$7)),IF($C$5="Released today",IF(COUNTIFS(Register!$A$6:$A$185,$A14,Register!$D$6:$D$185,E$7,Register!$T$6:$T$185,"&gt;=0")=0,"",SUMIFS(Register!$T$6:$T$185,Register!$A$6:$A$185,$A14,Register!$D$6:$D$185,E$7)),IF(COUNTIFS(Register!$A$6:$A$185,$A14,Register!$D$6:$D$185,E$7,Register!$O$6:$O$185,"&gt;=0")=0,"",SUMIFS(Register!$O$6:$O$185,Register!$A$6:$A$185,$A14,Register!$D$6:$D$185,E$7))))))</f>
        <v>4</v>
      </c>
      <c r="F14" s="14">
        <f>IF($A14="","",IF(COUNTIFS(Register!$A$6:$A$185,$A14,Register!$D$6:$D$185,F$7)&gt;1,"Dup.",IF($C$5="Critical assets (target)",IF(COUNTIFS(Register!$A$6:$A$185,$A14,Register!$D$6:$D$185,F$7,Register!$Q$6:$Q$185,"&gt;=0")=0,"",SUMIFS(Register!$Q$6:$Q$185,Register!$A$6:$A$185,$A14,Register!$D$6:$D$185,F$7)),IF($C$5="Released today",IF(COUNTIFS(Register!$A$6:$A$185,$A14,Register!$D$6:$D$185,F$7,Register!$T$6:$T$185,"&gt;=0")=0,"",SUMIFS(Register!$T$6:$T$185,Register!$A$6:$A$185,$A14,Register!$D$6:$D$185,F$7)),IF(COUNTIFS(Register!$A$6:$A$185,$A14,Register!$D$6:$D$185,F$7,Register!$O$6:$O$185,"&gt;=0")=0,"",SUMIFS(Register!$O$6:$O$185,Register!$A$6:$A$185,$A14,Register!$D$6:$D$185,F$7))))))</f>
        <v>2</v>
      </c>
      <c r="G14" s="14">
        <f>IF($A14="","",IF(COUNTIFS(Register!$A$6:$A$185,$A14,Register!$D$6:$D$185,G$7)&gt;1,"Dup.",IF($C$5="Critical assets (target)",IF(COUNTIFS(Register!$A$6:$A$185,$A14,Register!$D$6:$D$185,G$7,Register!$Q$6:$Q$185,"&gt;=0")=0,"",SUMIFS(Register!$Q$6:$Q$185,Register!$A$6:$A$185,$A14,Register!$D$6:$D$185,G$7)),IF($C$5="Released today",IF(COUNTIFS(Register!$A$6:$A$185,$A14,Register!$D$6:$D$185,G$7,Register!$T$6:$T$185,"&gt;=0")=0,"",SUMIFS(Register!$T$6:$T$185,Register!$A$6:$A$185,$A14,Register!$D$6:$D$185,G$7)),IF(COUNTIFS(Register!$A$6:$A$185,$A14,Register!$D$6:$D$185,G$7,Register!$O$6:$O$185,"&gt;=0")=0,"",SUMIFS(Register!$O$6:$O$185,Register!$A$6:$A$185,$A14,Register!$D$6:$D$185,G$7))))))</f>
        <v>4</v>
      </c>
      <c r="H14" s="14">
        <f>IF($A14="","",IF(COUNTIFS(Register!$A$6:$A$185,$A14,Register!$D$6:$D$185,H$7)&gt;1,"Dup.",IF($C$5="Critical assets (target)",IF(COUNTIFS(Register!$A$6:$A$185,$A14,Register!$D$6:$D$185,H$7,Register!$Q$6:$Q$185,"&gt;=0")=0,"",SUMIFS(Register!$Q$6:$Q$185,Register!$A$6:$A$185,$A14,Register!$D$6:$D$185,H$7)),IF($C$5="Released today",IF(COUNTIFS(Register!$A$6:$A$185,$A14,Register!$D$6:$D$185,H$7,Register!$T$6:$T$185,"&gt;=0")=0,"",SUMIFS(Register!$T$6:$T$185,Register!$A$6:$A$185,$A14,Register!$D$6:$D$185,H$7)),IF(COUNTIFS(Register!$A$6:$A$185,$A14,Register!$D$6:$D$185,H$7,Register!$O$6:$O$185,"&gt;=0")=0,"",SUMIFS(Register!$O$6:$O$185,Register!$A$6:$A$185,$A14,Register!$D$6:$D$185,H$7))))))</f>
        <v>2</v>
      </c>
      <c r="I14" s="14">
        <f>IF($A14="","",IF(COUNTIFS(Register!$A$6:$A$185,$A14,Register!$D$6:$D$185,I$7)&gt;1,"Dup.",IF($C$5="Critical assets (target)",IF(COUNTIFS(Register!$A$6:$A$185,$A14,Register!$D$6:$D$185,I$7,Register!$Q$6:$Q$185,"&gt;=0")=0,"",SUMIFS(Register!$Q$6:$Q$185,Register!$A$6:$A$185,$A14,Register!$D$6:$D$185,I$7)),IF($C$5="Released today",IF(COUNTIFS(Register!$A$6:$A$185,$A14,Register!$D$6:$D$185,I$7,Register!$T$6:$T$185,"&gt;=0")=0,"",SUMIFS(Register!$T$6:$T$185,Register!$A$6:$A$185,$A14,Register!$D$6:$D$185,I$7)),IF(COUNTIFS(Register!$A$6:$A$185,$A14,Register!$D$6:$D$185,I$7,Register!$O$6:$O$185,"&gt;=0")=0,"",SUMIFS(Register!$O$6:$O$185,Register!$A$6:$A$185,$A14,Register!$D$6:$D$185,I$7))))))</f>
        <v>2</v>
      </c>
      <c r="J14" s="14">
        <f>IF($A14="","",IF(COUNTIFS(Register!$A$6:$A$185,$A14,Register!$D$6:$D$185,J$7)&gt;1,"Dup.",IF($C$5="Critical assets (target)",IF(COUNTIFS(Register!$A$6:$A$185,$A14,Register!$D$6:$D$185,J$7,Register!$Q$6:$Q$185,"&gt;=0")=0,"",SUMIFS(Register!$Q$6:$Q$185,Register!$A$6:$A$185,$A14,Register!$D$6:$D$185,J$7)),IF($C$5="Released today",IF(COUNTIFS(Register!$A$6:$A$185,$A14,Register!$D$6:$D$185,J$7,Register!$T$6:$T$185,"&gt;=0")=0,"",SUMIFS(Register!$T$6:$T$185,Register!$A$6:$A$185,$A14,Register!$D$6:$D$185,J$7)),IF(COUNTIFS(Register!$A$6:$A$185,$A14,Register!$D$6:$D$185,J$7,Register!$O$6:$O$185,"&gt;=0")=0,"",SUMIFS(Register!$O$6:$O$185,Register!$A$6:$A$185,$A14,Register!$D$6:$D$185,J$7))))))</f>
        <v>2</v>
      </c>
      <c r="K14" s="13" t="str">
        <f t="shared" si="0"/>
        <v>Triage</v>
      </c>
      <c r="L14" s="13">
        <f>IF($A14="","",COUNTIFS(Register!$A$6:$A$185,$A14,Register!$P$6:$P$185,"Above policy*"))</f>
        <v>0</v>
      </c>
      <c r="M14" s="13" t="str">
        <f>IF($A14="","",IF(COUNTIF('Readiness gate'!$A$7:$A$36,$A14)&lt;&gt;1,"Incomplete",IFERROR(IF(VLOOKUP($A14,GateTab,9,FALSE())="","Incomplete",VLOOKUP($A14,GateTab,9,FALSE())),"Incomplete")))</f>
        <v>Passed</v>
      </c>
      <c r="N14" s="13">
        <f>IF($A14="","",SUMPRODUCT((Register!$A$6:$A$185=$A14)*(Register!$T$6:$T$185&lt;&gt;"")*(Register!$O$6:$O$185&lt;&gt;"")*(Register!$T$6:$T$185&lt;Register!$O$6:$O$185)))</f>
        <v>4</v>
      </c>
    </row>
    <row r="15" spans="1:19" x14ac:dyDescent="0.25">
      <c r="A15" s="8" t="str">
        <f>IF('Use cases'!$B$12="","",'Use cases'!$A$12)</f>
        <v>UC08</v>
      </c>
      <c r="B15" s="11" t="str">
        <f>IF($A15="","",'Use cases'!$B$12)</f>
        <v>Early ransomware indicators</v>
      </c>
      <c r="C15" s="12" t="str">
        <f>IF($A15="","",'Use cases'!$C$12)</f>
        <v>Endpoint</v>
      </c>
      <c r="D15" s="13" t="str">
        <f>IF($A15="","",'Use cases'!$E$12)</f>
        <v>Progressive</v>
      </c>
      <c r="E15" s="14">
        <f>IF($A15="","",IF(COUNTIFS(Register!$A$6:$A$185,$A15,Register!$D$6:$D$185,E$7)&gt;1,"Dup.",IF($C$5="Critical assets (target)",IF(COUNTIFS(Register!$A$6:$A$185,$A15,Register!$D$6:$D$185,E$7,Register!$Q$6:$Q$185,"&gt;=0")=0,"",SUMIFS(Register!$Q$6:$Q$185,Register!$A$6:$A$185,$A15,Register!$D$6:$D$185,E$7)),IF($C$5="Released today",IF(COUNTIFS(Register!$A$6:$A$185,$A15,Register!$D$6:$D$185,E$7,Register!$T$6:$T$185,"&gt;=0")=0,"",SUMIFS(Register!$T$6:$T$185,Register!$A$6:$A$185,$A15,Register!$D$6:$D$185,E$7)),IF(COUNTIFS(Register!$A$6:$A$185,$A15,Register!$D$6:$D$185,E$7,Register!$O$6:$O$185,"&gt;=0")=0,"",SUMIFS(Register!$O$6:$O$185,Register!$A$6:$A$185,$A15,Register!$D$6:$D$185,E$7))))))</f>
        <v>1</v>
      </c>
      <c r="F15" s="14">
        <f>IF($A15="","",IF(COUNTIFS(Register!$A$6:$A$185,$A15,Register!$D$6:$D$185,F$7)&gt;1,"Dup.",IF($C$5="Critical assets (target)",IF(COUNTIFS(Register!$A$6:$A$185,$A15,Register!$D$6:$D$185,F$7,Register!$Q$6:$Q$185,"&gt;=0")=0,"",SUMIFS(Register!$Q$6:$Q$185,Register!$A$6:$A$185,$A15,Register!$D$6:$D$185,F$7)),IF($C$5="Released today",IF(COUNTIFS(Register!$A$6:$A$185,$A15,Register!$D$6:$D$185,F$7,Register!$T$6:$T$185,"&gt;=0")=0,"",SUMIFS(Register!$T$6:$T$185,Register!$A$6:$A$185,$A15,Register!$D$6:$D$185,F$7)),IF(COUNTIFS(Register!$A$6:$A$185,$A15,Register!$D$6:$D$185,F$7,Register!$O$6:$O$185,"&gt;=0")=0,"",SUMIFS(Register!$O$6:$O$185,Register!$A$6:$A$185,$A15,Register!$D$6:$D$185,F$7))))))</f>
        <v>1</v>
      </c>
      <c r="G15" s="14">
        <f>IF($A15="","",IF(COUNTIFS(Register!$A$6:$A$185,$A15,Register!$D$6:$D$185,G$7)&gt;1,"Dup.",IF($C$5="Critical assets (target)",IF(COUNTIFS(Register!$A$6:$A$185,$A15,Register!$D$6:$D$185,G$7,Register!$Q$6:$Q$185,"&gt;=0")=0,"",SUMIFS(Register!$Q$6:$Q$185,Register!$A$6:$A$185,$A15,Register!$D$6:$D$185,G$7)),IF($C$5="Released today",IF(COUNTIFS(Register!$A$6:$A$185,$A15,Register!$D$6:$D$185,G$7,Register!$T$6:$T$185,"&gt;=0")=0,"",SUMIFS(Register!$T$6:$T$185,Register!$A$6:$A$185,$A15,Register!$D$6:$D$185,G$7)),IF(COUNTIFS(Register!$A$6:$A$185,$A15,Register!$D$6:$D$185,G$7,Register!$O$6:$O$185,"&gt;=0")=0,"",SUMIFS(Register!$O$6:$O$185,Register!$A$6:$A$185,$A15,Register!$D$6:$D$185,G$7))))))</f>
        <v>2</v>
      </c>
      <c r="H15" s="14">
        <f>IF($A15="","",IF(COUNTIFS(Register!$A$6:$A$185,$A15,Register!$D$6:$D$185,H$7)&gt;1,"Dup.",IF($C$5="Critical assets (target)",IF(COUNTIFS(Register!$A$6:$A$185,$A15,Register!$D$6:$D$185,H$7,Register!$Q$6:$Q$185,"&gt;=0")=0,"",SUMIFS(Register!$Q$6:$Q$185,Register!$A$6:$A$185,$A15,Register!$D$6:$D$185,H$7)),IF($C$5="Released today",IF(COUNTIFS(Register!$A$6:$A$185,$A15,Register!$D$6:$D$185,H$7,Register!$T$6:$T$185,"&gt;=0")=0,"",SUMIFS(Register!$T$6:$T$185,Register!$A$6:$A$185,$A15,Register!$D$6:$D$185,H$7)),IF(COUNTIFS(Register!$A$6:$A$185,$A15,Register!$D$6:$D$185,H$7,Register!$O$6:$O$185,"&gt;=0")=0,"",SUMIFS(Register!$O$6:$O$185,Register!$A$6:$A$185,$A15,Register!$D$6:$D$185,H$7))))))</f>
        <v>1</v>
      </c>
      <c r="I15" s="14">
        <f>IF($A15="","",IF(COUNTIFS(Register!$A$6:$A$185,$A15,Register!$D$6:$D$185,I$7)&gt;1,"Dup.",IF($C$5="Critical assets (target)",IF(COUNTIFS(Register!$A$6:$A$185,$A15,Register!$D$6:$D$185,I$7,Register!$Q$6:$Q$185,"&gt;=0")=0,"",SUMIFS(Register!$Q$6:$Q$185,Register!$A$6:$A$185,$A15,Register!$D$6:$D$185,I$7)),IF($C$5="Released today",IF(COUNTIFS(Register!$A$6:$A$185,$A15,Register!$D$6:$D$185,I$7,Register!$T$6:$T$185,"&gt;=0")=0,"",SUMIFS(Register!$T$6:$T$185,Register!$A$6:$A$185,$A15,Register!$D$6:$D$185,I$7)),IF(COUNTIFS(Register!$A$6:$A$185,$A15,Register!$D$6:$D$185,I$7,Register!$O$6:$O$185,"&gt;=0")=0,"",SUMIFS(Register!$O$6:$O$185,Register!$A$6:$A$185,$A15,Register!$D$6:$D$185,I$7))))))</f>
        <v>1</v>
      </c>
      <c r="J15" s="14">
        <f>IF($A15="","",IF(COUNTIFS(Register!$A$6:$A$185,$A15,Register!$D$6:$D$185,J$7)&gt;1,"Dup.",IF($C$5="Critical assets (target)",IF(COUNTIFS(Register!$A$6:$A$185,$A15,Register!$D$6:$D$185,J$7,Register!$Q$6:$Q$185,"&gt;=0")=0,"",SUMIFS(Register!$Q$6:$Q$185,Register!$A$6:$A$185,$A15,Register!$D$6:$D$185,J$7)),IF($C$5="Released today",IF(COUNTIFS(Register!$A$6:$A$185,$A15,Register!$D$6:$D$185,J$7,Register!$T$6:$T$185,"&gt;=0")=0,"",SUMIFS(Register!$T$6:$T$185,Register!$A$6:$A$185,$A15,Register!$D$6:$D$185,J$7)),IF(COUNTIFS(Register!$A$6:$A$185,$A15,Register!$D$6:$D$185,J$7,Register!$O$6:$O$185,"&gt;=0")=0,"",SUMIFS(Register!$O$6:$O$185,Register!$A$6:$A$185,$A15,Register!$D$6:$D$185,J$7))))))</f>
        <v>1</v>
      </c>
      <c r="K15" s="13" t="str">
        <f t="shared" si="0"/>
        <v>Enrich</v>
      </c>
      <c r="L15" s="13">
        <f>IF($A15="","",COUNTIFS(Register!$A$6:$A$185,$A15,Register!$P$6:$P$185,"Above policy*"))</f>
        <v>0</v>
      </c>
      <c r="M15" s="13" t="str">
        <f>IF($A15="","",IF(COUNTIF('Readiness gate'!$A$7:$A$36,$A15)&lt;&gt;1,"Incomplete",IFERROR(IF(VLOOKUP($A15,GateTab,9,FALSE())="","Incomplete",VLOOKUP($A15,GateTab,9,FALSE())),"Incomplete")))</f>
        <v>Not passed</v>
      </c>
      <c r="N15" s="13">
        <f>IF($A15="","",SUMPRODUCT((Register!$A$6:$A$185=$A15)*(Register!$T$6:$T$185&lt;&gt;"")*(Register!$O$6:$O$185&lt;&gt;"")*(Register!$T$6:$T$185&lt;Register!$O$6:$O$185)))</f>
        <v>6</v>
      </c>
    </row>
    <row r="16" spans="1:19" x14ac:dyDescent="0.25">
      <c r="A16" s="8" t="str">
        <f>IF('Use cases'!$B$13="","",'Use cases'!$A$13)</f>
        <v>UC09</v>
      </c>
      <c r="B16" s="11" t="str">
        <f>IF($A16="","",'Use cases'!$B$13)</f>
        <v>C2 beaconing</v>
      </c>
      <c r="C16" s="12" t="str">
        <f>IF($A16="","",'Use cases'!$C$13)</f>
        <v>Network</v>
      </c>
      <c r="D16" s="13" t="str">
        <f>IF($A16="","",'Use cases'!$E$13)</f>
        <v>Progressive</v>
      </c>
      <c r="E16" s="14">
        <f>IF($A16="","",IF(COUNTIFS(Register!$A$6:$A$185,$A16,Register!$D$6:$D$185,E$7)&gt;1,"Dup.",IF($C$5="Critical assets (target)",IF(COUNTIFS(Register!$A$6:$A$185,$A16,Register!$D$6:$D$185,E$7,Register!$Q$6:$Q$185,"&gt;=0")=0,"",SUMIFS(Register!$Q$6:$Q$185,Register!$A$6:$A$185,$A16,Register!$D$6:$D$185,E$7)),IF($C$5="Released today",IF(COUNTIFS(Register!$A$6:$A$185,$A16,Register!$D$6:$D$185,E$7,Register!$T$6:$T$185,"&gt;=0")=0,"",SUMIFS(Register!$T$6:$T$185,Register!$A$6:$A$185,$A16,Register!$D$6:$D$185,E$7)),IF(COUNTIFS(Register!$A$6:$A$185,$A16,Register!$D$6:$D$185,E$7,Register!$O$6:$O$185,"&gt;=0")=0,"",SUMIFS(Register!$O$6:$O$185,Register!$A$6:$A$185,$A16,Register!$D$6:$D$185,E$7))))))</f>
        <v>4</v>
      </c>
      <c r="F16" s="14">
        <f>IF($A16="","",IF(COUNTIFS(Register!$A$6:$A$185,$A16,Register!$D$6:$D$185,F$7)&gt;1,"Dup.",IF($C$5="Critical assets (target)",IF(COUNTIFS(Register!$A$6:$A$185,$A16,Register!$D$6:$D$185,F$7,Register!$Q$6:$Q$185,"&gt;=0")=0,"",SUMIFS(Register!$Q$6:$Q$185,Register!$A$6:$A$185,$A16,Register!$D$6:$D$185,F$7)),IF($C$5="Released today",IF(COUNTIFS(Register!$A$6:$A$185,$A16,Register!$D$6:$D$185,F$7,Register!$T$6:$T$185,"&gt;=0")=0,"",SUMIFS(Register!$T$6:$T$185,Register!$A$6:$A$185,$A16,Register!$D$6:$D$185,F$7)),IF(COUNTIFS(Register!$A$6:$A$185,$A16,Register!$D$6:$D$185,F$7,Register!$O$6:$O$185,"&gt;=0")=0,"",SUMIFS(Register!$O$6:$O$185,Register!$A$6:$A$185,$A16,Register!$D$6:$D$185,F$7))))))</f>
        <v>2</v>
      </c>
      <c r="G16" s="14">
        <f>IF($A16="","",IF(COUNTIFS(Register!$A$6:$A$185,$A16,Register!$D$6:$D$185,G$7)&gt;1,"Dup.",IF($C$5="Critical assets (target)",IF(COUNTIFS(Register!$A$6:$A$185,$A16,Register!$D$6:$D$185,G$7,Register!$Q$6:$Q$185,"&gt;=0")=0,"",SUMIFS(Register!$Q$6:$Q$185,Register!$A$6:$A$185,$A16,Register!$D$6:$D$185,G$7)),IF($C$5="Released today",IF(COUNTIFS(Register!$A$6:$A$185,$A16,Register!$D$6:$D$185,G$7,Register!$T$6:$T$185,"&gt;=0")=0,"",SUMIFS(Register!$T$6:$T$185,Register!$A$6:$A$185,$A16,Register!$D$6:$D$185,G$7)),IF(COUNTIFS(Register!$A$6:$A$185,$A16,Register!$D$6:$D$185,G$7,Register!$O$6:$O$185,"&gt;=0")=0,"",SUMIFS(Register!$O$6:$O$185,Register!$A$6:$A$185,$A16,Register!$D$6:$D$185,G$7))))))</f>
        <v>4</v>
      </c>
      <c r="H16" s="14">
        <f>IF($A16="","",IF(COUNTIFS(Register!$A$6:$A$185,$A16,Register!$D$6:$D$185,H$7)&gt;1,"Dup.",IF($C$5="Critical assets (target)",IF(COUNTIFS(Register!$A$6:$A$185,$A16,Register!$D$6:$D$185,H$7,Register!$Q$6:$Q$185,"&gt;=0")=0,"",SUMIFS(Register!$Q$6:$Q$185,Register!$A$6:$A$185,$A16,Register!$D$6:$D$185,H$7)),IF($C$5="Released today",IF(COUNTIFS(Register!$A$6:$A$185,$A16,Register!$D$6:$D$185,H$7,Register!$T$6:$T$185,"&gt;=0")=0,"",SUMIFS(Register!$T$6:$T$185,Register!$A$6:$A$185,$A16,Register!$D$6:$D$185,H$7)),IF(COUNTIFS(Register!$A$6:$A$185,$A16,Register!$D$6:$D$185,H$7,Register!$O$6:$O$185,"&gt;=0")=0,"",SUMIFS(Register!$O$6:$O$185,Register!$A$6:$A$185,$A16,Register!$D$6:$D$185,H$7))))))</f>
        <v>2</v>
      </c>
      <c r="I16" s="14">
        <f>IF($A16="","",IF(COUNTIFS(Register!$A$6:$A$185,$A16,Register!$D$6:$D$185,I$7)&gt;1,"Dup.",IF($C$5="Critical assets (target)",IF(COUNTIFS(Register!$A$6:$A$185,$A16,Register!$D$6:$D$185,I$7,Register!$Q$6:$Q$185,"&gt;=0")=0,"",SUMIFS(Register!$Q$6:$Q$185,Register!$A$6:$A$185,$A16,Register!$D$6:$D$185,I$7)),IF($C$5="Released today",IF(COUNTIFS(Register!$A$6:$A$185,$A16,Register!$D$6:$D$185,I$7,Register!$T$6:$T$185,"&gt;=0")=0,"",SUMIFS(Register!$T$6:$T$185,Register!$A$6:$A$185,$A16,Register!$D$6:$D$185,I$7)),IF(COUNTIFS(Register!$A$6:$A$185,$A16,Register!$D$6:$D$185,I$7,Register!$O$6:$O$185,"&gt;=0")=0,"",SUMIFS(Register!$O$6:$O$185,Register!$A$6:$A$185,$A16,Register!$D$6:$D$185,I$7))))))</f>
        <v>2</v>
      </c>
      <c r="J16" s="14">
        <f>IF($A16="","",IF(COUNTIFS(Register!$A$6:$A$185,$A16,Register!$D$6:$D$185,J$7)&gt;1,"Dup.",IF($C$5="Critical assets (target)",IF(COUNTIFS(Register!$A$6:$A$185,$A16,Register!$D$6:$D$185,J$7,Register!$Q$6:$Q$185,"&gt;=0")=0,"",SUMIFS(Register!$Q$6:$Q$185,Register!$A$6:$A$185,$A16,Register!$D$6:$D$185,J$7)),IF($C$5="Released today",IF(COUNTIFS(Register!$A$6:$A$185,$A16,Register!$D$6:$D$185,J$7,Register!$T$6:$T$185,"&gt;=0")=0,"",SUMIFS(Register!$T$6:$T$185,Register!$A$6:$A$185,$A16,Register!$D$6:$D$185,J$7)),IF(COUNTIFS(Register!$A$6:$A$185,$A16,Register!$D$6:$D$185,J$7,Register!$O$6:$O$185,"&gt;=0")=0,"",SUMIFS(Register!$O$6:$O$185,Register!$A$6:$A$185,$A16,Register!$D$6:$D$185,J$7))))))</f>
        <v>2</v>
      </c>
      <c r="K16" s="13" t="str">
        <f t="shared" si="0"/>
        <v>Triage</v>
      </c>
      <c r="L16" s="13">
        <f>IF($A16="","",COUNTIFS(Register!$A$6:$A$185,$A16,Register!$P$6:$P$185,"Above policy*"))</f>
        <v>0</v>
      </c>
      <c r="M16" s="13" t="str">
        <f>IF($A16="","",IF(COUNTIF('Readiness gate'!$A$7:$A$36,$A16)&lt;&gt;1,"Incomplete",IFERROR(IF(VLOOKUP($A16,GateTab,9,FALSE())="","Incomplete",VLOOKUP($A16,GateTab,9,FALSE())),"Incomplete")))</f>
        <v>Passed</v>
      </c>
      <c r="N16" s="13">
        <f>IF($A16="","",SUMPRODUCT((Register!$A$6:$A$185=$A16)*(Register!$T$6:$T$185&lt;&gt;"")*(Register!$O$6:$O$185&lt;&gt;"")*(Register!$T$6:$T$185&lt;Register!$O$6:$O$185)))</f>
        <v>4</v>
      </c>
    </row>
    <row r="17" spans="1:14" x14ac:dyDescent="0.25">
      <c r="A17" s="8" t="str">
        <f>IF('Use cases'!$B$14="","",'Use cases'!$A$14)</f>
        <v>UC10</v>
      </c>
      <c r="B17" s="11" t="str">
        <f>IF($A17="","",'Use cases'!$B$14)</f>
        <v>Suspicious PowerShell or LOLBin activity</v>
      </c>
      <c r="C17" s="12" t="str">
        <f>IF($A17="","",'Use cases'!$C$14)</f>
        <v>Endpoint</v>
      </c>
      <c r="D17" s="13" t="str">
        <f>IF($A17="","",'Use cases'!$E$14)</f>
        <v>Progressive</v>
      </c>
      <c r="E17" s="14">
        <f>IF($A17="","",IF(COUNTIFS(Register!$A$6:$A$185,$A17,Register!$D$6:$D$185,E$7)&gt;1,"Dup.",IF($C$5="Critical assets (target)",IF(COUNTIFS(Register!$A$6:$A$185,$A17,Register!$D$6:$D$185,E$7,Register!$Q$6:$Q$185,"&gt;=0")=0,"",SUMIFS(Register!$Q$6:$Q$185,Register!$A$6:$A$185,$A17,Register!$D$6:$D$185,E$7)),IF($C$5="Released today",IF(COUNTIFS(Register!$A$6:$A$185,$A17,Register!$D$6:$D$185,E$7,Register!$T$6:$T$185,"&gt;=0")=0,"",SUMIFS(Register!$T$6:$T$185,Register!$A$6:$A$185,$A17,Register!$D$6:$D$185,E$7)),IF(COUNTIFS(Register!$A$6:$A$185,$A17,Register!$D$6:$D$185,E$7,Register!$O$6:$O$185,"&gt;=0")=0,"",SUMIFS(Register!$O$6:$O$185,Register!$A$6:$A$185,$A17,Register!$D$6:$D$185,E$7))))))</f>
        <v>1</v>
      </c>
      <c r="F17" s="14">
        <f>IF($A17="","",IF(COUNTIFS(Register!$A$6:$A$185,$A17,Register!$D$6:$D$185,F$7)&gt;1,"Dup.",IF($C$5="Critical assets (target)",IF(COUNTIFS(Register!$A$6:$A$185,$A17,Register!$D$6:$D$185,F$7,Register!$Q$6:$Q$185,"&gt;=0")=0,"",SUMIFS(Register!$Q$6:$Q$185,Register!$A$6:$A$185,$A17,Register!$D$6:$D$185,F$7)),IF($C$5="Released today",IF(COUNTIFS(Register!$A$6:$A$185,$A17,Register!$D$6:$D$185,F$7,Register!$T$6:$T$185,"&gt;=0")=0,"",SUMIFS(Register!$T$6:$T$185,Register!$A$6:$A$185,$A17,Register!$D$6:$D$185,F$7)),IF(COUNTIFS(Register!$A$6:$A$185,$A17,Register!$D$6:$D$185,F$7,Register!$O$6:$O$185,"&gt;=0")=0,"",SUMIFS(Register!$O$6:$O$185,Register!$A$6:$A$185,$A17,Register!$D$6:$D$185,F$7))))))</f>
        <v>2</v>
      </c>
      <c r="G17" s="14">
        <f>IF($A17="","",IF(COUNTIFS(Register!$A$6:$A$185,$A17,Register!$D$6:$D$185,G$7)&gt;1,"Dup.",IF($C$5="Critical assets (target)",IF(COUNTIFS(Register!$A$6:$A$185,$A17,Register!$D$6:$D$185,G$7,Register!$Q$6:$Q$185,"&gt;=0")=0,"",SUMIFS(Register!$Q$6:$Q$185,Register!$A$6:$A$185,$A17,Register!$D$6:$D$185,G$7)),IF($C$5="Released today",IF(COUNTIFS(Register!$A$6:$A$185,$A17,Register!$D$6:$D$185,G$7,Register!$T$6:$T$185,"&gt;=0")=0,"",SUMIFS(Register!$T$6:$T$185,Register!$A$6:$A$185,$A17,Register!$D$6:$D$185,G$7)),IF(COUNTIFS(Register!$A$6:$A$185,$A17,Register!$D$6:$D$185,G$7,Register!$O$6:$O$185,"&gt;=0")=0,"",SUMIFS(Register!$O$6:$O$185,Register!$A$6:$A$185,$A17,Register!$D$6:$D$185,G$7))))))</f>
        <v>2</v>
      </c>
      <c r="H17" s="14">
        <f>IF($A17="","",IF(COUNTIFS(Register!$A$6:$A$185,$A17,Register!$D$6:$D$185,H$7)&gt;1,"Dup.",IF($C$5="Critical assets (target)",IF(COUNTIFS(Register!$A$6:$A$185,$A17,Register!$D$6:$D$185,H$7,Register!$Q$6:$Q$185,"&gt;=0")=0,"",SUMIFS(Register!$Q$6:$Q$185,Register!$A$6:$A$185,$A17,Register!$D$6:$D$185,H$7)),IF($C$5="Released today",IF(COUNTIFS(Register!$A$6:$A$185,$A17,Register!$D$6:$D$185,H$7,Register!$T$6:$T$185,"&gt;=0")=0,"",SUMIFS(Register!$T$6:$T$185,Register!$A$6:$A$185,$A17,Register!$D$6:$D$185,H$7)),IF(COUNTIFS(Register!$A$6:$A$185,$A17,Register!$D$6:$D$185,H$7,Register!$O$6:$O$185,"&gt;=0")=0,"",SUMIFS(Register!$O$6:$O$185,Register!$A$6:$A$185,$A17,Register!$D$6:$D$185,H$7))))))</f>
        <v>1</v>
      </c>
      <c r="I17" s="14">
        <f>IF($A17="","",IF(COUNTIFS(Register!$A$6:$A$185,$A17,Register!$D$6:$D$185,I$7)&gt;1,"Dup.",IF($C$5="Critical assets (target)",IF(COUNTIFS(Register!$A$6:$A$185,$A17,Register!$D$6:$D$185,I$7,Register!$Q$6:$Q$185,"&gt;=0")=0,"",SUMIFS(Register!$Q$6:$Q$185,Register!$A$6:$A$185,$A17,Register!$D$6:$D$185,I$7)),IF($C$5="Released today",IF(COUNTIFS(Register!$A$6:$A$185,$A17,Register!$D$6:$D$185,I$7,Register!$T$6:$T$185,"&gt;=0")=0,"",SUMIFS(Register!$T$6:$T$185,Register!$A$6:$A$185,$A17,Register!$D$6:$D$185,I$7)),IF(COUNTIFS(Register!$A$6:$A$185,$A17,Register!$D$6:$D$185,I$7,Register!$O$6:$O$185,"&gt;=0")=0,"",SUMIFS(Register!$O$6:$O$185,Register!$A$6:$A$185,$A17,Register!$D$6:$D$185,I$7))))))</f>
        <v>1</v>
      </c>
      <c r="J17" s="14">
        <f>IF($A17="","",IF(COUNTIFS(Register!$A$6:$A$185,$A17,Register!$D$6:$D$185,J$7)&gt;1,"Dup.",IF($C$5="Critical assets (target)",IF(COUNTIFS(Register!$A$6:$A$185,$A17,Register!$D$6:$D$185,J$7,Register!$Q$6:$Q$185,"&gt;=0")=0,"",SUMIFS(Register!$Q$6:$Q$185,Register!$A$6:$A$185,$A17,Register!$D$6:$D$185,J$7)),IF($C$5="Released today",IF(COUNTIFS(Register!$A$6:$A$185,$A17,Register!$D$6:$D$185,J$7,Register!$T$6:$T$185,"&gt;=0")=0,"",SUMIFS(Register!$T$6:$T$185,Register!$A$6:$A$185,$A17,Register!$D$6:$D$185,J$7)),IF(COUNTIFS(Register!$A$6:$A$185,$A17,Register!$D$6:$D$185,J$7,Register!$O$6:$O$185,"&gt;=0")=0,"",SUMIFS(Register!$O$6:$O$185,Register!$A$6:$A$185,$A17,Register!$D$6:$D$185,J$7))))))</f>
        <v>1</v>
      </c>
      <c r="K17" s="13" t="str">
        <f t="shared" si="0"/>
        <v>Enrich</v>
      </c>
      <c r="L17" s="13">
        <f>IF($A17="","",COUNTIFS(Register!$A$6:$A$185,$A17,Register!$P$6:$P$185,"Above policy*"))</f>
        <v>0</v>
      </c>
      <c r="M17" s="13" t="str">
        <f>IF($A17="","",IF(COUNTIF('Readiness gate'!$A$7:$A$36,$A17)&lt;&gt;1,"Incomplete",IFERROR(IF(VLOOKUP($A17,GateTab,9,FALSE())="","Incomplete",VLOOKUP($A17,GateTab,9,FALSE())),"Incomplete")))</f>
        <v>Not passed</v>
      </c>
      <c r="N17" s="13">
        <f>IF($A17="","",SUMPRODUCT((Register!$A$6:$A$185=$A17)*(Register!$T$6:$T$185&lt;&gt;"")*(Register!$O$6:$O$185&lt;&gt;"")*(Register!$T$6:$T$185&lt;Register!$O$6:$O$185)))</f>
        <v>6</v>
      </c>
    </row>
    <row r="18" spans="1:14" x14ac:dyDescent="0.25">
      <c r="A18" s="8" t="str">
        <f>IF('Use cases'!$B$15="","",'Use cases'!$A$15)</f>
        <v>UC11</v>
      </c>
      <c r="B18" s="11" t="str">
        <f>IF($A18="","",'Use cases'!$B$15)</f>
        <v>Data exfiltration via cloud storage</v>
      </c>
      <c r="C18" s="12" t="str">
        <f>IF($A18="","",'Use cases'!$C$15)</f>
        <v>Data</v>
      </c>
      <c r="D18" s="13" t="str">
        <f>IF($A18="","",'Use cases'!$E$15)</f>
        <v>Progressive</v>
      </c>
      <c r="E18" s="14">
        <f>IF($A18="","",IF(COUNTIFS(Register!$A$6:$A$185,$A18,Register!$D$6:$D$185,E$7)&gt;1,"Dup.",IF($C$5="Critical assets (target)",IF(COUNTIFS(Register!$A$6:$A$185,$A18,Register!$D$6:$D$185,E$7,Register!$Q$6:$Q$185,"&gt;=0")=0,"",SUMIFS(Register!$Q$6:$Q$185,Register!$A$6:$A$185,$A18,Register!$D$6:$D$185,E$7)),IF($C$5="Released today",IF(COUNTIFS(Register!$A$6:$A$185,$A18,Register!$D$6:$D$185,E$7,Register!$T$6:$T$185,"&gt;=0")=0,"",SUMIFS(Register!$T$6:$T$185,Register!$A$6:$A$185,$A18,Register!$D$6:$D$185,E$7)),IF(COUNTIFS(Register!$A$6:$A$185,$A18,Register!$D$6:$D$185,E$7,Register!$O$6:$O$185,"&gt;=0")=0,"",SUMIFS(Register!$O$6:$O$185,Register!$A$6:$A$185,$A18,Register!$D$6:$D$185,E$7))))))</f>
        <v>1</v>
      </c>
      <c r="F18" s="14">
        <f>IF($A18="","",IF(COUNTIFS(Register!$A$6:$A$185,$A18,Register!$D$6:$D$185,F$7)&gt;1,"Dup.",IF($C$5="Critical assets (target)",IF(COUNTIFS(Register!$A$6:$A$185,$A18,Register!$D$6:$D$185,F$7,Register!$Q$6:$Q$185,"&gt;=0")=0,"",SUMIFS(Register!$Q$6:$Q$185,Register!$A$6:$A$185,$A18,Register!$D$6:$D$185,F$7)),IF($C$5="Released today",IF(COUNTIFS(Register!$A$6:$A$185,$A18,Register!$D$6:$D$185,F$7,Register!$T$6:$T$185,"&gt;=0")=0,"",SUMIFS(Register!$T$6:$T$185,Register!$A$6:$A$185,$A18,Register!$D$6:$D$185,F$7)),IF(COUNTIFS(Register!$A$6:$A$185,$A18,Register!$D$6:$D$185,F$7,Register!$O$6:$O$185,"&gt;=0")=0,"",SUMIFS(Register!$O$6:$O$185,Register!$A$6:$A$185,$A18,Register!$D$6:$D$185,F$7))))))</f>
        <v>1</v>
      </c>
      <c r="G18" s="14">
        <f>IF($A18="","",IF(COUNTIFS(Register!$A$6:$A$185,$A18,Register!$D$6:$D$185,G$7)&gt;1,"Dup.",IF($C$5="Critical assets (target)",IF(COUNTIFS(Register!$A$6:$A$185,$A18,Register!$D$6:$D$185,G$7,Register!$Q$6:$Q$185,"&gt;=0")=0,"",SUMIFS(Register!$Q$6:$Q$185,Register!$A$6:$A$185,$A18,Register!$D$6:$D$185,G$7)),IF($C$5="Released today",IF(COUNTIFS(Register!$A$6:$A$185,$A18,Register!$D$6:$D$185,G$7,Register!$T$6:$T$185,"&gt;=0")=0,"",SUMIFS(Register!$T$6:$T$185,Register!$A$6:$A$185,$A18,Register!$D$6:$D$185,G$7)),IF(COUNTIFS(Register!$A$6:$A$185,$A18,Register!$D$6:$D$185,G$7,Register!$O$6:$O$185,"&gt;=0")=0,"",SUMIFS(Register!$O$6:$O$185,Register!$A$6:$A$185,$A18,Register!$D$6:$D$185,G$7))))))</f>
        <v>2</v>
      </c>
      <c r="H18" s="14">
        <f>IF($A18="","",IF(COUNTIFS(Register!$A$6:$A$185,$A18,Register!$D$6:$D$185,H$7)&gt;1,"Dup.",IF($C$5="Critical assets (target)",IF(COUNTIFS(Register!$A$6:$A$185,$A18,Register!$D$6:$D$185,H$7,Register!$Q$6:$Q$185,"&gt;=0")=0,"",SUMIFS(Register!$Q$6:$Q$185,Register!$A$6:$A$185,$A18,Register!$D$6:$D$185,H$7)),IF($C$5="Released today",IF(COUNTIFS(Register!$A$6:$A$185,$A18,Register!$D$6:$D$185,H$7,Register!$T$6:$T$185,"&gt;=0")=0,"",SUMIFS(Register!$T$6:$T$185,Register!$A$6:$A$185,$A18,Register!$D$6:$D$185,H$7)),IF(COUNTIFS(Register!$A$6:$A$185,$A18,Register!$D$6:$D$185,H$7,Register!$O$6:$O$185,"&gt;=0")=0,"",SUMIFS(Register!$O$6:$O$185,Register!$A$6:$A$185,$A18,Register!$D$6:$D$185,H$7))))))</f>
        <v>1</v>
      </c>
      <c r="I18" s="14">
        <f>IF($A18="","",IF(COUNTIFS(Register!$A$6:$A$185,$A18,Register!$D$6:$D$185,I$7)&gt;1,"Dup.",IF($C$5="Critical assets (target)",IF(COUNTIFS(Register!$A$6:$A$185,$A18,Register!$D$6:$D$185,I$7,Register!$Q$6:$Q$185,"&gt;=0")=0,"",SUMIFS(Register!$Q$6:$Q$185,Register!$A$6:$A$185,$A18,Register!$D$6:$D$185,I$7)),IF($C$5="Released today",IF(COUNTIFS(Register!$A$6:$A$185,$A18,Register!$D$6:$D$185,I$7,Register!$T$6:$T$185,"&gt;=0")=0,"",SUMIFS(Register!$T$6:$T$185,Register!$A$6:$A$185,$A18,Register!$D$6:$D$185,I$7)),IF(COUNTIFS(Register!$A$6:$A$185,$A18,Register!$D$6:$D$185,I$7,Register!$O$6:$O$185,"&gt;=0")=0,"",SUMIFS(Register!$O$6:$O$185,Register!$A$6:$A$185,$A18,Register!$D$6:$D$185,I$7))))))</f>
        <v>1</v>
      </c>
      <c r="J18" s="14">
        <f>IF($A18="","",IF(COUNTIFS(Register!$A$6:$A$185,$A18,Register!$D$6:$D$185,J$7)&gt;1,"Dup.",IF($C$5="Critical assets (target)",IF(COUNTIFS(Register!$A$6:$A$185,$A18,Register!$D$6:$D$185,J$7,Register!$Q$6:$Q$185,"&gt;=0")=0,"",SUMIFS(Register!$Q$6:$Q$185,Register!$A$6:$A$185,$A18,Register!$D$6:$D$185,J$7)),IF($C$5="Released today",IF(COUNTIFS(Register!$A$6:$A$185,$A18,Register!$D$6:$D$185,J$7,Register!$T$6:$T$185,"&gt;=0")=0,"",SUMIFS(Register!$T$6:$T$185,Register!$A$6:$A$185,$A18,Register!$D$6:$D$185,J$7)),IF(COUNTIFS(Register!$A$6:$A$185,$A18,Register!$D$6:$D$185,J$7,Register!$O$6:$O$185,"&gt;=0")=0,"",SUMIFS(Register!$O$6:$O$185,Register!$A$6:$A$185,$A18,Register!$D$6:$D$185,J$7))))))</f>
        <v>1</v>
      </c>
      <c r="K18" s="13" t="str">
        <f t="shared" si="0"/>
        <v>Enrich</v>
      </c>
      <c r="L18" s="13">
        <f>IF($A18="","",COUNTIFS(Register!$A$6:$A$185,$A18,Register!$P$6:$P$185,"Above policy*"))</f>
        <v>0</v>
      </c>
      <c r="M18" s="13" t="str">
        <f>IF($A18="","",IF(COUNTIF('Readiness gate'!$A$7:$A$36,$A18)&lt;&gt;1,"Incomplete",IFERROR(IF(VLOOKUP($A18,GateTab,9,FALSE())="","Incomplete",VLOOKUP($A18,GateTab,9,FALSE())),"Incomplete")))</f>
        <v>Not passed</v>
      </c>
      <c r="N18" s="13">
        <f>IF($A18="","",SUMPRODUCT((Register!$A$6:$A$185=$A18)*(Register!$T$6:$T$185&lt;&gt;"")*(Register!$O$6:$O$185&lt;&gt;"")*(Register!$T$6:$T$185&lt;Register!$O$6:$O$185)))</f>
        <v>6</v>
      </c>
    </row>
    <row r="19" spans="1:14" x14ac:dyDescent="0.25">
      <c r="A19" s="8" t="str">
        <f>IF('Use cases'!$B$16="","",'Use cases'!$A$16)</f>
        <v>UC12</v>
      </c>
      <c r="B19" s="11" t="str">
        <f>IF($A19="","",'Use cases'!$B$16)</f>
        <v>Unusual SaaS sharing</v>
      </c>
      <c r="C19" s="12" t="str">
        <f>IF($A19="","",'Use cases'!$C$16)</f>
        <v>Data</v>
      </c>
      <c r="D19" s="13" t="str">
        <f>IF($A19="","",'Use cases'!$E$16)</f>
        <v>Progressive</v>
      </c>
      <c r="E19" s="14">
        <f>IF($A19="","",IF(COUNTIFS(Register!$A$6:$A$185,$A19,Register!$D$6:$D$185,E$7)&gt;1,"Dup.",IF($C$5="Critical assets (target)",IF(COUNTIFS(Register!$A$6:$A$185,$A19,Register!$D$6:$D$185,E$7,Register!$Q$6:$Q$185,"&gt;=0")=0,"",SUMIFS(Register!$Q$6:$Q$185,Register!$A$6:$A$185,$A19,Register!$D$6:$D$185,E$7)),IF($C$5="Released today",IF(COUNTIFS(Register!$A$6:$A$185,$A19,Register!$D$6:$D$185,E$7,Register!$T$6:$T$185,"&gt;=0")=0,"",SUMIFS(Register!$T$6:$T$185,Register!$A$6:$A$185,$A19,Register!$D$6:$D$185,E$7)),IF(COUNTIFS(Register!$A$6:$A$185,$A19,Register!$D$6:$D$185,E$7,Register!$O$6:$O$185,"&gt;=0")=0,"",SUMIFS(Register!$O$6:$O$185,Register!$A$6:$A$185,$A19,Register!$D$6:$D$185,E$7))))))</f>
        <v>1</v>
      </c>
      <c r="F19" s="14">
        <f>IF($A19="","",IF(COUNTIFS(Register!$A$6:$A$185,$A19,Register!$D$6:$D$185,F$7)&gt;1,"Dup.",IF($C$5="Critical assets (target)",IF(COUNTIFS(Register!$A$6:$A$185,$A19,Register!$D$6:$D$185,F$7,Register!$Q$6:$Q$185,"&gt;=0")=0,"",SUMIFS(Register!$Q$6:$Q$185,Register!$A$6:$A$185,$A19,Register!$D$6:$D$185,F$7)),IF($C$5="Released today",IF(COUNTIFS(Register!$A$6:$A$185,$A19,Register!$D$6:$D$185,F$7,Register!$T$6:$T$185,"&gt;=0")=0,"",SUMIFS(Register!$T$6:$T$185,Register!$A$6:$A$185,$A19,Register!$D$6:$D$185,F$7)),IF(COUNTIFS(Register!$A$6:$A$185,$A19,Register!$D$6:$D$185,F$7,Register!$O$6:$O$185,"&gt;=0")=0,"",SUMIFS(Register!$O$6:$O$185,Register!$A$6:$A$185,$A19,Register!$D$6:$D$185,F$7))))))</f>
        <v>1</v>
      </c>
      <c r="G19" s="14">
        <f>IF($A19="","",IF(COUNTIFS(Register!$A$6:$A$185,$A19,Register!$D$6:$D$185,G$7)&gt;1,"Dup.",IF($C$5="Critical assets (target)",IF(COUNTIFS(Register!$A$6:$A$185,$A19,Register!$D$6:$D$185,G$7,Register!$Q$6:$Q$185,"&gt;=0")=0,"",SUMIFS(Register!$Q$6:$Q$185,Register!$A$6:$A$185,$A19,Register!$D$6:$D$185,G$7)),IF($C$5="Released today",IF(COUNTIFS(Register!$A$6:$A$185,$A19,Register!$D$6:$D$185,G$7,Register!$T$6:$T$185,"&gt;=0")=0,"",SUMIFS(Register!$T$6:$T$185,Register!$A$6:$A$185,$A19,Register!$D$6:$D$185,G$7)),IF(COUNTIFS(Register!$A$6:$A$185,$A19,Register!$D$6:$D$185,G$7,Register!$O$6:$O$185,"&gt;=0")=0,"",SUMIFS(Register!$O$6:$O$185,Register!$A$6:$A$185,$A19,Register!$D$6:$D$185,G$7))))))</f>
        <v>2</v>
      </c>
      <c r="H19" s="14">
        <f>IF($A19="","",IF(COUNTIFS(Register!$A$6:$A$185,$A19,Register!$D$6:$D$185,H$7)&gt;1,"Dup.",IF($C$5="Critical assets (target)",IF(COUNTIFS(Register!$A$6:$A$185,$A19,Register!$D$6:$D$185,H$7,Register!$Q$6:$Q$185,"&gt;=0")=0,"",SUMIFS(Register!$Q$6:$Q$185,Register!$A$6:$A$185,$A19,Register!$D$6:$D$185,H$7)),IF($C$5="Released today",IF(COUNTIFS(Register!$A$6:$A$185,$A19,Register!$D$6:$D$185,H$7,Register!$T$6:$T$185,"&gt;=0")=0,"",SUMIFS(Register!$T$6:$T$185,Register!$A$6:$A$185,$A19,Register!$D$6:$D$185,H$7)),IF(COUNTIFS(Register!$A$6:$A$185,$A19,Register!$D$6:$D$185,H$7,Register!$O$6:$O$185,"&gt;=0")=0,"",SUMIFS(Register!$O$6:$O$185,Register!$A$6:$A$185,$A19,Register!$D$6:$D$185,H$7))))))</f>
        <v>1</v>
      </c>
      <c r="I19" s="14">
        <f>IF($A19="","",IF(COUNTIFS(Register!$A$6:$A$185,$A19,Register!$D$6:$D$185,I$7)&gt;1,"Dup.",IF($C$5="Critical assets (target)",IF(COUNTIFS(Register!$A$6:$A$185,$A19,Register!$D$6:$D$185,I$7,Register!$Q$6:$Q$185,"&gt;=0")=0,"",SUMIFS(Register!$Q$6:$Q$185,Register!$A$6:$A$185,$A19,Register!$D$6:$D$185,I$7)),IF($C$5="Released today",IF(COUNTIFS(Register!$A$6:$A$185,$A19,Register!$D$6:$D$185,I$7,Register!$T$6:$T$185,"&gt;=0")=0,"",SUMIFS(Register!$T$6:$T$185,Register!$A$6:$A$185,$A19,Register!$D$6:$D$185,I$7)),IF(COUNTIFS(Register!$A$6:$A$185,$A19,Register!$D$6:$D$185,I$7,Register!$O$6:$O$185,"&gt;=0")=0,"",SUMIFS(Register!$O$6:$O$185,Register!$A$6:$A$185,$A19,Register!$D$6:$D$185,I$7))))))</f>
        <v>1</v>
      </c>
      <c r="J19" s="14">
        <f>IF($A19="","",IF(COUNTIFS(Register!$A$6:$A$185,$A19,Register!$D$6:$D$185,J$7)&gt;1,"Dup.",IF($C$5="Critical assets (target)",IF(COUNTIFS(Register!$A$6:$A$185,$A19,Register!$D$6:$D$185,J$7,Register!$Q$6:$Q$185,"&gt;=0")=0,"",SUMIFS(Register!$Q$6:$Q$185,Register!$A$6:$A$185,$A19,Register!$D$6:$D$185,J$7)),IF($C$5="Released today",IF(COUNTIFS(Register!$A$6:$A$185,$A19,Register!$D$6:$D$185,J$7,Register!$T$6:$T$185,"&gt;=0")=0,"",SUMIFS(Register!$T$6:$T$185,Register!$A$6:$A$185,$A19,Register!$D$6:$D$185,J$7)),IF(COUNTIFS(Register!$A$6:$A$185,$A19,Register!$D$6:$D$185,J$7,Register!$O$6:$O$185,"&gt;=0")=0,"",SUMIFS(Register!$O$6:$O$185,Register!$A$6:$A$185,$A19,Register!$D$6:$D$185,J$7))))))</f>
        <v>1</v>
      </c>
      <c r="K19" s="13" t="str">
        <f t="shared" si="0"/>
        <v>Enrich</v>
      </c>
      <c r="L19" s="13">
        <f>IF($A19="","",COUNTIFS(Register!$A$6:$A$185,$A19,Register!$P$6:$P$185,"Above policy*"))</f>
        <v>0</v>
      </c>
      <c r="M19" s="13" t="str">
        <f>IF($A19="","",IF(COUNTIF('Readiness gate'!$A$7:$A$36,$A19)&lt;&gt;1,"Incomplete",IFERROR(IF(VLOOKUP($A19,GateTab,9,FALSE())="","Incomplete",VLOOKUP($A19,GateTab,9,FALSE())),"Incomplete")))</f>
        <v>Not passed</v>
      </c>
      <c r="N19" s="13">
        <f>IF($A19="","",SUMPRODUCT((Register!$A$6:$A$185=$A19)*(Register!$T$6:$T$185&lt;&gt;"")*(Register!$O$6:$O$185&lt;&gt;"")*(Register!$T$6:$T$185&lt;Register!$O$6:$O$185)))</f>
        <v>6</v>
      </c>
    </row>
    <row r="20" spans="1:14" x14ac:dyDescent="0.25">
      <c r="A20" s="8" t="str">
        <f>IF('Use cases'!$B$17="","",'Use cases'!$A$17)</f>
        <v>UC13</v>
      </c>
      <c r="B20" s="11" t="str">
        <f>IF($A20="","",'Use cases'!$B$17)</f>
        <v>Cloud key leak</v>
      </c>
      <c r="C20" s="12" t="str">
        <f>IF($A20="","",'Use cases'!$C$17)</f>
        <v>Cloud</v>
      </c>
      <c r="D20" s="13" t="str">
        <f>IF($A20="","",'Use cases'!$E$17)</f>
        <v>Progressive</v>
      </c>
      <c r="E20" s="14">
        <f>IF($A20="","",IF(COUNTIFS(Register!$A$6:$A$185,$A20,Register!$D$6:$D$185,E$7)&gt;1,"Dup.",IF($C$5="Critical assets (target)",IF(COUNTIFS(Register!$A$6:$A$185,$A20,Register!$D$6:$D$185,E$7,Register!$Q$6:$Q$185,"&gt;=0")=0,"",SUMIFS(Register!$Q$6:$Q$185,Register!$A$6:$A$185,$A20,Register!$D$6:$D$185,E$7)),IF($C$5="Released today",IF(COUNTIFS(Register!$A$6:$A$185,$A20,Register!$D$6:$D$185,E$7,Register!$T$6:$T$185,"&gt;=0")=0,"",SUMIFS(Register!$T$6:$T$185,Register!$A$6:$A$185,$A20,Register!$D$6:$D$185,E$7)),IF(COUNTIFS(Register!$A$6:$A$185,$A20,Register!$D$6:$D$185,E$7,Register!$O$6:$O$185,"&gt;=0")=0,"",SUMIFS(Register!$O$6:$O$185,Register!$A$6:$A$185,$A20,Register!$D$6:$D$185,E$7))))))</f>
        <v>4</v>
      </c>
      <c r="F20" s="14">
        <f>IF($A20="","",IF(COUNTIFS(Register!$A$6:$A$185,$A20,Register!$D$6:$D$185,F$7)&gt;1,"Dup.",IF($C$5="Critical assets (target)",IF(COUNTIFS(Register!$A$6:$A$185,$A20,Register!$D$6:$D$185,F$7,Register!$Q$6:$Q$185,"&gt;=0")=0,"",SUMIFS(Register!$Q$6:$Q$185,Register!$A$6:$A$185,$A20,Register!$D$6:$D$185,F$7)),IF($C$5="Released today",IF(COUNTIFS(Register!$A$6:$A$185,$A20,Register!$D$6:$D$185,F$7,Register!$T$6:$T$185,"&gt;=0")=0,"",SUMIFS(Register!$T$6:$T$185,Register!$A$6:$A$185,$A20,Register!$D$6:$D$185,F$7)),IF(COUNTIFS(Register!$A$6:$A$185,$A20,Register!$D$6:$D$185,F$7,Register!$O$6:$O$185,"&gt;=0")=0,"",SUMIFS(Register!$O$6:$O$185,Register!$A$6:$A$185,$A20,Register!$D$6:$D$185,F$7))))))</f>
        <v>2</v>
      </c>
      <c r="G20" s="14">
        <f>IF($A20="","",IF(COUNTIFS(Register!$A$6:$A$185,$A20,Register!$D$6:$D$185,G$7)&gt;1,"Dup.",IF($C$5="Critical assets (target)",IF(COUNTIFS(Register!$A$6:$A$185,$A20,Register!$D$6:$D$185,G$7,Register!$Q$6:$Q$185,"&gt;=0")=0,"",SUMIFS(Register!$Q$6:$Q$185,Register!$A$6:$A$185,$A20,Register!$D$6:$D$185,G$7)),IF($C$5="Released today",IF(COUNTIFS(Register!$A$6:$A$185,$A20,Register!$D$6:$D$185,G$7,Register!$T$6:$T$185,"&gt;=0")=0,"",SUMIFS(Register!$T$6:$T$185,Register!$A$6:$A$185,$A20,Register!$D$6:$D$185,G$7)),IF(COUNTIFS(Register!$A$6:$A$185,$A20,Register!$D$6:$D$185,G$7,Register!$O$6:$O$185,"&gt;=0")=0,"",SUMIFS(Register!$O$6:$O$185,Register!$A$6:$A$185,$A20,Register!$D$6:$D$185,G$7))))))</f>
        <v>3</v>
      </c>
      <c r="H20" s="14">
        <f>IF($A20="","",IF(COUNTIFS(Register!$A$6:$A$185,$A20,Register!$D$6:$D$185,H$7)&gt;1,"Dup.",IF($C$5="Critical assets (target)",IF(COUNTIFS(Register!$A$6:$A$185,$A20,Register!$D$6:$D$185,H$7,Register!$Q$6:$Q$185,"&gt;=0")=0,"",SUMIFS(Register!$Q$6:$Q$185,Register!$A$6:$A$185,$A20,Register!$D$6:$D$185,H$7)),IF($C$5="Released today",IF(COUNTIFS(Register!$A$6:$A$185,$A20,Register!$D$6:$D$185,H$7,Register!$T$6:$T$185,"&gt;=0")=0,"",SUMIFS(Register!$T$6:$T$185,Register!$A$6:$A$185,$A20,Register!$D$6:$D$185,H$7)),IF(COUNTIFS(Register!$A$6:$A$185,$A20,Register!$D$6:$D$185,H$7,Register!$O$6:$O$185,"&gt;=0")=0,"",SUMIFS(Register!$O$6:$O$185,Register!$A$6:$A$185,$A20,Register!$D$6:$D$185,H$7))))))</f>
        <v>2</v>
      </c>
      <c r="I20" s="14">
        <f>IF($A20="","",IF(COUNTIFS(Register!$A$6:$A$185,$A20,Register!$D$6:$D$185,I$7)&gt;1,"Dup.",IF($C$5="Critical assets (target)",IF(COUNTIFS(Register!$A$6:$A$185,$A20,Register!$D$6:$D$185,I$7,Register!$Q$6:$Q$185,"&gt;=0")=0,"",SUMIFS(Register!$Q$6:$Q$185,Register!$A$6:$A$185,$A20,Register!$D$6:$D$185,I$7)),IF($C$5="Released today",IF(COUNTIFS(Register!$A$6:$A$185,$A20,Register!$D$6:$D$185,I$7,Register!$T$6:$T$185,"&gt;=0")=0,"",SUMIFS(Register!$T$6:$T$185,Register!$A$6:$A$185,$A20,Register!$D$6:$D$185,I$7)),IF(COUNTIFS(Register!$A$6:$A$185,$A20,Register!$D$6:$D$185,I$7,Register!$O$6:$O$185,"&gt;=0")=0,"",SUMIFS(Register!$O$6:$O$185,Register!$A$6:$A$185,$A20,Register!$D$6:$D$185,I$7))))))</f>
        <v>2</v>
      </c>
      <c r="J20" s="14">
        <f>IF($A20="","",IF(COUNTIFS(Register!$A$6:$A$185,$A20,Register!$D$6:$D$185,J$7)&gt;1,"Dup.",IF($C$5="Critical assets (target)",IF(COUNTIFS(Register!$A$6:$A$185,$A20,Register!$D$6:$D$185,J$7,Register!$Q$6:$Q$185,"&gt;=0")=0,"",SUMIFS(Register!$Q$6:$Q$185,Register!$A$6:$A$185,$A20,Register!$D$6:$D$185,J$7)),IF($C$5="Released today",IF(COUNTIFS(Register!$A$6:$A$185,$A20,Register!$D$6:$D$185,J$7,Register!$T$6:$T$185,"&gt;=0")=0,"",SUMIFS(Register!$T$6:$T$185,Register!$A$6:$A$185,$A20,Register!$D$6:$D$185,J$7)),IF(COUNTIFS(Register!$A$6:$A$185,$A20,Register!$D$6:$D$185,J$7,Register!$O$6:$O$185,"&gt;=0")=0,"",SUMIFS(Register!$O$6:$O$185,Register!$A$6:$A$185,$A20,Register!$D$6:$D$185,J$7))))))</f>
        <v>2</v>
      </c>
      <c r="K20" s="13" t="str">
        <f t="shared" si="0"/>
        <v>Triage</v>
      </c>
      <c r="L20" s="13">
        <f>IF($A20="","",COUNTIFS(Register!$A$6:$A$185,$A20,Register!$P$6:$P$185,"Above policy*"))</f>
        <v>0</v>
      </c>
      <c r="M20" s="13" t="str">
        <f>IF($A20="","",IF(COUNTIF('Readiness gate'!$A$7:$A$36,$A20)&lt;&gt;1,"Incomplete",IFERROR(IF(VLOOKUP($A20,GateTab,9,FALSE())="","Incomplete",VLOOKUP($A20,GateTab,9,FALSE())),"Incomplete")))</f>
        <v>Passed</v>
      </c>
      <c r="N20" s="13">
        <f>IF($A20="","",SUMPRODUCT((Register!$A$6:$A$185=$A20)*(Register!$T$6:$T$185&lt;&gt;"")*(Register!$O$6:$O$185&lt;&gt;"")*(Register!$T$6:$T$185&lt;Register!$O$6:$O$185)))</f>
        <v>5</v>
      </c>
    </row>
    <row r="21" spans="1:14" x14ac:dyDescent="0.25">
      <c r="A21" s="8" t="str">
        <f>IF('Use cases'!$B$18="","",'Use cases'!$A$18)</f>
        <v>UC14</v>
      </c>
      <c r="B21" s="11" t="str">
        <f>IF($A21="","",'Use cases'!$B$18)</f>
        <v>Public S3 or blob exposure</v>
      </c>
      <c r="C21" s="12" t="str">
        <f>IF($A21="","",'Use cases'!$C$18)</f>
        <v>Cloud</v>
      </c>
      <c r="D21" s="13" t="str">
        <f>IF($A21="","",'Use cases'!$E$18)</f>
        <v>Progressive</v>
      </c>
      <c r="E21" s="14">
        <f>IF($A21="","",IF(COUNTIFS(Register!$A$6:$A$185,$A21,Register!$D$6:$D$185,E$7)&gt;1,"Dup.",IF($C$5="Critical assets (target)",IF(COUNTIFS(Register!$A$6:$A$185,$A21,Register!$D$6:$D$185,E$7,Register!$Q$6:$Q$185,"&gt;=0")=0,"",SUMIFS(Register!$Q$6:$Q$185,Register!$A$6:$A$185,$A21,Register!$D$6:$D$185,E$7)),IF($C$5="Released today",IF(COUNTIFS(Register!$A$6:$A$185,$A21,Register!$D$6:$D$185,E$7,Register!$T$6:$T$185,"&gt;=0")=0,"",SUMIFS(Register!$T$6:$T$185,Register!$A$6:$A$185,$A21,Register!$D$6:$D$185,E$7)),IF(COUNTIFS(Register!$A$6:$A$185,$A21,Register!$D$6:$D$185,E$7,Register!$O$6:$O$185,"&gt;=0")=0,"",SUMIFS(Register!$O$6:$O$185,Register!$A$6:$A$185,$A21,Register!$D$6:$D$185,E$7))))))</f>
        <v>4</v>
      </c>
      <c r="F21" s="14">
        <f>IF($A21="","",IF(COUNTIFS(Register!$A$6:$A$185,$A21,Register!$D$6:$D$185,F$7)&gt;1,"Dup.",IF($C$5="Critical assets (target)",IF(COUNTIFS(Register!$A$6:$A$185,$A21,Register!$D$6:$D$185,F$7,Register!$Q$6:$Q$185,"&gt;=0")=0,"",SUMIFS(Register!$Q$6:$Q$185,Register!$A$6:$A$185,$A21,Register!$D$6:$D$185,F$7)),IF($C$5="Released today",IF(COUNTIFS(Register!$A$6:$A$185,$A21,Register!$D$6:$D$185,F$7,Register!$T$6:$T$185,"&gt;=0")=0,"",SUMIFS(Register!$T$6:$T$185,Register!$A$6:$A$185,$A21,Register!$D$6:$D$185,F$7)),IF(COUNTIFS(Register!$A$6:$A$185,$A21,Register!$D$6:$D$185,F$7,Register!$O$6:$O$185,"&gt;=0")=0,"",SUMIFS(Register!$O$6:$O$185,Register!$A$6:$A$185,$A21,Register!$D$6:$D$185,F$7))))))</f>
        <v>2</v>
      </c>
      <c r="G21" s="14">
        <f>IF($A21="","",IF(COUNTIFS(Register!$A$6:$A$185,$A21,Register!$D$6:$D$185,G$7)&gt;1,"Dup.",IF($C$5="Critical assets (target)",IF(COUNTIFS(Register!$A$6:$A$185,$A21,Register!$D$6:$D$185,G$7,Register!$Q$6:$Q$185,"&gt;=0")=0,"",SUMIFS(Register!$Q$6:$Q$185,Register!$A$6:$A$185,$A21,Register!$D$6:$D$185,G$7)),IF($C$5="Released today",IF(COUNTIFS(Register!$A$6:$A$185,$A21,Register!$D$6:$D$185,G$7,Register!$T$6:$T$185,"&gt;=0")=0,"",SUMIFS(Register!$T$6:$T$185,Register!$A$6:$A$185,$A21,Register!$D$6:$D$185,G$7)),IF(COUNTIFS(Register!$A$6:$A$185,$A21,Register!$D$6:$D$185,G$7,Register!$O$6:$O$185,"&gt;=0")=0,"",SUMIFS(Register!$O$6:$O$185,Register!$A$6:$A$185,$A21,Register!$D$6:$D$185,G$7))))))</f>
        <v>3</v>
      </c>
      <c r="H21" s="14">
        <f>IF($A21="","",IF(COUNTIFS(Register!$A$6:$A$185,$A21,Register!$D$6:$D$185,H$7)&gt;1,"Dup.",IF($C$5="Critical assets (target)",IF(COUNTIFS(Register!$A$6:$A$185,$A21,Register!$D$6:$D$185,H$7,Register!$Q$6:$Q$185,"&gt;=0")=0,"",SUMIFS(Register!$Q$6:$Q$185,Register!$A$6:$A$185,$A21,Register!$D$6:$D$185,H$7)),IF($C$5="Released today",IF(COUNTIFS(Register!$A$6:$A$185,$A21,Register!$D$6:$D$185,H$7,Register!$T$6:$T$185,"&gt;=0")=0,"",SUMIFS(Register!$T$6:$T$185,Register!$A$6:$A$185,$A21,Register!$D$6:$D$185,H$7)),IF(COUNTIFS(Register!$A$6:$A$185,$A21,Register!$D$6:$D$185,H$7,Register!$O$6:$O$185,"&gt;=0")=0,"",SUMIFS(Register!$O$6:$O$185,Register!$A$6:$A$185,$A21,Register!$D$6:$D$185,H$7))))))</f>
        <v>2</v>
      </c>
      <c r="I21" s="14">
        <f>IF($A21="","",IF(COUNTIFS(Register!$A$6:$A$185,$A21,Register!$D$6:$D$185,I$7)&gt;1,"Dup.",IF($C$5="Critical assets (target)",IF(COUNTIFS(Register!$A$6:$A$185,$A21,Register!$D$6:$D$185,I$7,Register!$Q$6:$Q$185,"&gt;=0")=0,"",SUMIFS(Register!$Q$6:$Q$185,Register!$A$6:$A$185,$A21,Register!$D$6:$D$185,I$7)),IF($C$5="Released today",IF(COUNTIFS(Register!$A$6:$A$185,$A21,Register!$D$6:$D$185,I$7,Register!$T$6:$T$185,"&gt;=0")=0,"",SUMIFS(Register!$T$6:$T$185,Register!$A$6:$A$185,$A21,Register!$D$6:$D$185,I$7)),IF(COUNTIFS(Register!$A$6:$A$185,$A21,Register!$D$6:$D$185,I$7,Register!$O$6:$O$185,"&gt;=0")=0,"",SUMIFS(Register!$O$6:$O$185,Register!$A$6:$A$185,$A21,Register!$D$6:$D$185,I$7))))))</f>
        <v>2</v>
      </c>
      <c r="J21" s="14">
        <f>IF($A21="","",IF(COUNTIFS(Register!$A$6:$A$185,$A21,Register!$D$6:$D$185,J$7)&gt;1,"Dup.",IF($C$5="Critical assets (target)",IF(COUNTIFS(Register!$A$6:$A$185,$A21,Register!$D$6:$D$185,J$7,Register!$Q$6:$Q$185,"&gt;=0")=0,"",SUMIFS(Register!$Q$6:$Q$185,Register!$A$6:$A$185,$A21,Register!$D$6:$D$185,J$7)),IF($C$5="Released today",IF(COUNTIFS(Register!$A$6:$A$185,$A21,Register!$D$6:$D$185,J$7,Register!$T$6:$T$185,"&gt;=0")=0,"",SUMIFS(Register!$T$6:$T$185,Register!$A$6:$A$185,$A21,Register!$D$6:$D$185,J$7)),IF(COUNTIFS(Register!$A$6:$A$185,$A21,Register!$D$6:$D$185,J$7,Register!$O$6:$O$185,"&gt;=0")=0,"",SUMIFS(Register!$O$6:$O$185,Register!$A$6:$A$185,$A21,Register!$D$6:$D$185,J$7))))))</f>
        <v>1</v>
      </c>
      <c r="K21" s="13" t="str">
        <f t="shared" si="0"/>
        <v>Triage</v>
      </c>
      <c r="L21" s="13">
        <f>IF($A21="","",COUNTIFS(Register!$A$6:$A$185,$A21,Register!$P$6:$P$185,"Above policy*"))</f>
        <v>0</v>
      </c>
      <c r="M21" s="13" t="str">
        <f>IF($A21="","",IF(COUNTIF('Readiness gate'!$A$7:$A$36,$A21)&lt;&gt;1,"Incomplete",IFERROR(IF(VLOOKUP($A21,GateTab,9,FALSE())="","Incomplete",VLOOKUP($A21,GateTab,9,FALSE())),"Incomplete")))</f>
        <v>Passed</v>
      </c>
      <c r="N21" s="13">
        <f>IF($A21="","",SUMPRODUCT((Register!$A$6:$A$185=$A21)*(Register!$T$6:$T$185&lt;&gt;"")*(Register!$O$6:$O$185&lt;&gt;"")*(Register!$T$6:$T$185&lt;Register!$O$6:$O$185)))</f>
        <v>5</v>
      </c>
    </row>
    <row r="22" spans="1:14" x14ac:dyDescent="0.25">
      <c r="A22" s="8" t="str">
        <f>IF('Use cases'!$B$19="","",'Use cases'!$A$19)</f>
        <v>UC15</v>
      </c>
      <c r="B22" s="11" t="str">
        <f>IF($A22="","",'Use cases'!$B$19)</f>
        <v>New internet-exposed critical CVE</v>
      </c>
      <c r="C22" s="12" t="str">
        <f>IF($A22="","",'Use cases'!$C$19)</f>
        <v>Exposure</v>
      </c>
      <c r="D22" s="13" t="str">
        <f>IF($A22="","",'Use cases'!$E$19)</f>
        <v>Progressive</v>
      </c>
      <c r="E22" s="14">
        <f>IF($A22="","",IF(COUNTIFS(Register!$A$6:$A$185,$A22,Register!$D$6:$D$185,E$7)&gt;1,"Dup.",IF($C$5="Critical assets (target)",IF(COUNTIFS(Register!$A$6:$A$185,$A22,Register!$D$6:$D$185,E$7,Register!$Q$6:$Q$185,"&gt;=0")=0,"",SUMIFS(Register!$Q$6:$Q$185,Register!$A$6:$A$185,$A22,Register!$D$6:$D$185,E$7)),IF($C$5="Released today",IF(COUNTIFS(Register!$A$6:$A$185,$A22,Register!$D$6:$D$185,E$7,Register!$T$6:$T$185,"&gt;=0")=0,"",SUMIFS(Register!$T$6:$T$185,Register!$A$6:$A$185,$A22,Register!$D$6:$D$185,E$7)),IF(COUNTIFS(Register!$A$6:$A$185,$A22,Register!$D$6:$D$185,E$7,Register!$O$6:$O$185,"&gt;=0")=0,"",SUMIFS(Register!$O$6:$O$185,Register!$A$6:$A$185,$A22,Register!$D$6:$D$185,E$7))))))</f>
        <v>4</v>
      </c>
      <c r="F22" s="14">
        <f>IF($A22="","",IF(COUNTIFS(Register!$A$6:$A$185,$A22,Register!$D$6:$D$185,F$7)&gt;1,"Dup.",IF($C$5="Critical assets (target)",IF(COUNTIFS(Register!$A$6:$A$185,$A22,Register!$D$6:$D$185,F$7,Register!$Q$6:$Q$185,"&gt;=0")=0,"",SUMIFS(Register!$Q$6:$Q$185,Register!$A$6:$A$185,$A22,Register!$D$6:$D$185,F$7)),IF($C$5="Released today",IF(COUNTIFS(Register!$A$6:$A$185,$A22,Register!$D$6:$D$185,F$7,Register!$T$6:$T$185,"&gt;=0")=0,"",SUMIFS(Register!$T$6:$T$185,Register!$A$6:$A$185,$A22,Register!$D$6:$D$185,F$7)),IF(COUNTIFS(Register!$A$6:$A$185,$A22,Register!$D$6:$D$185,F$7,Register!$O$6:$O$185,"&gt;=0")=0,"",SUMIFS(Register!$O$6:$O$185,Register!$A$6:$A$185,$A22,Register!$D$6:$D$185,F$7))))))</f>
        <v>2</v>
      </c>
      <c r="G22" s="14">
        <f>IF($A22="","",IF(COUNTIFS(Register!$A$6:$A$185,$A22,Register!$D$6:$D$185,G$7)&gt;1,"Dup.",IF($C$5="Critical assets (target)",IF(COUNTIFS(Register!$A$6:$A$185,$A22,Register!$D$6:$D$185,G$7,Register!$Q$6:$Q$185,"&gt;=0")=0,"",SUMIFS(Register!$Q$6:$Q$185,Register!$A$6:$A$185,$A22,Register!$D$6:$D$185,G$7)),IF($C$5="Released today",IF(COUNTIFS(Register!$A$6:$A$185,$A22,Register!$D$6:$D$185,G$7,Register!$T$6:$T$185,"&gt;=0")=0,"",SUMIFS(Register!$T$6:$T$185,Register!$A$6:$A$185,$A22,Register!$D$6:$D$185,G$7)),IF(COUNTIFS(Register!$A$6:$A$185,$A22,Register!$D$6:$D$185,G$7,Register!$O$6:$O$185,"&gt;=0")=0,"",SUMIFS(Register!$O$6:$O$185,Register!$A$6:$A$185,$A22,Register!$D$6:$D$185,G$7))))))</f>
        <v>3</v>
      </c>
      <c r="H22" s="14">
        <f>IF($A22="","",IF(COUNTIFS(Register!$A$6:$A$185,$A22,Register!$D$6:$D$185,H$7)&gt;1,"Dup.",IF($C$5="Critical assets (target)",IF(COUNTIFS(Register!$A$6:$A$185,$A22,Register!$D$6:$D$185,H$7,Register!$Q$6:$Q$185,"&gt;=0")=0,"",SUMIFS(Register!$Q$6:$Q$185,Register!$A$6:$A$185,$A22,Register!$D$6:$D$185,H$7)),IF($C$5="Released today",IF(COUNTIFS(Register!$A$6:$A$185,$A22,Register!$D$6:$D$185,H$7,Register!$T$6:$T$185,"&gt;=0")=0,"",SUMIFS(Register!$T$6:$T$185,Register!$A$6:$A$185,$A22,Register!$D$6:$D$185,H$7)),IF(COUNTIFS(Register!$A$6:$A$185,$A22,Register!$D$6:$D$185,H$7,Register!$O$6:$O$185,"&gt;=0")=0,"",SUMIFS(Register!$O$6:$O$185,Register!$A$6:$A$185,$A22,Register!$D$6:$D$185,H$7))))))</f>
        <v>2</v>
      </c>
      <c r="I22" s="14">
        <f>IF($A22="","",IF(COUNTIFS(Register!$A$6:$A$185,$A22,Register!$D$6:$D$185,I$7)&gt;1,"Dup.",IF($C$5="Critical assets (target)",IF(COUNTIFS(Register!$A$6:$A$185,$A22,Register!$D$6:$D$185,I$7,Register!$Q$6:$Q$185,"&gt;=0")=0,"",SUMIFS(Register!$Q$6:$Q$185,Register!$A$6:$A$185,$A22,Register!$D$6:$D$185,I$7)),IF($C$5="Released today",IF(COUNTIFS(Register!$A$6:$A$185,$A22,Register!$D$6:$D$185,I$7,Register!$T$6:$T$185,"&gt;=0")=0,"",SUMIFS(Register!$T$6:$T$185,Register!$A$6:$A$185,$A22,Register!$D$6:$D$185,I$7)),IF(COUNTIFS(Register!$A$6:$A$185,$A22,Register!$D$6:$D$185,I$7,Register!$O$6:$O$185,"&gt;=0")=0,"",SUMIFS(Register!$O$6:$O$185,Register!$A$6:$A$185,$A22,Register!$D$6:$D$185,I$7))))))</f>
        <v>2</v>
      </c>
      <c r="J22" s="14">
        <f>IF($A22="","",IF(COUNTIFS(Register!$A$6:$A$185,$A22,Register!$D$6:$D$185,J$7)&gt;1,"Dup.",IF($C$5="Critical assets (target)",IF(COUNTIFS(Register!$A$6:$A$185,$A22,Register!$D$6:$D$185,J$7,Register!$Q$6:$Q$185,"&gt;=0")=0,"",SUMIFS(Register!$Q$6:$Q$185,Register!$A$6:$A$185,$A22,Register!$D$6:$D$185,J$7)),IF($C$5="Released today",IF(COUNTIFS(Register!$A$6:$A$185,$A22,Register!$D$6:$D$185,J$7,Register!$T$6:$T$185,"&gt;=0")=0,"",SUMIFS(Register!$T$6:$T$185,Register!$A$6:$A$185,$A22,Register!$D$6:$D$185,J$7)),IF(COUNTIFS(Register!$A$6:$A$185,$A22,Register!$D$6:$D$185,J$7,Register!$O$6:$O$185,"&gt;=0")=0,"",SUMIFS(Register!$O$6:$O$185,Register!$A$6:$A$185,$A22,Register!$D$6:$D$185,J$7))))))</f>
        <v>2</v>
      </c>
      <c r="K22" s="13" t="str">
        <f t="shared" si="0"/>
        <v>Triage</v>
      </c>
      <c r="L22" s="13">
        <f>IF($A22="","",COUNTIFS(Register!$A$6:$A$185,$A22,Register!$P$6:$P$185,"Above policy*"))</f>
        <v>0</v>
      </c>
      <c r="M22" s="13" t="str">
        <f>IF($A22="","",IF(COUNTIF('Readiness gate'!$A$7:$A$36,$A22)&lt;&gt;1,"Incomplete",IFERROR(IF(VLOOKUP($A22,GateTab,9,FALSE())="","Incomplete",VLOOKUP($A22,GateTab,9,FALSE())),"Incomplete")))</f>
        <v>Passed</v>
      </c>
      <c r="N22" s="13">
        <f>IF($A22="","",SUMPRODUCT((Register!$A$6:$A$185=$A22)*(Register!$T$6:$T$185&lt;&gt;"")*(Register!$O$6:$O$185&lt;&gt;"")*(Register!$T$6:$T$185&lt;Register!$O$6:$O$185)))</f>
        <v>5</v>
      </c>
    </row>
    <row r="23" spans="1:14" x14ac:dyDescent="0.25">
      <c r="A23" s="8" t="str">
        <f>IF('Use cases'!$B$20="","",'Use cases'!$A$20)</f>
        <v>UC16</v>
      </c>
      <c r="B23" s="11" t="str">
        <f>IF($A23="","",'Use cases'!$B$20)</f>
        <v>Suspicious admin creation</v>
      </c>
      <c r="C23" s="12" t="str">
        <f>IF($A23="","",'Use cases'!$C$20)</f>
        <v>Identity</v>
      </c>
      <c r="D23" s="13" t="str">
        <f>IF($A23="","",'Use cases'!$E$20)</f>
        <v>Progressive</v>
      </c>
      <c r="E23" s="14">
        <f>IF($A23="","",IF(COUNTIFS(Register!$A$6:$A$185,$A23,Register!$D$6:$D$185,E$7)&gt;1,"Dup.",IF($C$5="Critical assets (target)",IF(COUNTIFS(Register!$A$6:$A$185,$A23,Register!$D$6:$D$185,E$7,Register!$Q$6:$Q$185,"&gt;=0")=0,"",SUMIFS(Register!$Q$6:$Q$185,Register!$A$6:$A$185,$A23,Register!$D$6:$D$185,E$7)),IF($C$5="Released today",IF(COUNTIFS(Register!$A$6:$A$185,$A23,Register!$D$6:$D$185,E$7,Register!$T$6:$T$185,"&gt;=0")=0,"",SUMIFS(Register!$T$6:$T$185,Register!$A$6:$A$185,$A23,Register!$D$6:$D$185,E$7)),IF(COUNTIFS(Register!$A$6:$A$185,$A23,Register!$D$6:$D$185,E$7,Register!$O$6:$O$185,"&gt;=0")=0,"",SUMIFS(Register!$O$6:$O$185,Register!$A$6:$A$185,$A23,Register!$D$6:$D$185,E$7))))))</f>
        <v>1</v>
      </c>
      <c r="F23" s="14">
        <f>IF($A23="","",IF(COUNTIFS(Register!$A$6:$A$185,$A23,Register!$D$6:$D$185,F$7)&gt;1,"Dup.",IF($C$5="Critical assets (target)",IF(COUNTIFS(Register!$A$6:$A$185,$A23,Register!$D$6:$D$185,F$7,Register!$Q$6:$Q$185,"&gt;=0")=0,"",SUMIFS(Register!$Q$6:$Q$185,Register!$A$6:$A$185,$A23,Register!$D$6:$D$185,F$7)),IF($C$5="Released today",IF(COUNTIFS(Register!$A$6:$A$185,$A23,Register!$D$6:$D$185,F$7,Register!$T$6:$T$185,"&gt;=0")=0,"",SUMIFS(Register!$T$6:$T$185,Register!$A$6:$A$185,$A23,Register!$D$6:$D$185,F$7)),IF(COUNTIFS(Register!$A$6:$A$185,$A23,Register!$D$6:$D$185,F$7,Register!$O$6:$O$185,"&gt;=0")=0,"",SUMIFS(Register!$O$6:$O$185,Register!$A$6:$A$185,$A23,Register!$D$6:$D$185,F$7))))))</f>
        <v>1</v>
      </c>
      <c r="G23" s="14">
        <f>IF($A23="","",IF(COUNTIFS(Register!$A$6:$A$185,$A23,Register!$D$6:$D$185,G$7)&gt;1,"Dup.",IF($C$5="Critical assets (target)",IF(COUNTIFS(Register!$A$6:$A$185,$A23,Register!$D$6:$D$185,G$7,Register!$Q$6:$Q$185,"&gt;=0")=0,"",SUMIFS(Register!$Q$6:$Q$185,Register!$A$6:$A$185,$A23,Register!$D$6:$D$185,G$7)),IF($C$5="Released today",IF(COUNTIFS(Register!$A$6:$A$185,$A23,Register!$D$6:$D$185,G$7,Register!$T$6:$T$185,"&gt;=0")=0,"",SUMIFS(Register!$T$6:$T$185,Register!$A$6:$A$185,$A23,Register!$D$6:$D$185,G$7)),IF(COUNTIFS(Register!$A$6:$A$185,$A23,Register!$D$6:$D$185,G$7,Register!$O$6:$O$185,"&gt;=0")=0,"",SUMIFS(Register!$O$6:$O$185,Register!$A$6:$A$185,$A23,Register!$D$6:$D$185,G$7))))))</f>
        <v>2</v>
      </c>
      <c r="H23" s="14">
        <f>IF($A23="","",IF(COUNTIFS(Register!$A$6:$A$185,$A23,Register!$D$6:$D$185,H$7)&gt;1,"Dup.",IF($C$5="Critical assets (target)",IF(COUNTIFS(Register!$A$6:$A$185,$A23,Register!$D$6:$D$185,H$7,Register!$Q$6:$Q$185,"&gt;=0")=0,"",SUMIFS(Register!$Q$6:$Q$185,Register!$A$6:$A$185,$A23,Register!$D$6:$D$185,H$7)),IF($C$5="Released today",IF(COUNTIFS(Register!$A$6:$A$185,$A23,Register!$D$6:$D$185,H$7,Register!$T$6:$T$185,"&gt;=0")=0,"",SUMIFS(Register!$T$6:$T$185,Register!$A$6:$A$185,$A23,Register!$D$6:$D$185,H$7)),IF(COUNTIFS(Register!$A$6:$A$185,$A23,Register!$D$6:$D$185,H$7,Register!$O$6:$O$185,"&gt;=0")=0,"",SUMIFS(Register!$O$6:$O$185,Register!$A$6:$A$185,$A23,Register!$D$6:$D$185,H$7))))))</f>
        <v>1</v>
      </c>
      <c r="I23" s="14">
        <f>IF($A23="","",IF(COUNTIFS(Register!$A$6:$A$185,$A23,Register!$D$6:$D$185,I$7)&gt;1,"Dup.",IF($C$5="Critical assets (target)",IF(COUNTIFS(Register!$A$6:$A$185,$A23,Register!$D$6:$D$185,I$7,Register!$Q$6:$Q$185,"&gt;=0")=0,"",SUMIFS(Register!$Q$6:$Q$185,Register!$A$6:$A$185,$A23,Register!$D$6:$D$185,I$7)),IF($C$5="Released today",IF(COUNTIFS(Register!$A$6:$A$185,$A23,Register!$D$6:$D$185,I$7,Register!$T$6:$T$185,"&gt;=0")=0,"",SUMIFS(Register!$T$6:$T$185,Register!$A$6:$A$185,$A23,Register!$D$6:$D$185,I$7)),IF(COUNTIFS(Register!$A$6:$A$185,$A23,Register!$D$6:$D$185,I$7,Register!$O$6:$O$185,"&gt;=0")=0,"",SUMIFS(Register!$O$6:$O$185,Register!$A$6:$A$185,$A23,Register!$D$6:$D$185,I$7))))))</f>
        <v>1</v>
      </c>
      <c r="J23" s="14">
        <f>IF($A23="","",IF(COUNTIFS(Register!$A$6:$A$185,$A23,Register!$D$6:$D$185,J$7)&gt;1,"Dup.",IF($C$5="Critical assets (target)",IF(COUNTIFS(Register!$A$6:$A$185,$A23,Register!$D$6:$D$185,J$7,Register!$Q$6:$Q$185,"&gt;=0")=0,"",SUMIFS(Register!$Q$6:$Q$185,Register!$A$6:$A$185,$A23,Register!$D$6:$D$185,J$7)),IF($C$5="Released today",IF(COUNTIFS(Register!$A$6:$A$185,$A23,Register!$D$6:$D$185,J$7,Register!$T$6:$T$185,"&gt;=0")=0,"",SUMIFS(Register!$T$6:$T$185,Register!$A$6:$A$185,$A23,Register!$D$6:$D$185,J$7)),IF(COUNTIFS(Register!$A$6:$A$185,$A23,Register!$D$6:$D$185,J$7,Register!$O$6:$O$185,"&gt;=0")=0,"",SUMIFS(Register!$O$6:$O$185,Register!$A$6:$A$185,$A23,Register!$D$6:$D$185,J$7))))))</f>
        <v>1</v>
      </c>
      <c r="K23" s="13" t="str">
        <f t="shared" si="0"/>
        <v>Enrich</v>
      </c>
      <c r="L23" s="13">
        <f>IF($A23="","",COUNTIFS(Register!$A$6:$A$185,$A23,Register!$P$6:$P$185,"Above policy*"))</f>
        <v>0</v>
      </c>
      <c r="M23" s="13" t="str">
        <f>IF($A23="","",IF(COUNTIF('Readiness gate'!$A$7:$A$36,$A23)&lt;&gt;1,"Incomplete",IFERROR(IF(VLOOKUP($A23,GateTab,9,FALSE())="","Incomplete",VLOOKUP($A23,GateTab,9,FALSE())),"Incomplete")))</f>
        <v>Not passed</v>
      </c>
      <c r="N23" s="13">
        <f>IF($A23="","",SUMPRODUCT((Register!$A$6:$A$185=$A23)*(Register!$T$6:$T$185&lt;&gt;"")*(Register!$O$6:$O$185&lt;&gt;"")*(Register!$T$6:$T$185&lt;Register!$O$6:$O$185)))</f>
        <v>6</v>
      </c>
    </row>
    <row r="24" spans="1:14" x14ac:dyDescent="0.25">
      <c r="A24" s="8" t="str">
        <f>IF('Use cases'!$B$21="","",'Use cases'!$A$21)</f>
        <v>UC17</v>
      </c>
      <c r="B24" s="11" t="str">
        <f>IF($A24="","",'Use cases'!$B$21)</f>
        <v>Lateral movement indicators</v>
      </c>
      <c r="C24" s="12" t="str">
        <f>IF($A24="","",'Use cases'!$C$21)</f>
        <v>Network</v>
      </c>
      <c r="D24" s="13" t="str">
        <f>IF($A24="","",'Use cases'!$E$21)</f>
        <v>Progressive</v>
      </c>
      <c r="E24" s="14">
        <f>IF($A24="","",IF(COUNTIFS(Register!$A$6:$A$185,$A24,Register!$D$6:$D$185,E$7)&gt;1,"Dup.",IF($C$5="Critical assets (target)",IF(COUNTIFS(Register!$A$6:$A$185,$A24,Register!$D$6:$D$185,E$7,Register!$Q$6:$Q$185,"&gt;=0")=0,"",SUMIFS(Register!$Q$6:$Q$185,Register!$A$6:$A$185,$A24,Register!$D$6:$D$185,E$7)),IF($C$5="Released today",IF(COUNTIFS(Register!$A$6:$A$185,$A24,Register!$D$6:$D$185,E$7,Register!$T$6:$T$185,"&gt;=0")=0,"",SUMIFS(Register!$T$6:$T$185,Register!$A$6:$A$185,$A24,Register!$D$6:$D$185,E$7)),IF(COUNTIFS(Register!$A$6:$A$185,$A24,Register!$D$6:$D$185,E$7,Register!$O$6:$O$185,"&gt;=0")=0,"",SUMIFS(Register!$O$6:$O$185,Register!$A$6:$A$185,$A24,Register!$D$6:$D$185,E$7))))))</f>
        <v>1</v>
      </c>
      <c r="F24" s="14">
        <f>IF($A24="","",IF(COUNTIFS(Register!$A$6:$A$185,$A24,Register!$D$6:$D$185,F$7)&gt;1,"Dup.",IF($C$5="Critical assets (target)",IF(COUNTIFS(Register!$A$6:$A$185,$A24,Register!$D$6:$D$185,F$7,Register!$Q$6:$Q$185,"&gt;=0")=0,"",SUMIFS(Register!$Q$6:$Q$185,Register!$A$6:$A$185,$A24,Register!$D$6:$D$185,F$7)),IF($C$5="Released today",IF(COUNTIFS(Register!$A$6:$A$185,$A24,Register!$D$6:$D$185,F$7,Register!$T$6:$T$185,"&gt;=0")=0,"",SUMIFS(Register!$T$6:$T$185,Register!$A$6:$A$185,$A24,Register!$D$6:$D$185,F$7)),IF(COUNTIFS(Register!$A$6:$A$185,$A24,Register!$D$6:$D$185,F$7,Register!$O$6:$O$185,"&gt;=0")=0,"",SUMIFS(Register!$O$6:$O$185,Register!$A$6:$A$185,$A24,Register!$D$6:$D$185,F$7))))))</f>
        <v>1</v>
      </c>
      <c r="G24" s="14">
        <f>IF($A24="","",IF(COUNTIFS(Register!$A$6:$A$185,$A24,Register!$D$6:$D$185,G$7)&gt;1,"Dup.",IF($C$5="Critical assets (target)",IF(COUNTIFS(Register!$A$6:$A$185,$A24,Register!$D$6:$D$185,G$7,Register!$Q$6:$Q$185,"&gt;=0")=0,"",SUMIFS(Register!$Q$6:$Q$185,Register!$A$6:$A$185,$A24,Register!$D$6:$D$185,G$7)),IF($C$5="Released today",IF(COUNTIFS(Register!$A$6:$A$185,$A24,Register!$D$6:$D$185,G$7,Register!$T$6:$T$185,"&gt;=0")=0,"",SUMIFS(Register!$T$6:$T$185,Register!$A$6:$A$185,$A24,Register!$D$6:$D$185,G$7)),IF(COUNTIFS(Register!$A$6:$A$185,$A24,Register!$D$6:$D$185,G$7,Register!$O$6:$O$185,"&gt;=0")=0,"",SUMIFS(Register!$O$6:$O$185,Register!$A$6:$A$185,$A24,Register!$D$6:$D$185,G$7))))))</f>
        <v>2</v>
      </c>
      <c r="H24" s="14">
        <f>IF($A24="","",IF(COUNTIFS(Register!$A$6:$A$185,$A24,Register!$D$6:$D$185,H$7)&gt;1,"Dup.",IF($C$5="Critical assets (target)",IF(COUNTIFS(Register!$A$6:$A$185,$A24,Register!$D$6:$D$185,H$7,Register!$Q$6:$Q$185,"&gt;=0")=0,"",SUMIFS(Register!$Q$6:$Q$185,Register!$A$6:$A$185,$A24,Register!$D$6:$D$185,H$7)),IF($C$5="Released today",IF(COUNTIFS(Register!$A$6:$A$185,$A24,Register!$D$6:$D$185,H$7,Register!$T$6:$T$185,"&gt;=0")=0,"",SUMIFS(Register!$T$6:$T$185,Register!$A$6:$A$185,$A24,Register!$D$6:$D$185,H$7)),IF(COUNTIFS(Register!$A$6:$A$185,$A24,Register!$D$6:$D$185,H$7,Register!$O$6:$O$185,"&gt;=0")=0,"",SUMIFS(Register!$O$6:$O$185,Register!$A$6:$A$185,$A24,Register!$D$6:$D$185,H$7))))))</f>
        <v>1</v>
      </c>
      <c r="I24" s="14">
        <f>IF($A24="","",IF(COUNTIFS(Register!$A$6:$A$185,$A24,Register!$D$6:$D$185,I$7)&gt;1,"Dup.",IF($C$5="Critical assets (target)",IF(COUNTIFS(Register!$A$6:$A$185,$A24,Register!$D$6:$D$185,I$7,Register!$Q$6:$Q$185,"&gt;=0")=0,"",SUMIFS(Register!$Q$6:$Q$185,Register!$A$6:$A$185,$A24,Register!$D$6:$D$185,I$7)),IF($C$5="Released today",IF(COUNTIFS(Register!$A$6:$A$185,$A24,Register!$D$6:$D$185,I$7,Register!$T$6:$T$185,"&gt;=0")=0,"",SUMIFS(Register!$T$6:$T$185,Register!$A$6:$A$185,$A24,Register!$D$6:$D$185,I$7)),IF(COUNTIFS(Register!$A$6:$A$185,$A24,Register!$D$6:$D$185,I$7,Register!$O$6:$O$185,"&gt;=0")=0,"",SUMIFS(Register!$O$6:$O$185,Register!$A$6:$A$185,$A24,Register!$D$6:$D$185,I$7))))))</f>
        <v>1</v>
      </c>
      <c r="J24" s="14">
        <f>IF($A24="","",IF(COUNTIFS(Register!$A$6:$A$185,$A24,Register!$D$6:$D$185,J$7)&gt;1,"Dup.",IF($C$5="Critical assets (target)",IF(COUNTIFS(Register!$A$6:$A$185,$A24,Register!$D$6:$D$185,J$7,Register!$Q$6:$Q$185,"&gt;=0")=0,"",SUMIFS(Register!$Q$6:$Q$185,Register!$A$6:$A$185,$A24,Register!$D$6:$D$185,J$7)),IF($C$5="Released today",IF(COUNTIFS(Register!$A$6:$A$185,$A24,Register!$D$6:$D$185,J$7,Register!$T$6:$T$185,"&gt;=0")=0,"",SUMIFS(Register!$T$6:$T$185,Register!$A$6:$A$185,$A24,Register!$D$6:$D$185,J$7)),IF(COUNTIFS(Register!$A$6:$A$185,$A24,Register!$D$6:$D$185,J$7,Register!$O$6:$O$185,"&gt;=0")=0,"",SUMIFS(Register!$O$6:$O$185,Register!$A$6:$A$185,$A24,Register!$D$6:$D$185,J$7))))))</f>
        <v>1</v>
      </c>
      <c r="K24" s="13" t="str">
        <f t="shared" si="0"/>
        <v>Enrich</v>
      </c>
      <c r="L24" s="13">
        <f>IF($A24="","",COUNTIFS(Register!$A$6:$A$185,$A24,Register!$P$6:$P$185,"Above policy*"))</f>
        <v>0</v>
      </c>
      <c r="M24" s="13" t="str">
        <f>IF($A24="","",IF(COUNTIF('Readiness gate'!$A$7:$A$36,$A24)&lt;&gt;1,"Incomplete",IFERROR(IF(VLOOKUP($A24,GateTab,9,FALSE())="","Incomplete",VLOOKUP($A24,GateTab,9,FALSE())),"Incomplete")))</f>
        <v>Not passed</v>
      </c>
      <c r="N24" s="13">
        <f>IF($A24="","",SUMPRODUCT((Register!$A$6:$A$185=$A24)*(Register!$T$6:$T$185&lt;&gt;"")*(Register!$O$6:$O$185&lt;&gt;"")*(Register!$T$6:$T$185&lt;Register!$O$6:$O$185)))</f>
        <v>6</v>
      </c>
    </row>
    <row r="25" spans="1:14" x14ac:dyDescent="0.25">
      <c r="A25" s="8" t="str">
        <f>IF('Use cases'!$B$22="","",'Use cases'!$A$22)</f>
        <v>UC18</v>
      </c>
      <c r="B25" s="11" t="str">
        <f>IF($A25="","",'Use cases'!$B$22)</f>
        <v>DNS tunneling</v>
      </c>
      <c r="C25" s="12" t="str">
        <f>IF($A25="","",'Use cases'!$C$22)</f>
        <v>Network</v>
      </c>
      <c r="D25" s="13" t="str">
        <f>IF($A25="","",'Use cases'!$E$22)</f>
        <v>Progressive</v>
      </c>
      <c r="E25" s="14">
        <f>IF($A25="","",IF(COUNTIFS(Register!$A$6:$A$185,$A25,Register!$D$6:$D$185,E$7)&gt;1,"Dup.",IF($C$5="Critical assets (target)",IF(COUNTIFS(Register!$A$6:$A$185,$A25,Register!$D$6:$D$185,E$7,Register!$Q$6:$Q$185,"&gt;=0")=0,"",SUMIFS(Register!$Q$6:$Q$185,Register!$A$6:$A$185,$A25,Register!$D$6:$D$185,E$7)),IF($C$5="Released today",IF(COUNTIFS(Register!$A$6:$A$185,$A25,Register!$D$6:$D$185,E$7,Register!$T$6:$T$185,"&gt;=0")=0,"",SUMIFS(Register!$T$6:$T$185,Register!$A$6:$A$185,$A25,Register!$D$6:$D$185,E$7)),IF(COUNTIFS(Register!$A$6:$A$185,$A25,Register!$D$6:$D$185,E$7,Register!$O$6:$O$185,"&gt;=0")=0,"",SUMIFS(Register!$O$6:$O$185,Register!$A$6:$A$185,$A25,Register!$D$6:$D$185,E$7))))))</f>
        <v>4</v>
      </c>
      <c r="F25" s="14">
        <f>IF($A25="","",IF(COUNTIFS(Register!$A$6:$A$185,$A25,Register!$D$6:$D$185,F$7)&gt;1,"Dup.",IF($C$5="Critical assets (target)",IF(COUNTIFS(Register!$A$6:$A$185,$A25,Register!$D$6:$D$185,F$7,Register!$Q$6:$Q$185,"&gt;=0")=0,"",SUMIFS(Register!$Q$6:$Q$185,Register!$A$6:$A$185,$A25,Register!$D$6:$D$185,F$7)),IF($C$5="Released today",IF(COUNTIFS(Register!$A$6:$A$185,$A25,Register!$D$6:$D$185,F$7,Register!$T$6:$T$185,"&gt;=0")=0,"",SUMIFS(Register!$T$6:$T$185,Register!$A$6:$A$185,$A25,Register!$D$6:$D$185,F$7)),IF(COUNTIFS(Register!$A$6:$A$185,$A25,Register!$D$6:$D$185,F$7,Register!$O$6:$O$185,"&gt;=0")=0,"",SUMIFS(Register!$O$6:$O$185,Register!$A$6:$A$185,$A25,Register!$D$6:$D$185,F$7))))))</f>
        <v>2</v>
      </c>
      <c r="G25" s="14">
        <f>IF($A25="","",IF(COUNTIFS(Register!$A$6:$A$185,$A25,Register!$D$6:$D$185,G$7)&gt;1,"Dup.",IF($C$5="Critical assets (target)",IF(COUNTIFS(Register!$A$6:$A$185,$A25,Register!$D$6:$D$185,G$7,Register!$Q$6:$Q$185,"&gt;=0")=0,"",SUMIFS(Register!$Q$6:$Q$185,Register!$A$6:$A$185,$A25,Register!$D$6:$D$185,G$7)),IF($C$5="Released today",IF(COUNTIFS(Register!$A$6:$A$185,$A25,Register!$D$6:$D$185,G$7,Register!$T$6:$T$185,"&gt;=0")=0,"",SUMIFS(Register!$T$6:$T$185,Register!$A$6:$A$185,$A25,Register!$D$6:$D$185,G$7)),IF(COUNTIFS(Register!$A$6:$A$185,$A25,Register!$D$6:$D$185,G$7,Register!$O$6:$O$185,"&gt;=0")=0,"",SUMIFS(Register!$O$6:$O$185,Register!$A$6:$A$185,$A25,Register!$D$6:$D$185,G$7))))))</f>
        <v>3</v>
      </c>
      <c r="H25" s="14">
        <f>IF($A25="","",IF(COUNTIFS(Register!$A$6:$A$185,$A25,Register!$D$6:$D$185,H$7)&gt;1,"Dup.",IF($C$5="Critical assets (target)",IF(COUNTIFS(Register!$A$6:$A$185,$A25,Register!$D$6:$D$185,H$7,Register!$Q$6:$Q$185,"&gt;=0")=0,"",SUMIFS(Register!$Q$6:$Q$185,Register!$A$6:$A$185,$A25,Register!$D$6:$D$185,H$7)),IF($C$5="Released today",IF(COUNTIFS(Register!$A$6:$A$185,$A25,Register!$D$6:$D$185,H$7,Register!$T$6:$T$185,"&gt;=0")=0,"",SUMIFS(Register!$T$6:$T$185,Register!$A$6:$A$185,$A25,Register!$D$6:$D$185,H$7)),IF(COUNTIFS(Register!$A$6:$A$185,$A25,Register!$D$6:$D$185,H$7,Register!$O$6:$O$185,"&gt;=0")=0,"",SUMIFS(Register!$O$6:$O$185,Register!$A$6:$A$185,$A25,Register!$D$6:$D$185,H$7))))))</f>
        <v>2</v>
      </c>
      <c r="I25" s="14">
        <f>IF($A25="","",IF(COUNTIFS(Register!$A$6:$A$185,$A25,Register!$D$6:$D$185,I$7)&gt;1,"Dup.",IF($C$5="Critical assets (target)",IF(COUNTIFS(Register!$A$6:$A$185,$A25,Register!$D$6:$D$185,I$7,Register!$Q$6:$Q$185,"&gt;=0")=0,"",SUMIFS(Register!$Q$6:$Q$185,Register!$A$6:$A$185,$A25,Register!$D$6:$D$185,I$7)),IF($C$5="Released today",IF(COUNTIFS(Register!$A$6:$A$185,$A25,Register!$D$6:$D$185,I$7,Register!$T$6:$T$185,"&gt;=0")=0,"",SUMIFS(Register!$T$6:$T$185,Register!$A$6:$A$185,$A25,Register!$D$6:$D$185,I$7)),IF(COUNTIFS(Register!$A$6:$A$185,$A25,Register!$D$6:$D$185,I$7,Register!$O$6:$O$185,"&gt;=0")=0,"",SUMIFS(Register!$O$6:$O$185,Register!$A$6:$A$185,$A25,Register!$D$6:$D$185,I$7))))))</f>
        <v>2</v>
      </c>
      <c r="J25" s="14">
        <f>IF($A25="","",IF(COUNTIFS(Register!$A$6:$A$185,$A25,Register!$D$6:$D$185,J$7)&gt;1,"Dup.",IF($C$5="Critical assets (target)",IF(COUNTIFS(Register!$A$6:$A$185,$A25,Register!$D$6:$D$185,J$7,Register!$Q$6:$Q$185,"&gt;=0")=0,"",SUMIFS(Register!$Q$6:$Q$185,Register!$A$6:$A$185,$A25,Register!$D$6:$D$185,J$7)),IF($C$5="Released today",IF(COUNTIFS(Register!$A$6:$A$185,$A25,Register!$D$6:$D$185,J$7,Register!$T$6:$T$185,"&gt;=0")=0,"",SUMIFS(Register!$T$6:$T$185,Register!$A$6:$A$185,$A25,Register!$D$6:$D$185,J$7)),IF(COUNTIFS(Register!$A$6:$A$185,$A25,Register!$D$6:$D$185,J$7,Register!$O$6:$O$185,"&gt;=0")=0,"",SUMIFS(Register!$O$6:$O$185,Register!$A$6:$A$185,$A25,Register!$D$6:$D$185,J$7))))))</f>
        <v>2</v>
      </c>
      <c r="K25" s="13" t="str">
        <f t="shared" si="0"/>
        <v>Triage</v>
      </c>
      <c r="L25" s="13">
        <f>IF($A25="","",COUNTIFS(Register!$A$6:$A$185,$A25,Register!$P$6:$P$185,"Above policy*"))</f>
        <v>0</v>
      </c>
      <c r="M25" s="13" t="str">
        <f>IF($A25="","",IF(COUNTIF('Readiness gate'!$A$7:$A$36,$A25)&lt;&gt;1,"Incomplete",IFERROR(IF(VLOOKUP($A25,GateTab,9,FALSE())="","Incomplete",VLOOKUP($A25,GateTab,9,FALSE())),"Incomplete")))</f>
        <v>Passed</v>
      </c>
      <c r="N25" s="13">
        <f>IF($A25="","",SUMPRODUCT((Register!$A$6:$A$185=$A25)*(Register!$T$6:$T$185&lt;&gt;"")*(Register!$O$6:$O$185&lt;&gt;"")*(Register!$T$6:$T$185&lt;Register!$O$6:$O$185)))</f>
        <v>5</v>
      </c>
    </row>
    <row r="26" spans="1:14" x14ac:dyDescent="0.25">
      <c r="A26" s="8" t="str">
        <f>IF('Use cases'!$B$23="","",'Use cases'!$A$23)</f>
        <v>UC19</v>
      </c>
      <c r="B26" s="11" t="str">
        <f>IF($A26="","",'Use cases'!$B$23)</f>
        <v>Shadow AI data leakage</v>
      </c>
      <c r="C26" s="12" t="str">
        <f>IF($A26="","",'Use cases'!$C$23)</f>
        <v>Data</v>
      </c>
      <c r="D26" s="13" t="str">
        <f>IF($A26="","",'Use cases'!$E$23)</f>
        <v>Progressive</v>
      </c>
      <c r="E26" s="14">
        <f>IF($A26="","",IF(COUNTIFS(Register!$A$6:$A$185,$A26,Register!$D$6:$D$185,E$7)&gt;1,"Dup.",IF($C$5="Critical assets (target)",IF(COUNTIFS(Register!$A$6:$A$185,$A26,Register!$D$6:$D$185,E$7,Register!$Q$6:$Q$185,"&gt;=0")=0,"",SUMIFS(Register!$Q$6:$Q$185,Register!$A$6:$A$185,$A26,Register!$D$6:$D$185,E$7)),IF($C$5="Released today",IF(COUNTIFS(Register!$A$6:$A$185,$A26,Register!$D$6:$D$185,E$7,Register!$T$6:$T$185,"&gt;=0")=0,"",SUMIFS(Register!$T$6:$T$185,Register!$A$6:$A$185,$A26,Register!$D$6:$D$185,E$7)),IF(COUNTIFS(Register!$A$6:$A$185,$A26,Register!$D$6:$D$185,E$7,Register!$O$6:$O$185,"&gt;=0")=0,"",SUMIFS(Register!$O$6:$O$185,Register!$A$6:$A$185,$A26,Register!$D$6:$D$185,E$7))))))</f>
        <v>1</v>
      </c>
      <c r="F26" s="14">
        <f>IF($A26="","",IF(COUNTIFS(Register!$A$6:$A$185,$A26,Register!$D$6:$D$185,F$7)&gt;1,"Dup.",IF($C$5="Critical assets (target)",IF(COUNTIFS(Register!$A$6:$A$185,$A26,Register!$D$6:$D$185,F$7,Register!$Q$6:$Q$185,"&gt;=0")=0,"",SUMIFS(Register!$Q$6:$Q$185,Register!$A$6:$A$185,$A26,Register!$D$6:$D$185,F$7)),IF($C$5="Released today",IF(COUNTIFS(Register!$A$6:$A$185,$A26,Register!$D$6:$D$185,F$7,Register!$T$6:$T$185,"&gt;=0")=0,"",SUMIFS(Register!$T$6:$T$185,Register!$A$6:$A$185,$A26,Register!$D$6:$D$185,F$7)),IF(COUNTIFS(Register!$A$6:$A$185,$A26,Register!$D$6:$D$185,F$7,Register!$O$6:$O$185,"&gt;=0")=0,"",SUMIFS(Register!$O$6:$O$185,Register!$A$6:$A$185,$A26,Register!$D$6:$D$185,F$7))))))</f>
        <v>1</v>
      </c>
      <c r="G26" s="14">
        <f>IF($A26="","",IF(COUNTIFS(Register!$A$6:$A$185,$A26,Register!$D$6:$D$185,G$7)&gt;1,"Dup.",IF($C$5="Critical assets (target)",IF(COUNTIFS(Register!$A$6:$A$185,$A26,Register!$D$6:$D$185,G$7,Register!$Q$6:$Q$185,"&gt;=0")=0,"",SUMIFS(Register!$Q$6:$Q$185,Register!$A$6:$A$185,$A26,Register!$D$6:$D$185,G$7)),IF($C$5="Released today",IF(COUNTIFS(Register!$A$6:$A$185,$A26,Register!$D$6:$D$185,G$7,Register!$T$6:$T$185,"&gt;=0")=0,"",SUMIFS(Register!$T$6:$T$185,Register!$A$6:$A$185,$A26,Register!$D$6:$D$185,G$7)),IF(COUNTIFS(Register!$A$6:$A$185,$A26,Register!$D$6:$D$185,G$7,Register!$O$6:$O$185,"&gt;=0")=0,"",SUMIFS(Register!$O$6:$O$185,Register!$A$6:$A$185,$A26,Register!$D$6:$D$185,G$7))))))</f>
        <v>2</v>
      </c>
      <c r="H26" s="14">
        <f>IF($A26="","",IF(COUNTIFS(Register!$A$6:$A$185,$A26,Register!$D$6:$D$185,H$7)&gt;1,"Dup.",IF($C$5="Critical assets (target)",IF(COUNTIFS(Register!$A$6:$A$185,$A26,Register!$D$6:$D$185,H$7,Register!$Q$6:$Q$185,"&gt;=0")=0,"",SUMIFS(Register!$Q$6:$Q$185,Register!$A$6:$A$185,$A26,Register!$D$6:$D$185,H$7)),IF($C$5="Released today",IF(COUNTIFS(Register!$A$6:$A$185,$A26,Register!$D$6:$D$185,H$7,Register!$T$6:$T$185,"&gt;=0")=0,"",SUMIFS(Register!$T$6:$T$185,Register!$A$6:$A$185,$A26,Register!$D$6:$D$185,H$7)),IF(COUNTIFS(Register!$A$6:$A$185,$A26,Register!$D$6:$D$185,H$7,Register!$O$6:$O$185,"&gt;=0")=0,"",SUMIFS(Register!$O$6:$O$185,Register!$A$6:$A$185,$A26,Register!$D$6:$D$185,H$7))))))</f>
        <v>1</v>
      </c>
      <c r="I26" s="14">
        <f>IF($A26="","",IF(COUNTIFS(Register!$A$6:$A$185,$A26,Register!$D$6:$D$185,I$7)&gt;1,"Dup.",IF($C$5="Critical assets (target)",IF(COUNTIFS(Register!$A$6:$A$185,$A26,Register!$D$6:$D$185,I$7,Register!$Q$6:$Q$185,"&gt;=0")=0,"",SUMIFS(Register!$Q$6:$Q$185,Register!$A$6:$A$185,$A26,Register!$D$6:$D$185,I$7)),IF($C$5="Released today",IF(COUNTIFS(Register!$A$6:$A$185,$A26,Register!$D$6:$D$185,I$7,Register!$T$6:$T$185,"&gt;=0")=0,"",SUMIFS(Register!$T$6:$T$185,Register!$A$6:$A$185,$A26,Register!$D$6:$D$185,I$7)),IF(COUNTIFS(Register!$A$6:$A$185,$A26,Register!$D$6:$D$185,I$7,Register!$O$6:$O$185,"&gt;=0")=0,"",SUMIFS(Register!$O$6:$O$185,Register!$A$6:$A$185,$A26,Register!$D$6:$D$185,I$7))))))</f>
        <v>1</v>
      </c>
      <c r="J26" s="14">
        <f>IF($A26="","",IF(COUNTIFS(Register!$A$6:$A$185,$A26,Register!$D$6:$D$185,J$7)&gt;1,"Dup.",IF($C$5="Critical assets (target)",IF(COUNTIFS(Register!$A$6:$A$185,$A26,Register!$D$6:$D$185,J$7,Register!$Q$6:$Q$185,"&gt;=0")=0,"",SUMIFS(Register!$Q$6:$Q$185,Register!$A$6:$A$185,$A26,Register!$D$6:$D$185,J$7)),IF($C$5="Released today",IF(COUNTIFS(Register!$A$6:$A$185,$A26,Register!$D$6:$D$185,J$7,Register!$T$6:$T$185,"&gt;=0")=0,"",SUMIFS(Register!$T$6:$T$185,Register!$A$6:$A$185,$A26,Register!$D$6:$D$185,J$7)),IF(COUNTIFS(Register!$A$6:$A$185,$A26,Register!$D$6:$D$185,J$7,Register!$O$6:$O$185,"&gt;=0")=0,"",SUMIFS(Register!$O$6:$O$185,Register!$A$6:$A$185,$A26,Register!$D$6:$D$185,J$7))))))</f>
        <v>1</v>
      </c>
      <c r="K26" s="13" t="str">
        <f t="shared" si="0"/>
        <v>Enrich</v>
      </c>
      <c r="L26" s="13">
        <f>IF($A26="","",COUNTIFS(Register!$A$6:$A$185,$A26,Register!$P$6:$P$185,"Above policy*"))</f>
        <v>0</v>
      </c>
      <c r="M26" s="13" t="str">
        <f>IF($A26="","",IF(COUNTIF('Readiness gate'!$A$7:$A$36,$A26)&lt;&gt;1,"Incomplete",IFERROR(IF(VLOOKUP($A26,GateTab,9,FALSE())="","Incomplete",VLOOKUP($A26,GateTab,9,FALSE())),"Incomplete")))</f>
        <v>Not passed</v>
      </c>
      <c r="N26" s="13">
        <f>IF($A26="","",SUMPRODUCT((Register!$A$6:$A$185=$A26)*(Register!$T$6:$T$185&lt;&gt;"")*(Register!$O$6:$O$185&lt;&gt;"")*(Register!$T$6:$T$185&lt;Register!$O$6:$O$185)))</f>
        <v>6</v>
      </c>
    </row>
    <row r="27" spans="1:14" x14ac:dyDescent="0.25">
      <c r="A27" s="8" t="str">
        <f>IF('Use cases'!$B$24="","",'Use cases'!$A$24)</f>
        <v>UC20</v>
      </c>
      <c r="B27" s="11" t="str">
        <f>IF($A27="","",'Use cases'!$B$24)</f>
        <v>Supplier compromise signal</v>
      </c>
      <c r="C27" s="12" t="str">
        <f>IF($A27="","",'Use cases'!$C$24)</f>
        <v>Third party</v>
      </c>
      <c r="D27" s="13" t="str">
        <f>IF($A27="","",'Use cases'!$E$24)</f>
        <v>Conservative</v>
      </c>
      <c r="E27" s="14">
        <f>IF($A27="","",IF(COUNTIFS(Register!$A$6:$A$185,$A27,Register!$D$6:$D$185,E$7)&gt;1,"Dup.",IF($C$5="Critical assets (target)",IF(COUNTIFS(Register!$A$6:$A$185,$A27,Register!$D$6:$D$185,E$7,Register!$Q$6:$Q$185,"&gt;=0")=0,"",SUMIFS(Register!$Q$6:$Q$185,Register!$A$6:$A$185,$A27,Register!$D$6:$D$185,E$7)),IF($C$5="Released today",IF(COUNTIFS(Register!$A$6:$A$185,$A27,Register!$D$6:$D$185,E$7,Register!$T$6:$T$185,"&gt;=0")=0,"",SUMIFS(Register!$T$6:$T$185,Register!$A$6:$A$185,$A27,Register!$D$6:$D$185,E$7)),IF(COUNTIFS(Register!$A$6:$A$185,$A27,Register!$D$6:$D$185,E$7,Register!$O$6:$O$185,"&gt;=0")=0,"",SUMIFS(Register!$O$6:$O$185,Register!$A$6:$A$185,$A27,Register!$D$6:$D$185,E$7))))))</f>
        <v>1</v>
      </c>
      <c r="F27" s="14">
        <f>IF($A27="","",IF(COUNTIFS(Register!$A$6:$A$185,$A27,Register!$D$6:$D$185,F$7)&gt;1,"Dup.",IF($C$5="Critical assets (target)",IF(COUNTIFS(Register!$A$6:$A$185,$A27,Register!$D$6:$D$185,F$7,Register!$Q$6:$Q$185,"&gt;=0")=0,"",SUMIFS(Register!$Q$6:$Q$185,Register!$A$6:$A$185,$A27,Register!$D$6:$D$185,F$7)),IF($C$5="Released today",IF(COUNTIFS(Register!$A$6:$A$185,$A27,Register!$D$6:$D$185,F$7,Register!$T$6:$T$185,"&gt;=0")=0,"",SUMIFS(Register!$T$6:$T$185,Register!$A$6:$A$185,$A27,Register!$D$6:$D$185,F$7)),IF(COUNTIFS(Register!$A$6:$A$185,$A27,Register!$D$6:$D$185,F$7,Register!$O$6:$O$185,"&gt;=0")=0,"",SUMIFS(Register!$O$6:$O$185,Register!$A$6:$A$185,$A27,Register!$D$6:$D$185,F$7))))))</f>
        <v>1</v>
      </c>
      <c r="G27" s="14">
        <f>IF($A27="","",IF(COUNTIFS(Register!$A$6:$A$185,$A27,Register!$D$6:$D$185,G$7)&gt;1,"Dup.",IF($C$5="Critical assets (target)",IF(COUNTIFS(Register!$A$6:$A$185,$A27,Register!$D$6:$D$185,G$7,Register!$Q$6:$Q$185,"&gt;=0")=0,"",SUMIFS(Register!$Q$6:$Q$185,Register!$A$6:$A$185,$A27,Register!$D$6:$D$185,G$7)),IF($C$5="Released today",IF(COUNTIFS(Register!$A$6:$A$185,$A27,Register!$D$6:$D$185,G$7,Register!$T$6:$T$185,"&gt;=0")=0,"",SUMIFS(Register!$T$6:$T$185,Register!$A$6:$A$185,$A27,Register!$D$6:$D$185,G$7)),IF(COUNTIFS(Register!$A$6:$A$185,$A27,Register!$D$6:$D$185,G$7,Register!$O$6:$O$185,"&gt;=0")=0,"",SUMIFS(Register!$O$6:$O$185,Register!$A$6:$A$185,$A27,Register!$D$6:$D$185,G$7))))))</f>
        <v>0</v>
      </c>
      <c r="H27" s="14">
        <f>IF($A27="","",IF(COUNTIFS(Register!$A$6:$A$185,$A27,Register!$D$6:$D$185,H$7)&gt;1,"Dup.",IF($C$5="Critical assets (target)",IF(COUNTIFS(Register!$A$6:$A$185,$A27,Register!$D$6:$D$185,H$7,Register!$Q$6:$Q$185,"&gt;=0")=0,"",SUMIFS(Register!$Q$6:$Q$185,Register!$A$6:$A$185,$A27,Register!$D$6:$D$185,H$7)),IF($C$5="Released today",IF(COUNTIFS(Register!$A$6:$A$185,$A27,Register!$D$6:$D$185,H$7,Register!$T$6:$T$185,"&gt;=0")=0,"",SUMIFS(Register!$T$6:$T$185,Register!$A$6:$A$185,$A27,Register!$D$6:$D$185,H$7)),IF(COUNTIFS(Register!$A$6:$A$185,$A27,Register!$D$6:$D$185,H$7,Register!$O$6:$O$185,"&gt;=0")=0,"",SUMIFS(Register!$O$6:$O$185,Register!$A$6:$A$185,$A27,Register!$D$6:$D$185,H$7))))))</f>
        <v>0</v>
      </c>
      <c r="I27" s="14">
        <f>IF($A27="","",IF(COUNTIFS(Register!$A$6:$A$185,$A27,Register!$D$6:$D$185,I$7)&gt;1,"Dup.",IF($C$5="Critical assets (target)",IF(COUNTIFS(Register!$A$6:$A$185,$A27,Register!$D$6:$D$185,I$7,Register!$Q$6:$Q$185,"&gt;=0")=0,"",SUMIFS(Register!$Q$6:$Q$185,Register!$A$6:$A$185,$A27,Register!$D$6:$D$185,I$7)),IF($C$5="Released today",IF(COUNTIFS(Register!$A$6:$A$185,$A27,Register!$D$6:$D$185,I$7,Register!$T$6:$T$185,"&gt;=0")=0,"",SUMIFS(Register!$T$6:$T$185,Register!$A$6:$A$185,$A27,Register!$D$6:$D$185,I$7)),IF(COUNTIFS(Register!$A$6:$A$185,$A27,Register!$D$6:$D$185,I$7,Register!$O$6:$O$185,"&gt;=0")=0,"",SUMIFS(Register!$O$6:$O$185,Register!$A$6:$A$185,$A27,Register!$D$6:$D$185,I$7))))))</f>
        <v>0</v>
      </c>
      <c r="J27" s="14">
        <f>IF($A27="","",IF(COUNTIFS(Register!$A$6:$A$185,$A27,Register!$D$6:$D$185,J$7)&gt;1,"Dup.",IF($C$5="Critical assets (target)",IF(COUNTIFS(Register!$A$6:$A$185,$A27,Register!$D$6:$D$185,J$7,Register!$Q$6:$Q$185,"&gt;=0")=0,"",SUMIFS(Register!$Q$6:$Q$185,Register!$A$6:$A$185,$A27,Register!$D$6:$D$185,J$7)),IF($C$5="Released today",IF(COUNTIFS(Register!$A$6:$A$185,$A27,Register!$D$6:$D$185,J$7,Register!$T$6:$T$185,"&gt;=0")=0,"",SUMIFS(Register!$T$6:$T$185,Register!$A$6:$A$185,$A27,Register!$D$6:$D$185,J$7)),IF(COUNTIFS(Register!$A$6:$A$185,$A27,Register!$D$6:$D$185,J$7,Register!$O$6:$O$185,"&gt;=0")=0,"",SUMIFS(Register!$O$6:$O$185,Register!$A$6:$A$185,$A27,Register!$D$6:$D$185,J$7))))))</f>
        <v>1</v>
      </c>
      <c r="K27" s="13" t="str">
        <f t="shared" si="0"/>
        <v>Enrich</v>
      </c>
      <c r="L27" s="13">
        <f>IF($A27="","",COUNTIFS(Register!$A$6:$A$185,$A27,Register!$P$6:$P$185,"Above policy*"))</f>
        <v>0</v>
      </c>
      <c r="M27" s="13" t="str">
        <f>IF($A27="","",IF(COUNTIF('Readiness gate'!$A$7:$A$36,$A27)&lt;&gt;1,"Incomplete",IFERROR(IF(VLOOKUP($A27,GateTab,9,FALSE())="","Incomplete",VLOOKUP($A27,GateTab,9,FALSE())),"Incomplete")))</f>
        <v>Not passed</v>
      </c>
      <c r="N27" s="13">
        <f>IF($A27="","",SUMPRODUCT((Register!$A$6:$A$185=$A27)*(Register!$T$6:$T$185&lt;&gt;"")*(Register!$O$6:$O$185&lt;&gt;"")*(Register!$T$6:$T$185&lt;Register!$O$6:$O$185)))</f>
        <v>5</v>
      </c>
    </row>
    <row r="28" spans="1:14" x14ac:dyDescent="0.25">
      <c r="A28" s="8" t="str">
        <f>IF('Use cases'!$B$25="","",'Use cases'!$A$25)</f>
        <v/>
      </c>
      <c r="B28" s="11" t="str">
        <f>IF($A28="","",'Use cases'!$B$25)</f>
        <v/>
      </c>
      <c r="C28" s="12" t="str">
        <f>IF($A28="","",'Use cases'!$C$25)</f>
        <v/>
      </c>
      <c r="D28" s="13" t="str">
        <f>IF($A28="","",'Use cases'!$E$25)</f>
        <v/>
      </c>
      <c r="E28" s="14" t="str">
        <f>IF($A28="","",IF(COUNTIFS(Register!$A$6:$A$185,$A28,Register!$D$6:$D$185,E$7)&gt;1,"Dup.",IF($C$5="Critical assets (target)",IF(COUNTIFS(Register!$A$6:$A$185,$A28,Register!$D$6:$D$185,E$7,Register!$Q$6:$Q$185,"&gt;=0")=0,"",SUMIFS(Register!$Q$6:$Q$185,Register!$A$6:$A$185,$A28,Register!$D$6:$D$185,E$7)),IF($C$5="Released today",IF(COUNTIFS(Register!$A$6:$A$185,$A28,Register!$D$6:$D$185,E$7,Register!$T$6:$T$185,"&gt;=0")=0,"",SUMIFS(Register!$T$6:$T$185,Register!$A$6:$A$185,$A28,Register!$D$6:$D$185,E$7)),IF(COUNTIFS(Register!$A$6:$A$185,$A28,Register!$D$6:$D$185,E$7,Register!$O$6:$O$185,"&gt;=0")=0,"",SUMIFS(Register!$O$6:$O$185,Register!$A$6:$A$185,$A28,Register!$D$6:$D$185,E$7))))))</f>
        <v/>
      </c>
      <c r="F28" s="14" t="str">
        <f>IF($A28="","",IF(COUNTIFS(Register!$A$6:$A$185,$A28,Register!$D$6:$D$185,F$7)&gt;1,"Dup.",IF($C$5="Critical assets (target)",IF(COUNTIFS(Register!$A$6:$A$185,$A28,Register!$D$6:$D$185,F$7,Register!$Q$6:$Q$185,"&gt;=0")=0,"",SUMIFS(Register!$Q$6:$Q$185,Register!$A$6:$A$185,$A28,Register!$D$6:$D$185,F$7)),IF($C$5="Released today",IF(COUNTIFS(Register!$A$6:$A$185,$A28,Register!$D$6:$D$185,F$7,Register!$T$6:$T$185,"&gt;=0")=0,"",SUMIFS(Register!$T$6:$T$185,Register!$A$6:$A$185,$A28,Register!$D$6:$D$185,F$7)),IF(COUNTIFS(Register!$A$6:$A$185,$A28,Register!$D$6:$D$185,F$7,Register!$O$6:$O$185,"&gt;=0")=0,"",SUMIFS(Register!$O$6:$O$185,Register!$A$6:$A$185,$A28,Register!$D$6:$D$185,F$7))))))</f>
        <v/>
      </c>
      <c r="G28" s="14" t="str">
        <f>IF($A28="","",IF(COUNTIFS(Register!$A$6:$A$185,$A28,Register!$D$6:$D$185,G$7)&gt;1,"Dup.",IF($C$5="Critical assets (target)",IF(COUNTIFS(Register!$A$6:$A$185,$A28,Register!$D$6:$D$185,G$7,Register!$Q$6:$Q$185,"&gt;=0")=0,"",SUMIFS(Register!$Q$6:$Q$185,Register!$A$6:$A$185,$A28,Register!$D$6:$D$185,G$7)),IF($C$5="Released today",IF(COUNTIFS(Register!$A$6:$A$185,$A28,Register!$D$6:$D$185,G$7,Register!$T$6:$T$185,"&gt;=0")=0,"",SUMIFS(Register!$T$6:$T$185,Register!$A$6:$A$185,$A28,Register!$D$6:$D$185,G$7)),IF(COUNTIFS(Register!$A$6:$A$185,$A28,Register!$D$6:$D$185,G$7,Register!$O$6:$O$185,"&gt;=0")=0,"",SUMIFS(Register!$O$6:$O$185,Register!$A$6:$A$185,$A28,Register!$D$6:$D$185,G$7))))))</f>
        <v/>
      </c>
      <c r="H28" s="14" t="str">
        <f>IF($A28="","",IF(COUNTIFS(Register!$A$6:$A$185,$A28,Register!$D$6:$D$185,H$7)&gt;1,"Dup.",IF($C$5="Critical assets (target)",IF(COUNTIFS(Register!$A$6:$A$185,$A28,Register!$D$6:$D$185,H$7,Register!$Q$6:$Q$185,"&gt;=0")=0,"",SUMIFS(Register!$Q$6:$Q$185,Register!$A$6:$A$185,$A28,Register!$D$6:$D$185,H$7)),IF($C$5="Released today",IF(COUNTIFS(Register!$A$6:$A$185,$A28,Register!$D$6:$D$185,H$7,Register!$T$6:$T$185,"&gt;=0")=0,"",SUMIFS(Register!$T$6:$T$185,Register!$A$6:$A$185,$A28,Register!$D$6:$D$185,H$7)),IF(COUNTIFS(Register!$A$6:$A$185,$A28,Register!$D$6:$D$185,H$7,Register!$O$6:$O$185,"&gt;=0")=0,"",SUMIFS(Register!$O$6:$O$185,Register!$A$6:$A$185,$A28,Register!$D$6:$D$185,H$7))))))</f>
        <v/>
      </c>
      <c r="I28" s="14" t="str">
        <f>IF($A28="","",IF(COUNTIFS(Register!$A$6:$A$185,$A28,Register!$D$6:$D$185,I$7)&gt;1,"Dup.",IF($C$5="Critical assets (target)",IF(COUNTIFS(Register!$A$6:$A$185,$A28,Register!$D$6:$D$185,I$7,Register!$Q$6:$Q$185,"&gt;=0")=0,"",SUMIFS(Register!$Q$6:$Q$185,Register!$A$6:$A$185,$A28,Register!$D$6:$D$185,I$7)),IF($C$5="Released today",IF(COUNTIFS(Register!$A$6:$A$185,$A28,Register!$D$6:$D$185,I$7,Register!$T$6:$T$185,"&gt;=0")=0,"",SUMIFS(Register!$T$6:$T$185,Register!$A$6:$A$185,$A28,Register!$D$6:$D$185,I$7)),IF(COUNTIFS(Register!$A$6:$A$185,$A28,Register!$D$6:$D$185,I$7,Register!$O$6:$O$185,"&gt;=0")=0,"",SUMIFS(Register!$O$6:$O$185,Register!$A$6:$A$185,$A28,Register!$D$6:$D$185,I$7))))))</f>
        <v/>
      </c>
      <c r="J28" s="14" t="str">
        <f>IF($A28="","",IF(COUNTIFS(Register!$A$6:$A$185,$A28,Register!$D$6:$D$185,J$7)&gt;1,"Dup.",IF($C$5="Critical assets (target)",IF(COUNTIFS(Register!$A$6:$A$185,$A28,Register!$D$6:$D$185,J$7,Register!$Q$6:$Q$185,"&gt;=0")=0,"",SUMIFS(Register!$Q$6:$Q$185,Register!$A$6:$A$185,$A28,Register!$D$6:$D$185,J$7)),IF($C$5="Released today",IF(COUNTIFS(Register!$A$6:$A$185,$A28,Register!$D$6:$D$185,J$7,Register!$T$6:$T$185,"&gt;=0")=0,"",SUMIFS(Register!$T$6:$T$185,Register!$A$6:$A$185,$A28,Register!$D$6:$D$185,J$7)),IF(COUNTIFS(Register!$A$6:$A$185,$A28,Register!$D$6:$D$185,J$7,Register!$O$6:$O$185,"&gt;=0")=0,"",SUMIFS(Register!$O$6:$O$185,Register!$A$6:$A$185,$A28,Register!$D$6:$D$185,J$7))))))</f>
        <v/>
      </c>
      <c r="K28" s="13" t="str">
        <f t="shared" si="0"/>
        <v/>
      </c>
      <c r="L28" s="13" t="str">
        <f>IF($A28="","",COUNTIFS(Register!$A$6:$A$185,$A28,Register!$P$6:$P$185,"Above policy*"))</f>
        <v/>
      </c>
      <c r="M28" s="13" t="str">
        <f>IF($A28="","",IF(COUNTIF('Readiness gate'!$A$7:$A$36,$A28)&lt;&gt;1,"Incomplete",IFERROR(IF(VLOOKUP($A28,GateTab,9,FALSE())="","Incomplete",VLOOKUP($A28,GateTab,9,FALSE())),"Incomplete")))</f>
        <v/>
      </c>
      <c r="N28" s="13" t="str">
        <f>IF($A28="","",SUMPRODUCT((Register!$A$6:$A$185=$A28)*(Register!$T$6:$T$185&lt;&gt;"")*(Register!$O$6:$O$185&lt;&gt;"")*(Register!$T$6:$T$185&lt;Register!$O$6:$O$185)))</f>
        <v/>
      </c>
    </row>
    <row r="29" spans="1:14" x14ac:dyDescent="0.25">
      <c r="A29" s="8" t="str">
        <f>IF('Use cases'!$B$26="","",'Use cases'!$A$26)</f>
        <v/>
      </c>
      <c r="B29" s="11" t="str">
        <f>IF($A29="","",'Use cases'!$B$26)</f>
        <v/>
      </c>
      <c r="C29" s="12" t="str">
        <f>IF($A29="","",'Use cases'!$C$26)</f>
        <v/>
      </c>
      <c r="D29" s="13" t="str">
        <f>IF($A29="","",'Use cases'!$E$26)</f>
        <v/>
      </c>
      <c r="E29" s="14" t="str">
        <f>IF($A29="","",IF(COUNTIFS(Register!$A$6:$A$185,$A29,Register!$D$6:$D$185,E$7)&gt;1,"Dup.",IF($C$5="Critical assets (target)",IF(COUNTIFS(Register!$A$6:$A$185,$A29,Register!$D$6:$D$185,E$7,Register!$Q$6:$Q$185,"&gt;=0")=0,"",SUMIFS(Register!$Q$6:$Q$185,Register!$A$6:$A$185,$A29,Register!$D$6:$D$185,E$7)),IF($C$5="Released today",IF(COUNTIFS(Register!$A$6:$A$185,$A29,Register!$D$6:$D$185,E$7,Register!$T$6:$T$185,"&gt;=0")=0,"",SUMIFS(Register!$T$6:$T$185,Register!$A$6:$A$185,$A29,Register!$D$6:$D$185,E$7)),IF(COUNTIFS(Register!$A$6:$A$185,$A29,Register!$D$6:$D$185,E$7,Register!$O$6:$O$185,"&gt;=0")=0,"",SUMIFS(Register!$O$6:$O$185,Register!$A$6:$A$185,$A29,Register!$D$6:$D$185,E$7))))))</f>
        <v/>
      </c>
      <c r="F29" s="14" t="str">
        <f>IF($A29="","",IF(COUNTIFS(Register!$A$6:$A$185,$A29,Register!$D$6:$D$185,F$7)&gt;1,"Dup.",IF($C$5="Critical assets (target)",IF(COUNTIFS(Register!$A$6:$A$185,$A29,Register!$D$6:$D$185,F$7,Register!$Q$6:$Q$185,"&gt;=0")=0,"",SUMIFS(Register!$Q$6:$Q$185,Register!$A$6:$A$185,$A29,Register!$D$6:$D$185,F$7)),IF($C$5="Released today",IF(COUNTIFS(Register!$A$6:$A$185,$A29,Register!$D$6:$D$185,F$7,Register!$T$6:$T$185,"&gt;=0")=0,"",SUMIFS(Register!$T$6:$T$185,Register!$A$6:$A$185,$A29,Register!$D$6:$D$185,F$7)),IF(COUNTIFS(Register!$A$6:$A$185,$A29,Register!$D$6:$D$185,F$7,Register!$O$6:$O$185,"&gt;=0")=0,"",SUMIFS(Register!$O$6:$O$185,Register!$A$6:$A$185,$A29,Register!$D$6:$D$185,F$7))))))</f>
        <v/>
      </c>
      <c r="G29" s="14" t="str">
        <f>IF($A29="","",IF(COUNTIFS(Register!$A$6:$A$185,$A29,Register!$D$6:$D$185,G$7)&gt;1,"Dup.",IF($C$5="Critical assets (target)",IF(COUNTIFS(Register!$A$6:$A$185,$A29,Register!$D$6:$D$185,G$7,Register!$Q$6:$Q$185,"&gt;=0")=0,"",SUMIFS(Register!$Q$6:$Q$185,Register!$A$6:$A$185,$A29,Register!$D$6:$D$185,G$7)),IF($C$5="Released today",IF(COUNTIFS(Register!$A$6:$A$185,$A29,Register!$D$6:$D$185,G$7,Register!$T$6:$T$185,"&gt;=0")=0,"",SUMIFS(Register!$T$6:$T$185,Register!$A$6:$A$185,$A29,Register!$D$6:$D$185,G$7)),IF(COUNTIFS(Register!$A$6:$A$185,$A29,Register!$D$6:$D$185,G$7,Register!$O$6:$O$185,"&gt;=0")=0,"",SUMIFS(Register!$O$6:$O$185,Register!$A$6:$A$185,$A29,Register!$D$6:$D$185,G$7))))))</f>
        <v/>
      </c>
      <c r="H29" s="14" t="str">
        <f>IF($A29="","",IF(COUNTIFS(Register!$A$6:$A$185,$A29,Register!$D$6:$D$185,H$7)&gt;1,"Dup.",IF($C$5="Critical assets (target)",IF(COUNTIFS(Register!$A$6:$A$185,$A29,Register!$D$6:$D$185,H$7,Register!$Q$6:$Q$185,"&gt;=0")=0,"",SUMIFS(Register!$Q$6:$Q$185,Register!$A$6:$A$185,$A29,Register!$D$6:$D$185,H$7)),IF($C$5="Released today",IF(COUNTIFS(Register!$A$6:$A$185,$A29,Register!$D$6:$D$185,H$7,Register!$T$6:$T$185,"&gt;=0")=0,"",SUMIFS(Register!$T$6:$T$185,Register!$A$6:$A$185,$A29,Register!$D$6:$D$185,H$7)),IF(COUNTIFS(Register!$A$6:$A$185,$A29,Register!$D$6:$D$185,H$7,Register!$O$6:$O$185,"&gt;=0")=0,"",SUMIFS(Register!$O$6:$O$185,Register!$A$6:$A$185,$A29,Register!$D$6:$D$185,H$7))))))</f>
        <v/>
      </c>
      <c r="I29" s="14" t="str">
        <f>IF($A29="","",IF(COUNTIFS(Register!$A$6:$A$185,$A29,Register!$D$6:$D$185,I$7)&gt;1,"Dup.",IF($C$5="Critical assets (target)",IF(COUNTIFS(Register!$A$6:$A$185,$A29,Register!$D$6:$D$185,I$7,Register!$Q$6:$Q$185,"&gt;=0")=0,"",SUMIFS(Register!$Q$6:$Q$185,Register!$A$6:$A$185,$A29,Register!$D$6:$D$185,I$7)),IF($C$5="Released today",IF(COUNTIFS(Register!$A$6:$A$185,$A29,Register!$D$6:$D$185,I$7,Register!$T$6:$T$185,"&gt;=0")=0,"",SUMIFS(Register!$T$6:$T$185,Register!$A$6:$A$185,$A29,Register!$D$6:$D$185,I$7)),IF(COUNTIFS(Register!$A$6:$A$185,$A29,Register!$D$6:$D$185,I$7,Register!$O$6:$O$185,"&gt;=0")=0,"",SUMIFS(Register!$O$6:$O$185,Register!$A$6:$A$185,$A29,Register!$D$6:$D$185,I$7))))))</f>
        <v/>
      </c>
      <c r="J29" s="14" t="str">
        <f>IF($A29="","",IF(COUNTIFS(Register!$A$6:$A$185,$A29,Register!$D$6:$D$185,J$7)&gt;1,"Dup.",IF($C$5="Critical assets (target)",IF(COUNTIFS(Register!$A$6:$A$185,$A29,Register!$D$6:$D$185,J$7,Register!$Q$6:$Q$185,"&gt;=0")=0,"",SUMIFS(Register!$Q$6:$Q$185,Register!$A$6:$A$185,$A29,Register!$D$6:$D$185,J$7)),IF($C$5="Released today",IF(COUNTIFS(Register!$A$6:$A$185,$A29,Register!$D$6:$D$185,J$7,Register!$T$6:$T$185,"&gt;=0")=0,"",SUMIFS(Register!$T$6:$T$185,Register!$A$6:$A$185,$A29,Register!$D$6:$D$185,J$7)),IF(COUNTIFS(Register!$A$6:$A$185,$A29,Register!$D$6:$D$185,J$7,Register!$O$6:$O$185,"&gt;=0")=0,"",SUMIFS(Register!$O$6:$O$185,Register!$A$6:$A$185,$A29,Register!$D$6:$D$185,J$7))))))</f>
        <v/>
      </c>
      <c r="K29" s="13" t="str">
        <f t="shared" si="0"/>
        <v/>
      </c>
      <c r="L29" s="13" t="str">
        <f>IF($A29="","",COUNTIFS(Register!$A$6:$A$185,$A29,Register!$P$6:$P$185,"Above policy*"))</f>
        <v/>
      </c>
      <c r="M29" s="13" t="str">
        <f>IF($A29="","",IF(COUNTIF('Readiness gate'!$A$7:$A$36,$A29)&lt;&gt;1,"Incomplete",IFERROR(IF(VLOOKUP($A29,GateTab,9,FALSE())="","Incomplete",VLOOKUP($A29,GateTab,9,FALSE())),"Incomplete")))</f>
        <v/>
      </c>
      <c r="N29" s="13" t="str">
        <f>IF($A29="","",SUMPRODUCT((Register!$A$6:$A$185=$A29)*(Register!$T$6:$T$185&lt;&gt;"")*(Register!$O$6:$O$185&lt;&gt;"")*(Register!$T$6:$T$185&lt;Register!$O$6:$O$185)))</f>
        <v/>
      </c>
    </row>
    <row r="30" spans="1:14" x14ac:dyDescent="0.25">
      <c r="A30" s="8" t="str">
        <f>IF('Use cases'!$B$27="","",'Use cases'!$A$27)</f>
        <v/>
      </c>
      <c r="B30" s="11" t="str">
        <f>IF($A30="","",'Use cases'!$B$27)</f>
        <v/>
      </c>
      <c r="C30" s="12" t="str">
        <f>IF($A30="","",'Use cases'!$C$27)</f>
        <v/>
      </c>
      <c r="D30" s="13" t="str">
        <f>IF($A30="","",'Use cases'!$E$27)</f>
        <v/>
      </c>
      <c r="E30" s="14" t="str">
        <f>IF($A30="","",IF(COUNTIFS(Register!$A$6:$A$185,$A30,Register!$D$6:$D$185,E$7)&gt;1,"Dup.",IF($C$5="Critical assets (target)",IF(COUNTIFS(Register!$A$6:$A$185,$A30,Register!$D$6:$D$185,E$7,Register!$Q$6:$Q$185,"&gt;=0")=0,"",SUMIFS(Register!$Q$6:$Q$185,Register!$A$6:$A$185,$A30,Register!$D$6:$D$185,E$7)),IF($C$5="Released today",IF(COUNTIFS(Register!$A$6:$A$185,$A30,Register!$D$6:$D$185,E$7,Register!$T$6:$T$185,"&gt;=0")=0,"",SUMIFS(Register!$T$6:$T$185,Register!$A$6:$A$185,$A30,Register!$D$6:$D$185,E$7)),IF(COUNTIFS(Register!$A$6:$A$185,$A30,Register!$D$6:$D$185,E$7,Register!$O$6:$O$185,"&gt;=0")=0,"",SUMIFS(Register!$O$6:$O$185,Register!$A$6:$A$185,$A30,Register!$D$6:$D$185,E$7))))))</f>
        <v/>
      </c>
      <c r="F30" s="14" t="str">
        <f>IF($A30="","",IF(COUNTIFS(Register!$A$6:$A$185,$A30,Register!$D$6:$D$185,F$7)&gt;1,"Dup.",IF($C$5="Critical assets (target)",IF(COUNTIFS(Register!$A$6:$A$185,$A30,Register!$D$6:$D$185,F$7,Register!$Q$6:$Q$185,"&gt;=0")=0,"",SUMIFS(Register!$Q$6:$Q$185,Register!$A$6:$A$185,$A30,Register!$D$6:$D$185,F$7)),IF($C$5="Released today",IF(COUNTIFS(Register!$A$6:$A$185,$A30,Register!$D$6:$D$185,F$7,Register!$T$6:$T$185,"&gt;=0")=0,"",SUMIFS(Register!$T$6:$T$185,Register!$A$6:$A$185,$A30,Register!$D$6:$D$185,F$7)),IF(COUNTIFS(Register!$A$6:$A$185,$A30,Register!$D$6:$D$185,F$7,Register!$O$6:$O$185,"&gt;=0")=0,"",SUMIFS(Register!$O$6:$O$185,Register!$A$6:$A$185,$A30,Register!$D$6:$D$185,F$7))))))</f>
        <v/>
      </c>
      <c r="G30" s="14" t="str">
        <f>IF($A30="","",IF(COUNTIFS(Register!$A$6:$A$185,$A30,Register!$D$6:$D$185,G$7)&gt;1,"Dup.",IF($C$5="Critical assets (target)",IF(COUNTIFS(Register!$A$6:$A$185,$A30,Register!$D$6:$D$185,G$7,Register!$Q$6:$Q$185,"&gt;=0")=0,"",SUMIFS(Register!$Q$6:$Q$185,Register!$A$6:$A$185,$A30,Register!$D$6:$D$185,G$7)),IF($C$5="Released today",IF(COUNTIFS(Register!$A$6:$A$185,$A30,Register!$D$6:$D$185,G$7,Register!$T$6:$T$185,"&gt;=0")=0,"",SUMIFS(Register!$T$6:$T$185,Register!$A$6:$A$185,$A30,Register!$D$6:$D$185,G$7)),IF(COUNTIFS(Register!$A$6:$A$185,$A30,Register!$D$6:$D$185,G$7,Register!$O$6:$O$185,"&gt;=0")=0,"",SUMIFS(Register!$O$6:$O$185,Register!$A$6:$A$185,$A30,Register!$D$6:$D$185,G$7))))))</f>
        <v/>
      </c>
      <c r="H30" s="14" t="str">
        <f>IF($A30="","",IF(COUNTIFS(Register!$A$6:$A$185,$A30,Register!$D$6:$D$185,H$7)&gt;1,"Dup.",IF($C$5="Critical assets (target)",IF(COUNTIFS(Register!$A$6:$A$185,$A30,Register!$D$6:$D$185,H$7,Register!$Q$6:$Q$185,"&gt;=0")=0,"",SUMIFS(Register!$Q$6:$Q$185,Register!$A$6:$A$185,$A30,Register!$D$6:$D$185,H$7)),IF($C$5="Released today",IF(COUNTIFS(Register!$A$6:$A$185,$A30,Register!$D$6:$D$185,H$7,Register!$T$6:$T$185,"&gt;=0")=0,"",SUMIFS(Register!$T$6:$T$185,Register!$A$6:$A$185,$A30,Register!$D$6:$D$185,H$7)),IF(COUNTIFS(Register!$A$6:$A$185,$A30,Register!$D$6:$D$185,H$7,Register!$O$6:$O$185,"&gt;=0")=0,"",SUMIFS(Register!$O$6:$O$185,Register!$A$6:$A$185,$A30,Register!$D$6:$D$185,H$7))))))</f>
        <v/>
      </c>
      <c r="I30" s="14" t="str">
        <f>IF($A30="","",IF(COUNTIFS(Register!$A$6:$A$185,$A30,Register!$D$6:$D$185,I$7)&gt;1,"Dup.",IF($C$5="Critical assets (target)",IF(COUNTIFS(Register!$A$6:$A$185,$A30,Register!$D$6:$D$185,I$7,Register!$Q$6:$Q$185,"&gt;=0")=0,"",SUMIFS(Register!$Q$6:$Q$185,Register!$A$6:$A$185,$A30,Register!$D$6:$D$185,I$7)),IF($C$5="Released today",IF(COUNTIFS(Register!$A$6:$A$185,$A30,Register!$D$6:$D$185,I$7,Register!$T$6:$T$185,"&gt;=0")=0,"",SUMIFS(Register!$T$6:$T$185,Register!$A$6:$A$185,$A30,Register!$D$6:$D$185,I$7)),IF(COUNTIFS(Register!$A$6:$A$185,$A30,Register!$D$6:$D$185,I$7,Register!$O$6:$O$185,"&gt;=0")=0,"",SUMIFS(Register!$O$6:$O$185,Register!$A$6:$A$185,$A30,Register!$D$6:$D$185,I$7))))))</f>
        <v/>
      </c>
      <c r="J30" s="14" t="str">
        <f>IF($A30="","",IF(COUNTIFS(Register!$A$6:$A$185,$A30,Register!$D$6:$D$185,J$7)&gt;1,"Dup.",IF($C$5="Critical assets (target)",IF(COUNTIFS(Register!$A$6:$A$185,$A30,Register!$D$6:$D$185,J$7,Register!$Q$6:$Q$185,"&gt;=0")=0,"",SUMIFS(Register!$Q$6:$Q$185,Register!$A$6:$A$185,$A30,Register!$D$6:$D$185,J$7)),IF($C$5="Released today",IF(COUNTIFS(Register!$A$6:$A$185,$A30,Register!$D$6:$D$185,J$7,Register!$T$6:$T$185,"&gt;=0")=0,"",SUMIFS(Register!$T$6:$T$185,Register!$A$6:$A$185,$A30,Register!$D$6:$D$185,J$7)),IF(COUNTIFS(Register!$A$6:$A$185,$A30,Register!$D$6:$D$185,J$7,Register!$O$6:$O$185,"&gt;=0")=0,"",SUMIFS(Register!$O$6:$O$185,Register!$A$6:$A$185,$A30,Register!$D$6:$D$185,J$7))))))</f>
        <v/>
      </c>
      <c r="K30" s="13" t="str">
        <f t="shared" si="0"/>
        <v/>
      </c>
      <c r="L30" s="13" t="str">
        <f>IF($A30="","",COUNTIFS(Register!$A$6:$A$185,$A30,Register!$P$6:$P$185,"Above policy*"))</f>
        <v/>
      </c>
      <c r="M30" s="13" t="str">
        <f>IF($A30="","",IF(COUNTIF('Readiness gate'!$A$7:$A$36,$A30)&lt;&gt;1,"Incomplete",IFERROR(IF(VLOOKUP($A30,GateTab,9,FALSE())="","Incomplete",VLOOKUP($A30,GateTab,9,FALSE())),"Incomplete")))</f>
        <v/>
      </c>
      <c r="N30" s="13" t="str">
        <f>IF($A30="","",SUMPRODUCT((Register!$A$6:$A$185=$A30)*(Register!$T$6:$T$185&lt;&gt;"")*(Register!$O$6:$O$185&lt;&gt;"")*(Register!$T$6:$T$185&lt;Register!$O$6:$O$185)))</f>
        <v/>
      </c>
    </row>
    <row r="31" spans="1:14" x14ac:dyDescent="0.25">
      <c r="A31" s="8" t="str">
        <f>IF('Use cases'!$B$28="","",'Use cases'!$A$28)</f>
        <v/>
      </c>
      <c r="B31" s="11" t="str">
        <f>IF($A31="","",'Use cases'!$B$28)</f>
        <v/>
      </c>
      <c r="C31" s="12" t="str">
        <f>IF($A31="","",'Use cases'!$C$28)</f>
        <v/>
      </c>
      <c r="D31" s="13" t="str">
        <f>IF($A31="","",'Use cases'!$E$28)</f>
        <v/>
      </c>
      <c r="E31" s="14" t="str">
        <f>IF($A31="","",IF(COUNTIFS(Register!$A$6:$A$185,$A31,Register!$D$6:$D$185,E$7)&gt;1,"Dup.",IF($C$5="Critical assets (target)",IF(COUNTIFS(Register!$A$6:$A$185,$A31,Register!$D$6:$D$185,E$7,Register!$Q$6:$Q$185,"&gt;=0")=0,"",SUMIFS(Register!$Q$6:$Q$185,Register!$A$6:$A$185,$A31,Register!$D$6:$D$185,E$7)),IF($C$5="Released today",IF(COUNTIFS(Register!$A$6:$A$185,$A31,Register!$D$6:$D$185,E$7,Register!$T$6:$T$185,"&gt;=0")=0,"",SUMIFS(Register!$T$6:$T$185,Register!$A$6:$A$185,$A31,Register!$D$6:$D$185,E$7)),IF(COUNTIFS(Register!$A$6:$A$185,$A31,Register!$D$6:$D$185,E$7,Register!$O$6:$O$185,"&gt;=0")=0,"",SUMIFS(Register!$O$6:$O$185,Register!$A$6:$A$185,$A31,Register!$D$6:$D$185,E$7))))))</f>
        <v/>
      </c>
      <c r="F31" s="14" t="str">
        <f>IF($A31="","",IF(COUNTIFS(Register!$A$6:$A$185,$A31,Register!$D$6:$D$185,F$7)&gt;1,"Dup.",IF($C$5="Critical assets (target)",IF(COUNTIFS(Register!$A$6:$A$185,$A31,Register!$D$6:$D$185,F$7,Register!$Q$6:$Q$185,"&gt;=0")=0,"",SUMIFS(Register!$Q$6:$Q$185,Register!$A$6:$A$185,$A31,Register!$D$6:$D$185,F$7)),IF($C$5="Released today",IF(COUNTIFS(Register!$A$6:$A$185,$A31,Register!$D$6:$D$185,F$7,Register!$T$6:$T$185,"&gt;=0")=0,"",SUMIFS(Register!$T$6:$T$185,Register!$A$6:$A$185,$A31,Register!$D$6:$D$185,F$7)),IF(COUNTIFS(Register!$A$6:$A$185,$A31,Register!$D$6:$D$185,F$7,Register!$O$6:$O$185,"&gt;=0")=0,"",SUMIFS(Register!$O$6:$O$185,Register!$A$6:$A$185,$A31,Register!$D$6:$D$185,F$7))))))</f>
        <v/>
      </c>
      <c r="G31" s="14" t="str">
        <f>IF($A31="","",IF(COUNTIFS(Register!$A$6:$A$185,$A31,Register!$D$6:$D$185,G$7)&gt;1,"Dup.",IF($C$5="Critical assets (target)",IF(COUNTIFS(Register!$A$6:$A$185,$A31,Register!$D$6:$D$185,G$7,Register!$Q$6:$Q$185,"&gt;=0")=0,"",SUMIFS(Register!$Q$6:$Q$185,Register!$A$6:$A$185,$A31,Register!$D$6:$D$185,G$7)),IF($C$5="Released today",IF(COUNTIFS(Register!$A$6:$A$185,$A31,Register!$D$6:$D$185,G$7,Register!$T$6:$T$185,"&gt;=0")=0,"",SUMIFS(Register!$T$6:$T$185,Register!$A$6:$A$185,$A31,Register!$D$6:$D$185,G$7)),IF(COUNTIFS(Register!$A$6:$A$185,$A31,Register!$D$6:$D$185,G$7,Register!$O$6:$O$185,"&gt;=0")=0,"",SUMIFS(Register!$O$6:$O$185,Register!$A$6:$A$185,$A31,Register!$D$6:$D$185,G$7))))))</f>
        <v/>
      </c>
      <c r="H31" s="14" t="str">
        <f>IF($A31="","",IF(COUNTIFS(Register!$A$6:$A$185,$A31,Register!$D$6:$D$185,H$7)&gt;1,"Dup.",IF($C$5="Critical assets (target)",IF(COUNTIFS(Register!$A$6:$A$185,$A31,Register!$D$6:$D$185,H$7,Register!$Q$6:$Q$185,"&gt;=0")=0,"",SUMIFS(Register!$Q$6:$Q$185,Register!$A$6:$A$185,$A31,Register!$D$6:$D$185,H$7)),IF($C$5="Released today",IF(COUNTIFS(Register!$A$6:$A$185,$A31,Register!$D$6:$D$185,H$7,Register!$T$6:$T$185,"&gt;=0")=0,"",SUMIFS(Register!$T$6:$T$185,Register!$A$6:$A$185,$A31,Register!$D$6:$D$185,H$7)),IF(COUNTIFS(Register!$A$6:$A$185,$A31,Register!$D$6:$D$185,H$7,Register!$O$6:$O$185,"&gt;=0")=0,"",SUMIFS(Register!$O$6:$O$185,Register!$A$6:$A$185,$A31,Register!$D$6:$D$185,H$7))))))</f>
        <v/>
      </c>
      <c r="I31" s="14" t="str">
        <f>IF($A31="","",IF(COUNTIFS(Register!$A$6:$A$185,$A31,Register!$D$6:$D$185,I$7)&gt;1,"Dup.",IF($C$5="Critical assets (target)",IF(COUNTIFS(Register!$A$6:$A$185,$A31,Register!$D$6:$D$185,I$7,Register!$Q$6:$Q$185,"&gt;=0")=0,"",SUMIFS(Register!$Q$6:$Q$185,Register!$A$6:$A$185,$A31,Register!$D$6:$D$185,I$7)),IF($C$5="Released today",IF(COUNTIFS(Register!$A$6:$A$185,$A31,Register!$D$6:$D$185,I$7,Register!$T$6:$T$185,"&gt;=0")=0,"",SUMIFS(Register!$T$6:$T$185,Register!$A$6:$A$185,$A31,Register!$D$6:$D$185,I$7)),IF(COUNTIFS(Register!$A$6:$A$185,$A31,Register!$D$6:$D$185,I$7,Register!$O$6:$O$185,"&gt;=0")=0,"",SUMIFS(Register!$O$6:$O$185,Register!$A$6:$A$185,$A31,Register!$D$6:$D$185,I$7))))))</f>
        <v/>
      </c>
      <c r="J31" s="14" t="str">
        <f>IF($A31="","",IF(COUNTIFS(Register!$A$6:$A$185,$A31,Register!$D$6:$D$185,J$7)&gt;1,"Dup.",IF($C$5="Critical assets (target)",IF(COUNTIFS(Register!$A$6:$A$185,$A31,Register!$D$6:$D$185,J$7,Register!$Q$6:$Q$185,"&gt;=0")=0,"",SUMIFS(Register!$Q$6:$Q$185,Register!$A$6:$A$185,$A31,Register!$D$6:$D$185,J$7)),IF($C$5="Released today",IF(COUNTIFS(Register!$A$6:$A$185,$A31,Register!$D$6:$D$185,J$7,Register!$T$6:$T$185,"&gt;=0")=0,"",SUMIFS(Register!$T$6:$T$185,Register!$A$6:$A$185,$A31,Register!$D$6:$D$185,J$7)),IF(COUNTIFS(Register!$A$6:$A$185,$A31,Register!$D$6:$D$185,J$7,Register!$O$6:$O$185,"&gt;=0")=0,"",SUMIFS(Register!$O$6:$O$185,Register!$A$6:$A$185,$A31,Register!$D$6:$D$185,J$7))))))</f>
        <v/>
      </c>
      <c r="K31" s="13" t="str">
        <f t="shared" si="0"/>
        <v/>
      </c>
      <c r="L31" s="13" t="str">
        <f>IF($A31="","",COUNTIFS(Register!$A$6:$A$185,$A31,Register!$P$6:$P$185,"Above policy*"))</f>
        <v/>
      </c>
      <c r="M31" s="13" t="str">
        <f>IF($A31="","",IF(COUNTIF('Readiness gate'!$A$7:$A$36,$A31)&lt;&gt;1,"Incomplete",IFERROR(IF(VLOOKUP($A31,GateTab,9,FALSE())="","Incomplete",VLOOKUP($A31,GateTab,9,FALSE())),"Incomplete")))</f>
        <v/>
      </c>
      <c r="N31" s="13" t="str">
        <f>IF($A31="","",SUMPRODUCT((Register!$A$6:$A$185=$A31)*(Register!$T$6:$T$185&lt;&gt;"")*(Register!$O$6:$O$185&lt;&gt;"")*(Register!$T$6:$T$185&lt;Register!$O$6:$O$185)))</f>
        <v/>
      </c>
    </row>
    <row r="32" spans="1:14" x14ac:dyDescent="0.25">
      <c r="A32" s="8" t="str">
        <f>IF('Use cases'!$B$29="","",'Use cases'!$A$29)</f>
        <v/>
      </c>
      <c r="B32" s="11" t="str">
        <f>IF($A32="","",'Use cases'!$B$29)</f>
        <v/>
      </c>
      <c r="C32" s="12" t="str">
        <f>IF($A32="","",'Use cases'!$C$29)</f>
        <v/>
      </c>
      <c r="D32" s="13" t="str">
        <f>IF($A32="","",'Use cases'!$E$29)</f>
        <v/>
      </c>
      <c r="E32" s="14" t="str">
        <f>IF($A32="","",IF(COUNTIFS(Register!$A$6:$A$185,$A32,Register!$D$6:$D$185,E$7)&gt;1,"Dup.",IF($C$5="Critical assets (target)",IF(COUNTIFS(Register!$A$6:$A$185,$A32,Register!$D$6:$D$185,E$7,Register!$Q$6:$Q$185,"&gt;=0")=0,"",SUMIFS(Register!$Q$6:$Q$185,Register!$A$6:$A$185,$A32,Register!$D$6:$D$185,E$7)),IF($C$5="Released today",IF(COUNTIFS(Register!$A$6:$A$185,$A32,Register!$D$6:$D$185,E$7,Register!$T$6:$T$185,"&gt;=0")=0,"",SUMIFS(Register!$T$6:$T$185,Register!$A$6:$A$185,$A32,Register!$D$6:$D$185,E$7)),IF(COUNTIFS(Register!$A$6:$A$185,$A32,Register!$D$6:$D$185,E$7,Register!$O$6:$O$185,"&gt;=0")=0,"",SUMIFS(Register!$O$6:$O$185,Register!$A$6:$A$185,$A32,Register!$D$6:$D$185,E$7))))))</f>
        <v/>
      </c>
      <c r="F32" s="14" t="str">
        <f>IF($A32="","",IF(COUNTIFS(Register!$A$6:$A$185,$A32,Register!$D$6:$D$185,F$7)&gt;1,"Dup.",IF($C$5="Critical assets (target)",IF(COUNTIFS(Register!$A$6:$A$185,$A32,Register!$D$6:$D$185,F$7,Register!$Q$6:$Q$185,"&gt;=0")=0,"",SUMIFS(Register!$Q$6:$Q$185,Register!$A$6:$A$185,$A32,Register!$D$6:$D$185,F$7)),IF($C$5="Released today",IF(COUNTIFS(Register!$A$6:$A$185,$A32,Register!$D$6:$D$185,F$7,Register!$T$6:$T$185,"&gt;=0")=0,"",SUMIFS(Register!$T$6:$T$185,Register!$A$6:$A$185,$A32,Register!$D$6:$D$185,F$7)),IF(COUNTIFS(Register!$A$6:$A$185,$A32,Register!$D$6:$D$185,F$7,Register!$O$6:$O$185,"&gt;=0")=0,"",SUMIFS(Register!$O$6:$O$185,Register!$A$6:$A$185,$A32,Register!$D$6:$D$185,F$7))))))</f>
        <v/>
      </c>
      <c r="G32" s="14" t="str">
        <f>IF($A32="","",IF(COUNTIFS(Register!$A$6:$A$185,$A32,Register!$D$6:$D$185,G$7)&gt;1,"Dup.",IF($C$5="Critical assets (target)",IF(COUNTIFS(Register!$A$6:$A$185,$A32,Register!$D$6:$D$185,G$7,Register!$Q$6:$Q$185,"&gt;=0")=0,"",SUMIFS(Register!$Q$6:$Q$185,Register!$A$6:$A$185,$A32,Register!$D$6:$D$185,G$7)),IF($C$5="Released today",IF(COUNTIFS(Register!$A$6:$A$185,$A32,Register!$D$6:$D$185,G$7,Register!$T$6:$T$185,"&gt;=0")=0,"",SUMIFS(Register!$T$6:$T$185,Register!$A$6:$A$185,$A32,Register!$D$6:$D$185,G$7)),IF(COUNTIFS(Register!$A$6:$A$185,$A32,Register!$D$6:$D$185,G$7,Register!$O$6:$O$185,"&gt;=0")=0,"",SUMIFS(Register!$O$6:$O$185,Register!$A$6:$A$185,$A32,Register!$D$6:$D$185,G$7))))))</f>
        <v/>
      </c>
      <c r="H32" s="14" t="str">
        <f>IF($A32="","",IF(COUNTIFS(Register!$A$6:$A$185,$A32,Register!$D$6:$D$185,H$7)&gt;1,"Dup.",IF($C$5="Critical assets (target)",IF(COUNTIFS(Register!$A$6:$A$185,$A32,Register!$D$6:$D$185,H$7,Register!$Q$6:$Q$185,"&gt;=0")=0,"",SUMIFS(Register!$Q$6:$Q$185,Register!$A$6:$A$185,$A32,Register!$D$6:$D$185,H$7)),IF($C$5="Released today",IF(COUNTIFS(Register!$A$6:$A$185,$A32,Register!$D$6:$D$185,H$7,Register!$T$6:$T$185,"&gt;=0")=0,"",SUMIFS(Register!$T$6:$T$185,Register!$A$6:$A$185,$A32,Register!$D$6:$D$185,H$7)),IF(COUNTIFS(Register!$A$6:$A$185,$A32,Register!$D$6:$D$185,H$7,Register!$O$6:$O$185,"&gt;=0")=0,"",SUMIFS(Register!$O$6:$O$185,Register!$A$6:$A$185,$A32,Register!$D$6:$D$185,H$7))))))</f>
        <v/>
      </c>
      <c r="I32" s="14" t="str">
        <f>IF($A32="","",IF(COUNTIFS(Register!$A$6:$A$185,$A32,Register!$D$6:$D$185,I$7)&gt;1,"Dup.",IF($C$5="Critical assets (target)",IF(COUNTIFS(Register!$A$6:$A$185,$A32,Register!$D$6:$D$185,I$7,Register!$Q$6:$Q$185,"&gt;=0")=0,"",SUMIFS(Register!$Q$6:$Q$185,Register!$A$6:$A$185,$A32,Register!$D$6:$D$185,I$7)),IF($C$5="Released today",IF(COUNTIFS(Register!$A$6:$A$185,$A32,Register!$D$6:$D$185,I$7,Register!$T$6:$T$185,"&gt;=0")=0,"",SUMIFS(Register!$T$6:$T$185,Register!$A$6:$A$185,$A32,Register!$D$6:$D$185,I$7)),IF(COUNTIFS(Register!$A$6:$A$185,$A32,Register!$D$6:$D$185,I$7,Register!$O$6:$O$185,"&gt;=0")=0,"",SUMIFS(Register!$O$6:$O$185,Register!$A$6:$A$185,$A32,Register!$D$6:$D$185,I$7))))))</f>
        <v/>
      </c>
      <c r="J32" s="14" t="str">
        <f>IF($A32="","",IF(COUNTIFS(Register!$A$6:$A$185,$A32,Register!$D$6:$D$185,J$7)&gt;1,"Dup.",IF($C$5="Critical assets (target)",IF(COUNTIFS(Register!$A$6:$A$185,$A32,Register!$D$6:$D$185,J$7,Register!$Q$6:$Q$185,"&gt;=0")=0,"",SUMIFS(Register!$Q$6:$Q$185,Register!$A$6:$A$185,$A32,Register!$D$6:$D$185,J$7)),IF($C$5="Released today",IF(COUNTIFS(Register!$A$6:$A$185,$A32,Register!$D$6:$D$185,J$7,Register!$T$6:$T$185,"&gt;=0")=0,"",SUMIFS(Register!$T$6:$T$185,Register!$A$6:$A$185,$A32,Register!$D$6:$D$185,J$7)),IF(COUNTIFS(Register!$A$6:$A$185,$A32,Register!$D$6:$D$185,J$7,Register!$O$6:$O$185,"&gt;=0")=0,"",SUMIFS(Register!$O$6:$O$185,Register!$A$6:$A$185,$A32,Register!$D$6:$D$185,J$7))))))</f>
        <v/>
      </c>
      <c r="K32" s="13" t="str">
        <f t="shared" si="0"/>
        <v/>
      </c>
      <c r="L32" s="13" t="str">
        <f>IF($A32="","",COUNTIFS(Register!$A$6:$A$185,$A32,Register!$P$6:$P$185,"Above policy*"))</f>
        <v/>
      </c>
      <c r="M32" s="13" t="str">
        <f>IF($A32="","",IF(COUNTIF('Readiness gate'!$A$7:$A$36,$A32)&lt;&gt;1,"Incomplete",IFERROR(IF(VLOOKUP($A32,GateTab,9,FALSE())="","Incomplete",VLOOKUP($A32,GateTab,9,FALSE())),"Incomplete")))</f>
        <v/>
      </c>
      <c r="N32" s="13" t="str">
        <f>IF($A32="","",SUMPRODUCT((Register!$A$6:$A$185=$A32)*(Register!$T$6:$T$185&lt;&gt;"")*(Register!$O$6:$O$185&lt;&gt;"")*(Register!$T$6:$T$185&lt;Register!$O$6:$O$185)))</f>
        <v/>
      </c>
    </row>
    <row r="33" spans="1:14" x14ac:dyDescent="0.25">
      <c r="A33" s="8" t="str">
        <f>IF('Use cases'!$B$30="","",'Use cases'!$A$30)</f>
        <v/>
      </c>
      <c r="B33" s="11" t="str">
        <f>IF($A33="","",'Use cases'!$B$30)</f>
        <v/>
      </c>
      <c r="C33" s="12" t="str">
        <f>IF($A33="","",'Use cases'!$C$30)</f>
        <v/>
      </c>
      <c r="D33" s="13" t="str">
        <f>IF($A33="","",'Use cases'!$E$30)</f>
        <v/>
      </c>
      <c r="E33" s="14" t="str">
        <f>IF($A33="","",IF(COUNTIFS(Register!$A$6:$A$185,$A33,Register!$D$6:$D$185,E$7)&gt;1,"Dup.",IF($C$5="Critical assets (target)",IF(COUNTIFS(Register!$A$6:$A$185,$A33,Register!$D$6:$D$185,E$7,Register!$Q$6:$Q$185,"&gt;=0")=0,"",SUMIFS(Register!$Q$6:$Q$185,Register!$A$6:$A$185,$A33,Register!$D$6:$D$185,E$7)),IF($C$5="Released today",IF(COUNTIFS(Register!$A$6:$A$185,$A33,Register!$D$6:$D$185,E$7,Register!$T$6:$T$185,"&gt;=0")=0,"",SUMIFS(Register!$T$6:$T$185,Register!$A$6:$A$185,$A33,Register!$D$6:$D$185,E$7)),IF(COUNTIFS(Register!$A$6:$A$185,$A33,Register!$D$6:$D$185,E$7,Register!$O$6:$O$185,"&gt;=0")=0,"",SUMIFS(Register!$O$6:$O$185,Register!$A$6:$A$185,$A33,Register!$D$6:$D$185,E$7))))))</f>
        <v/>
      </c>
      <c r="F33" s="14" t="str">
        <f>IF($A33="","",IF(COUNTIFS(Register!$A$6:$A$185,$A33,Register!$D$6:$D$185,F$7)&gt;1,"Dup.",IF($C$5="Critical assets (target)",IF(COUNTIFS(Register!$A$6:$A$185,$A33,Register!$D$6:$D$185,F$7,Register!$Q$6:$Q$185,"&gt;=0")=0,"",SUMIFS(Register!$Q$6:$Q$185,Register!$A$6:$A$185,$A33,Register!$D$6:$D$185,F$7)),IF($C$5="Released today",IF(COUNTIFS(Register!$A$6:$A$185,$A33,Register!$D$6:$D$185,F$7,Register!$T$6:$T$185,"&gt;=0")=0,"",SUMIFS(Register!$T$6:$T$185,Register!$A$6:$A$185,$A33,Register!$D$6:$D$185,F$7)),IF(COUNTIFS(Register!$A$6:$A$185,$A33,Register!$D$6:$D$185,F$7,Register!$O$6:$O$185,"&gt;=0")=0,"",SUMIFS(Register!$O$6:$O$185,Register!$A$6:$A$185,$A33,Register!$D$6:$D$185,F$7))))))</f>
        <v/>
      </c>
      <c r="G33" s="14" t="str">
        <f>IF($A33="","",IF(COUNTIFS(Register!$A$6:$A$185,$A33,Register!$D$6:$D$185,G$7)&gt;1,"Dup.",IF($C$5="Critical assets (target)",IF(COUNTIFS(Register!$A$6:$A$185,$A33,Register!$D$6:$D$185,G$7,Register!$Q$6:$Q$185,"&gt;=0")=0,"",SUMIFS(Register!$Q$6:$Q$185,Register!$A$6:$A$185,$A33,Register!$D$6:$D$185,G$7)),IF($C$5="Released today",IF(COUNTIFS(Register!$A$6:$A$185,$A33,Register!$D$6:$D$185,G$7,Register!$T$6:$T$185,"&gt;=0")=0,"",SUMIFS(Register!$T$6:$T$185,Register!$A$6:$A$185,$A33,Register!$D$6:$D$185,G$7)),IF(COUNTIFS(Register!$A$6:$A$185,$A33,Register!$D$6:$D$185,G$7,Register!$O$6:$O$185,"&gt;=0")=0,"",SUMIFS(Register!$O$6:$O$185,Register!$A$6:$A$185,$A33,Register!$D$6:$D$185,G$7))))))</f>
        <v/>
      </c>
      <c r="H33" s="14" t="str">
        <f>IF($A33="","",IF(COUNTIFS(Register!$A$6:$A$185,$A33,Register!$D$6:$D$185,H$7)&gt;1,"Dup.",IF($C$5="Critical assets (target)",IF(COUNTIFS(Register!$A$6:$A$185,$A33,Register!$D$6:$D$185,H$7,Register!$Q$6:$Q$185,"&gt;=0")=0,"",SUMIFS(Register!$Q$6:$Q$185,Register!$A$6:$A$185,$A33,Register!$D$6:$D$185,H$7)),IF($C$5="Released today",IF(COUNTIFS(Register!$A$6:$A$185,$A33,Register!$D$6:$D$185,H$7,Register!$T$6:$T$185,"&gt;=0")=0,"",SUMIFS(Register!$T$6:$T$185,Register!$A$6:$A$185,$A33,Register!$D$6:$D$185,H$7)),IF(COUNTIFS(Register!$A$6:$A$185,$A33,Register!$D$6:$D$185,H$7,Register!$O$6:$O$185,"&gt;=0")=0,"",SUMIFS(Register!$O$6:$O$185,Register!$A$6:$A$185,$A33,Register!$D$6:$D$185,H$7))))))</f>
        <v/>
      </c>
      <c r="I33" s="14" t="str">
        <f>IF($A33="","",IF(COUNTIFS(Register!$A$6:$A$185,$A33,Register!$D$6:$D$185,I$7)&gt;1,"Dup.",IF($C$5="Critical assets (target)",IF(COUNTIFS(Register!$A$6:$A$185,$A33,Register!$D$6:$D$185,I$7,Register!$Q$6:$Q$185,"&gt;=0")=0,"",SUMIFS(Register!$Q$6:$Q$185,Register!$A$6:$A$185,$A33,Register!$D$6:$D$185,I$7)),IF($C$5="Released today",IF(COUNTIFS(Register!$A$6:$A$185,$A33,Register!$D$6:$D$185,I$7,Register!$T$6:$T$185,"&gt;=0")=0,"",SUMIFS(Register!$T$6:$T$185,Register!$A$6:$A$185,$A33,Register!$D$6:$D$185,I$7)),IF(COUNTIFS(Register!$A$6:$A$185,$A33,Register!$D$6:$D$185,I$7,Register!$O$6:$O$185,"&gt;=0")=0,"",SUMIFS(Register!$O$6:$O$185,Register!$A$6:$A$185,$A33,Register!$D$6:$D$185,I$7))))))</f>
        <v/>
      </c>
      <c r="J33" s="14" t="str">
        <f>IF($A33="","",IF(COUNTIFS(Register!$A$6:$A$185,$A33,Register!$D$6:$D$185,J$7)&gt;1,"Dup.",IF($C$5="Critical assets (target)",IF(COUNTIFS(Register!$A$6:$A$185,$A33,Register!$D$6:$D$185,J$7,Register!$Q$6:$Q$185,"&gt;=0")=0,"",SUMIFS(Register!$Q$6:$Q$185,Register!$A$6:$A$185,$A33,Register!$D$6:$D$185,J$7)),IF($C$5="Released today",IF(COUNTIFS(Register!$A$6:$A$185,$A33,Register!$D$6:$D$185,J$7,Register!$T$6:$T$185,"&gt;=0")=0,"",SUMIFS(Register!$T$6:$T$185,Register!$A$6:$A$185,$A33,Register!$D$6:$D$185,J$7)),IF(COUNTIFS(Register!$A$6:$A$185,$A33,Register!$D$6:$D$185,J$7,Register!$O$6:$O$185,"&gt;=0")=0,"",SUMIFS(Register!$O$6:$O$185,Register!$A$6:$A$185,$A33,Register!$D$6:$D$185,J$7))))))</f>
        <v/>
      </c>
      <c r="K33" s="13" t="str">
        <f t="shared" si="0"/>
        <v/>
      </c>
      <c r="L33" s="13" t="str">
        <f>IF($A33="","",COUNTIFS(Register!$A$6:$A$185,$A33,Register!$P$6:$P$185,"Above policy*"))</f>
        <v/>
      </c>
      <c r="M33" s="13" t="str">
        <f>IF($A33="","",IF(COUNTIF('Readiness gate'!$A$7:$A$36,$A33)&lt;&gt;1,"Incomplete",IFERROR(IF(VLOOKUP($A33,GateTab,9,FALSE())="","Incomplete",VLOOKUP($A33,GateTab,9,FALSE())),"Incomplete")))</f>
        <v/>
      </c>
      <c r="N33" s="13" t="str">
        <f>IF($A33="","",SUMPRODUCT((Register!$A$6:$A$185=$A33)*(Register!$T$6:$T$185&lt;&gt;"")*(Register!$O$6:$O$185&lt;&gt;"")*(Register!$T$6:$T$185&lt;Register!$O$6:$O$185)))</f>
        <v/>
      </c>
    </row>
    <row r="34" spans="1:14" x14ac:dyDescent="0.25">
      <c r="A34" s="8" t="str">
        <f>IF('Use cases'!$B$31="","",'Use cases'!$A$31)</f>
        <v/>
      </c>
      <c r="B34" s="11" t="str">
        <f>IF($A34="","",'Use cases'!$B$31)</f>
        <v/>
      </c>
      <c r="C34" s="12" t="str">
        <f>IF($A34="","",'Use cases'!$C$31)</f>
        <v/>
      </c>
      <c r="D34" s="13" t="str">
        <f>IF($A34="","",'Use cases'!$E$31)</f>
        <v/>
      </c>
      <c r="E34" s="14" t="str">
        <f>IF($A34="","",IF(COUNTIFS(Register!$A$6:$A$185,$A34,Register!$D$6:$D$185,E$7)&gt;1,"Dup.",IF($C$5="Critical assets (target)",IF(COUNTIFS(Register!$A$6:$A$185,$A34,Register!$D$6:$D$185,E$7,Register!$Q$6:$Q$185,"&gt;=0")=0,"",SUMIFS(Register!$Q$6:$Q$185,Register!$A$6:$A$185,$A34,Register!$D$6:$D$185,E$7)),IF($C$5="Released today",IF(COUNTIFS(Register!$A$6:$A$185,$A34,Register!$D$6:$D$185,E$7,Register!$T$6:$T$185,"&gt;=0")=0,"",SUMIFS(Register!$T$6:$T$185,Register!$A$6:$A$185,$A34,Register!$D$6:$D$185,E$7)),IF(COUNTIFS(Register!$A$6:$A$185,$A34,Register!$D$6:$D$185,E$7,Register!$O$6:$O$185,"&gt;=0")=0,"",SUMIFS(Register!$O$6:$O$185,Register!$A$6:$A$185,$A34,Register!$D$6:$D$185,E$7))))))</f>
        <v/>
      </c>
      <c r="F34" s="14" t="str">
        <f>IF($A34="","",IF(COUNTIFS(Register!$A$6:$A$185,$A34,Register!$D$6:$D$185,F$7)&gt;1,"Dup.",IF($C$5="Critical assets (target)",IF(COUNTIFS(Register!$A$6:$A$185,$A34,Register!$D$6:$D$185,F$7,Register!$Q$6:$Q$185,"&gt;=0")=0,"",SUMIFS(Register!$Q$6:$Q$185,Register!$A$6:$A$185,$A34,Register!$D$6:$D$185,F$7)),IF($C$5="Released today",IF(COUNTIFS(Register!$A$6:$A$185,$A34,Register!$D$6:$D$185,F$7,Register!$T$6:$T$185,"&gt;=0")=0,"",SUMIFS(Register!$T$6:$T$185,Register!$A$6:$A$185,$A34,Register!$D$6:$D$185,F$7)),IF(COUNTIFS(Register!$A$6:$A$185,$A34,Register!$D$6:$D$185,F$7,Register!$O$6:$O$185,"&gt;=0")=0,"",SUMIFS(Register!$O$6:$O$185,Register!$A$6:$A$185,$A34,Register!$D$6:$D$185,F$7))))))</f>
        <v/>
      </c>
      <c r="G34" s="14" t="str">
        <f>IF($A34="","",IF(COUNTIFS(Register!$A$6:$A$185,$A34,Register!$D$6:$D$185,G$7)&gt;1,"Dup.",IF($C$5="Critical assets (target)",IF(COUNTIFS(Register!$A$6:$A$185,$A34,Register!$D$6:$D$185,G$7,Register!$Q$6:$Q$185,"&gt;=0")=0,"",SUMIFS(Register!$Q$6:$Q$185,Register!$A$6:$A$185,$A34,Register!$D$6:$D$185,G$7)),IF($C$5="Released today",IF(COUNTIFS(Register!$A$6:$A$185,$A34,Register!$D$6:$D$185,G$7,Register!$T$6:$T$185,"&gt;=0")=0,"",SUMIFS(Register!$T$6:$T$185,Register!$A$6:$A$185,$A34,Register!$D$6:$D$185,G$7)),IF(COUNTIFS(Register!$A$6:$A$185,$A34,Register!$D$6:$D$185,G$7,Register!$O$6:$O$185,"&gt;=0")=0,"",SUMIFS(Register!$O$6:$O$185,Register!$A$6:$A$185,$A34,Register!$D$6:$D$185,G$7))))))</f>
        <v/>
      </c>
      <c r="H34" s="14" t="str">
        <f>IF($A34="","",IF(COUNTIFS(Register!$A$6:$A$185,$A34,Register!$D$6:$D$185,H$7)&gt;1,"Dup.",IF($C$5="Critical assets (target)",IF(COUNTIFS(Register!$A$6:$A$185,$A34,Register!$D$6:$D$185,H$7,Register!$Q$6:$Q$185,"&gt;=0")=0,"",SUMIFS(Register!$Q$6:$Q$185,Register!$A$6:$A$185,$A34,Register!$D$6:$D$185,H$7)),IF($C$5="Released today",IF(COUNTIFS(Register!$A$6:$A$185,$A34,Register!$D$6:$D$185,H$7,Register!$T$6:$T$185,"&gt;=0")=0,"",SUMIFS(Register!$T$6:$T$185,Register!$A$6:$A$185,$A34,Register!$D$6:$D$185,H$7)),IF(COUNTIFS(Register!$A$6:$A$185,$A34,Register!$D$6:$D$185,H$7,Register!$O$6:$O$185,"&gt;=0")=0,"",SUMIFS(Register!$O$6:$O$185,Register!$A$6:$A$185,$A34,Register!$D$6:$D$185,H$7))))))</f>
        <v/>
      </c>
      <c r="I34" s="14" t="str">
        <f>IF($A34="","",IF(COUNTIFS(Register!$A$6:$A$185,$A34,Register!$D$6:$D$185,I$7)&gt;1,"Dup.",IF($C$5="Critical assets (target)",IF(COUNTIFS(Register!$A$6:$A$185,$A34,Register!$D$6:$D$185,I$7,Register!$Q$6:$Q$185,"&gt;=0")=0,"",SUMIFS(Register!$Q$6:$Q$185,Register!$A$6:$A$185,$A34,Register!$D$6:$D$185,I$7)),IF($C$5="Released today",IF(COUNTIFS(Register!$A$6:$A$185,$A34,Register!$D$6:$D$185,I$7,Register!$T$6:$T$185,"&gt;=0")=0,"",SUMIFS(Register!$T$6:$T$185,Register!$A$6:$A$185,$A34,Register!$D$6:$D$185,I$7)),IF(COUNTIFS(Register!$A$6:$A$185,$A34,Register!$D$6:$D$185,I$7,Register!$O$6:$O$185,"&gt;=0")=0,"",SUMIFS(Register!$O$6:$O$185,Register!$A$6:$A$185,$A34,Register!$D$6:$D$185,I$7))))))</f>
        <v/>
      </c>
      <c r="J34" s="14" t="str">
        <f>IF($A34="","",IF(COUNTIFS(Register!$A$6:$A$185,$A34,Register!$D$6:$D$185,J$7)&gt;1,"Dup.",IF($C$5="Critical assets (target)",IF(COUNTIFS(Register!$A$6:$A$185,$A34,Register!$D$6:$D$185,J$7,Register!$Q$6:$Q$185,"&gt;=0")=0,"",SUMIFS(Register!$Q$6:$Q$185,Register!$A$6:$A$185,$A34,Register!$D$6:$D$185,J$7)),IF($C$5="Released today",IF(COUNTIFS(Register!$A$6:$A$185,$A34,Register!$D$6:$D$185,J$7,Register!$T$6:$T$185,"&gt;=0")=0,"",SUMIFS(Register!$T$6:$T$185,Register!$A$6:$A$185,$A34,Register!$D$6:$D$185,J$7)),IF(COUNTIFS(Register!$A$6:$A$185,$A34,Register!$D$6:$D$185,J$7,Register!$O$6:$O$185,"&gt;=0")=0,"",SUMIFS(Register!$O$6:$O$185,Register!$A$6:$A$185,$A34,Register!$D$6:$D$185,J$7))))))</f>
        <v/>
      </c>
      <c r="K34" s="13" t="str">
        <f t="shared" si="0"/>
        <v/>
      </c>
      <c r="L34" s="13" t="str">
        <f>IF($A34="","",COUNTIFS(Register!$A$6:$A$185,$A34,Register!$P$6:$P$185,"Above policy*"))</f>
        <v/>
      </c>
      <c r="M34" s="13" t="str">
        <f>IF($A34="","",IF(COUNTIF('Readiness gate'!$A$7:$A$36,$A34)&lt;&gt;1,"Incomplete",IFERROR(IF(VLOOKUP($A34,GateTab,9,FALSE())="","Incomplete",VLOOKUP($A34,GateTab,9,FALSE())),"Incomplete")))</f>
        <v/>
      </c>
      <c r="N34" s="13" t="str">
        <f>IF($A34="","",SUMPRODUCT((Register!$A$6:$A$185=$A34)*(Register!$T$6:$T$185&lt;&gt;"")*(Register!$O$6:$O$185&lt;&gt;"")*(Register!$T$6:$T$185&lt;Register!$O$6:$O$185)))</f>
        <v/>
      </c>
    </row>
    <row r="35" spans="1:14" x14ac:dyDescent="0.25">
      <c r="A35" s="8" t="str">
        <f>IF('Use cases'!$B$32="","",'Use cases'!$A$32)</f>
        <v/>
      </c>
      <c r="B35" s="11" t="str">
        <f>IF($A35="","",'Use cases'!$B$32)</f>
        <v/>
      </c>
      <c r="C35" s="12" t="str">
        <f>IF($A35="","",'Use cases'!$C$32)</f>
        <v/>
      </c>
      <c r="D35" s="13" t="str">
        <f>IF($A35="","",'Use cases'!$E$32)</f>
        <v/>
      </c>
      <c r="E35" s="14" t="str">
        <f>IF($A35="","",IF(COUNTIFS(Register!$A$6:$A$185,$A35,Register!$D$6:$D$185,E$7)&gt;1,"Dup.",IF($C$5="Critical assets (target)",IF(COUNTIFS(Register!$A$6:$A$185,$A35,Register!$D$6:$D$185,E$7,Register!$Q$6:$Q$185,"&gt;=0")=0,"",SUMIFS(Register!$Q$6:$Q$185,Register!$A$6:$A$185,$A35,Register!$D$6:$D$185,E$7)),IF($C$5="Released today",IF(COUNTIFS(Register!$A$6:$A$185,$A35,Register!$D$6:$D$185,E$7,Register!$T$6:$T$185,"&gt;=0")=0,"",SUMIFS(Register!$T$6:$T$185,Register!$A$6:$A$185,$A35,Register!$D$6:$D$185,E$7)),IF(COUNTIFS(Register!$A$6:$A$185,$A35,Register!$D$6:$D$185,E$7,Register!$O$6:$O$185,"&gt;=0")=0,"",SUMIFS(Register!$O$6:$O$185,Register!$A$6:$A$185,$A35,Register!$D$6:$D$185,E$7))))))</f>
        <v/>
      </c>
      <c r="F35" s="14" t="str">
        <f>IF($A35="","",IF(COUNTIFS(Register!$A$6:$A$185,$A35,Register!$D$6:$D$185,F$7)&gt;1,"Dup.",IF($C$5="Critical assets (target)",IF(COUNTIFS(Register!$A$6:$A$185,$A35,Register!$D$6:$D$185,F$7,Register!$Q$6:$Q$185,"&gt;=0")=0,"",SUMIFS(Register!$Q$6:$Q$185,Register!$A$6:$A$185,$A35,Register!$D$6:$D$185,F$7)),IF($C$5="Released today",IF(COUNTIFS(Register!$A$6:$A$185,$A35,Register!$D$6:$D$185,F$7,Register!$T$6:$T$185,"&gt;=0")=0,"",SUMIFS(Register!$T$6:$T$185,Register!$A$6:$A$185,$A35,Register!$D$6:$D$185,F$7)),IF(COUNTIFS(Register!$A$6:$A$185,$A35,Register!$D$6:$D$185,F$7,Register!$O$6:$O$185,"&gt;=0")=0,"",SUMIFS(Register!$O$6:$O$185,Register!$A$6:$A$185,$A35,Register!$D$6:$D$185,F$7))))))</f>
        <v/>
      </c>
      <c r="G35" s="14" t="str">
        <f>IF($A35="","",IF(COUNTIFS(Register!$A$6:$A$185,$A35,Register!$D$6:$D$185,G$7)&gt;1,"Dup.",IF($C$5="Critical assets (target)",IF(COUNTIFS(Register!$A$6:$A$185,$A35,Register!$D$6:$D$185,G$7,Register!$Q$6:$Q$185,"&gt;=0")=0,"",SUMIFS(Register!$Q$6:$Q$185,Register!$A$6:$A$185,$A35,Register!$D$6:$D$185,G$7)),IF($C$5="Released today",IF(COUNTIFS(Register!$A$6:$A$185,$A35,Register!$D$6:$D$185,G$7,Register!$T$6:$T$185,"&gt;=0")=0,"",SUMIFS(Register!$T$6:$T$185,Register!$A$6:$A$185,$A35,Register!$D$6:$D$185,G$7)),IF(COUNTIFS(Register!$A$6:$A$185,$A35,Register!$D$6:$D$185,G$7,Register!$O$6:$O$185,"&gt;=0")=0,"",SUMIFS(Register!$O$6:$O$185,Register!$A$6:$A$185,$A35,Register!$D$6:$D$185,G$7))))))</f>
        <v/>
      </c>
      <c r="H35" s="14" t="str">
        <f>IF($A35="","",IF(COUNTIFS(Register!$A$6:$A$185,$A35,Register!$D$6:$D$185,H$7)&gt;1,"Dup.",IF($C$5="Critical assets (target)",IF(COUNTIFS(Register!$A$6:$A$185,$A35,Register!$D$6:$D$185,H$7,Register!$Q$6:$Q$185,"&gt;=0")=0,"",SUMIFS(Register!$Q$6:$Q$185,Register!$A$6:$A$185,$A35,Register!$D$6:$D$185,H$7)),IF($C$5="Released today",IF(COUNTIFS(Register!$A$6:$A$185,$A35,Register!$D$6:$D$185,H$7,Register!$T$6:$T$185,"&gt;=0")=0,"",SUMIFS(Register!$T$6:$T$185,Register!$A$6:$A$185,$A35,Register!$D$6:$D$185,H$7)),IF(COUNTIFS(Register!$A$6:$A$185,$A35,Register!$D$6:$D$185,H$7,Register!$O$6:$O$185,"&gt;=0")=0,"",SUMIFS(Register!$O$6:$O$185,Register!$A$6:$A$185,$A35,Register!$D$6:$D$185,H$7))))))</f>
        <v/>
      </c>
      <c r="I35" s="14" t="str">
        <f>IF($A35="","",IF(COUNTIFS(Register!$A$6:$A$185,$A35,Register!$D$6:$D$185,I$7)&gt;1,"Dup.",IF($C$5="Critical assets (target)",IF(COUNTIFS(Register!$A$6:$A$185,$A35,Register!$D$6:$D$185,I$7,Register!$Q$6:$Q$185,"&gt;=0")=0,"",SUMIFS(Register!$Q$6:$Q$185,Register!$A$6:$A$185,$A35,Register!$D$6:$D$185,I$7)),IF($C$5="Released today",IF(COUNTIFS(Register!$A$6:$A$185,$A35,Register!$D$6:$D$185,I$7,Register!$T$6:$T$185,"&gt;=0")=0,"",SUMIFS(Register!$T$6:$T$185,Register!$A$6:$A$185,$A35,Register!$D$6:$D$185,I$7)),IF(COUNTIFS(Register!$A$6:$A$185,$A35,Register!$D$6:$D$185,I$7,Register!$O$6:$O$185,"&gt;=0")=0,"",SUMIFS(Register!$O$6:$O$185,Register!$A$6:$A$185,$A35,Register!$D$6:$D$185,I$7))))))</f>
        <v/>
      </c>
      <c r="J35" s="14" t="str">
        <f>IF($A35="","",IF(COUNTIFS(Register!$A$6:$A$185,$A35,Register!$D$6:$D$185,J$7)&gt;1,"Dup.",IF($C$5="Critical assets (target)",IF(COUNTIFS(Register!$A$6:$A$185,$A35,Register!$D$6:$D$185,J$7,Register!$Q$6:$Q$185,"&gt;=0")=0,"",SUMIFS(Register!$Q$6:$Q$185,Register!$A$6:$A$185,$A35,Register!$D$6:$D$185,J$7)),IF($C$5="Released today",IF(COUNTIFS(Register!$A$6:$A$185,$A35,Register!$D$6:$D$185,J$7,Register!$T$6:$T$185,"&gt;=0")=0,"",SUMIFS(Register!$T$6:$T$185,Register!$A$6:$A$185,$A35,Register!$D$6:$D$185,J$7)),IF(COUNTIFS(Register!$A$6:$A$185,$A35,Register!$D$6:$D$185,J$7,Register!$O$6:$O$185,"&gt;=0")=0,"",SUMIFS(Register!$O$6:$O$185,Register!$A$6:$A$185,$A35,Register!$D$6:$D$185,J$7))))))</f>
        <v/>
      </c>
      <c r="K35" s="13" t="str">
        <f t="shared" si="0"/>
        <v/>
      </c>
      <c r="L35" s="13" t="str">
        <f>IF($A35="","",COUNTIFS(Register!$A$6:$A$185,$A35,Register!$P$6:$P$185,"Above policy*"))</f>
        <v/>
      </c>
      <c r="M35" s="13" t="str">
        <f>IF($A35="","",IF(COUNTIF('Readiness gate'!$A$7:$A$36,$A35)&lt;&gt;1,"Incomplete",IFERROR(IF(VLOOKUP($A35,GateTab,9,FALSE())="","Incomplete",VLOOKUP($A35,GateTab,9,FALSE())),"Incomplete")))</f>
        <v/>
      </c>
      <c r="N35" s="13" t="str">
        <f>IF($A35="","",SUMPRODUCT((Register!$A$6:$A$185=$A35)*(Register!$T$6:$T$185&lt;&gt;"")*(Register!$O$6:$O$185&lt;&gt;"")*(Register!$T$6:$T$185&lt;Register!$O$6:$O$185)))</f>
        <v/>
      </c>
    </row>
    <row r="36" spans="1:14" x14ac:dyDescent="0.25">
      <c r="A36" s="8" t="str">
        <f>IF('Use cases'!$B$33="","",'Use cases'!$A$33)</f>
        <v/>
      </c>
      <c r="B36" s="11" t="str">
        <f>IF($A36="","",'Use cases'!$B$33)</f>
        <v/>
      </c>
      <c r="C36" s="12" t="str">
        <f>IF($A36="","",'Use cases'!$C$33)</f>
        <v/>
      </c>
      <c r="D36" s="13" t="str">
        <f>IF($A36="","",'Use cases'!$E$33)</f>
        <v/>
      </c>
      <c r="E36" s="14" t="str">
        <f>IF($A36="","",IF(COUNTIFS(Register!$A$6:$A$185,$A36,Register!$D$6:$D$185,E$7)&gt;1,"Dup.",IF($C$5="Critical assets (target)",IF(COUNTIFS(Register!$A$6:$A$185,$A36,Register!$D$6:$D$185,E$7,Register!$Q$6:$Q$185,"&gt;=0")=0,"",SUMIFS(Register!$Q$6:$Q$185,Register!$A$6:$A$185,$A36,Register!$D$6:$D$185,E$7)),IF($C$5="Released today",IF(COUNTIFS(Register!$A$6:$A$185,$A36,Register!$D$6:$D$185,E$7,Register!$T$6:$T$185,"&gt;=0")=0,"",SUMIFS(Register!$T$6:$T$185,Register!$A$6:$A$185,$A36,Register!$D$6:$D$185,E$7)),IF(COUNTIFS(Register!$A$6:$A$185,$A36,Register!$D$6:$D$185,E$7,Register!$O$6:$O$185,"&gt;=0")=0,"",SUMIFS(Register!$O$6:$O$185,Register!$A$6:$A$185,$A36,Register!$D$6:$D$185,E$7))))))</f>
        <v/>
      </c>
      <c r="F36" s="14" t="str">
        <f>IF($A36="","",IF(COUNTIFS(Register!$A$6:$A$185,$A36,Register!$D$6:$D$185,F$7)&gt;1,"Dup.",IF($C$5="Critical assets (target)",IF(COUNTIFS(Register!$A$6:$A$185,$A36,Register!$D$6:$D$185,F$7,Register!$Q$6:$Q$185,"&gt;=0")=0,"",SUMIFS(Register!$Q$6:$Q$185,Register!$A$6:$A$185,$A36,Register!$D$6:$D$185,F$7)),IF($C$5="Released today",IF(COUNTIFS(Register!$A$6:$A$185,$A36,Register!$D$6:$D$185,F$7,Register!$T$6:$T$185,"&gt;=0")=0,"",SUMIFS(Register!$T$6:$T$185,Register!$A$6:$A$185,$A36,Register!$D$6:$D$185,F$7)),IF(COUNTIFS(Register!$A$6:$A$185,$A36,Register!$D$6:$D$185,F$7,Register!$O$6:$O$185,"&gt;=0")=0,"",SUMIFS(Register!$O$6:$O$185,Register!$A$6:$A$185,$A36,Register!$D$6:$D$185,F$7))))))</f>
        <v/>
      </c>
      <c r="G36" s="14" t="str">
        <f>IF($A36="","",IF(COUNTIFS(Register!$A$6:$A$185,$A36,Register!$D$6:$D$185,G$7)&gt;1,"Dup.",IF($C$5="Critical assets (target)",IF(COUNTIFS(Register!$A$6:$A$185,$A36,Register!$D$6:$D$185,G$7,Register!$Q$6:$Q$185,"&gt;=0")=0,"",SUMIFS(Register!$Q$6:$Q$185,Register!$A$6:$A$185,$A36,Register!$D$6:$D$185,G$7)),IF($C$5="Released today",IF(COUNTIFS(Register!$A$6:$A$185,$A36,Register!$D$6:$D$185,G$7,Register!$T$6:$T$185,"&gt;=0")=0,"",SUMIFS(Register!$T$6:$T$185,Register!$A$6:$A$185,$A36,Register!$D$6:$D$185,G$7)),IF(COUNTIFS(Register!$A$6:$A$185,$A36,Register!$D$6:$D$185,G$7,Register!$O$6:$O$185,"&gt;=0")=0,"",SUMIFS(Register!$O$6:$O$185,Register!$A$6:$A$185,$A36,Register!$D$6:$D$185,G$7))))))</f>
        <v/>
      </c>
      <c r="H36" s="14" t="str">
        <f>IF($A36="","",IF(COUNTIFS(Register!$A$6:$A$185,$A36,Register!$D$6:$D$185,H$7)&gt;1,"Dup.",IF($C$5="Critical assets (target)",IF(COUNTIFS(Register!$A$6:$A$185,$A36,Register!$D$6:$D$185,H$7,Register!$Q$6:$Q$185,"&gt;=0")=0,"",SUMIFS(Register!$Q$6:$Q$185,Register!$A$6:$A$185,$A36,Register!$D$6:$D$185,H$7)),IF($C$5="Released today",IF(COUNTIFS(Register!$A$6:$A$185,$A36,Register!$D$6:$D$185,H$7,Register!$T$6:$T$185,"&gt;=0")=0,"",SUMIFS(Register!$T$6:$T$185,Register!$A$6:$A$185,$A36,Register!$D$6:$D$185,H$7)),IF(COUNTIFS(Register!$A$6:$A$185,$A36,Register!$D$6:$D$185,H$7,Register!$O$6:$O$185,"&gt;=0")=0,"",SUMIFS(Register!$O$6:$O$185,Register!$A$6:$A$185,$A36,Register!$D$6:$D$185,H$7))))))</f>
        <v/>
      </c>
      <c r="I36" s="14" t="str">
        <f>IF($A36="","",IF(COUNTIFS(Register!$A$6:$A$185,$A36,Register!$D$6:$D$185,I$7)&gt;1,"Dup.",IF($C$5="Critical assets (target)",IF(COUNTIFS(Register!$A$6:$A$185,$A36,Register!$D$6:$D$185,I$7,Register!$Q$6:$Q$185,"&gt;=0")=0,"",SUMIFS(Register!$Q$6:$Q$185,Register!$A$6:$A$185,$A36,Register!$D$6:$D$185,I$7)),IF($C$5="Released today",IF(COUNTIFS(Register!$A$6:$A$185,$A36,Register!$D$6:$D$185,I$7,Register!$T$6:$T$185,"&gt;=0")=0,"",SUMIFS(Register!$T$6:$T$185,Register!$A$6:$A$185,$A36,Register!$D$6:$D$185,I$7)),IF(COUNTIFS(Register!$A$6:$A$185,$A36,Register!$D$6:$D$185,I$7,Register!$O$6:$O$185,"&gt;=0")=0,"",SUMIFS(Register!$O$6:$O$185,Register!$A$6:$A$185,$A36,Register!$D$6:$D$185,I$7))))))</f>
        <v/>
      </c>
      <c r="J36" s="14" t="str">
        <f>IF($A36="","",IF(COUNTIFS(Register!$A$6:$A$185,$A36,Register!$D$6:$D$185,J$7)&gt;1,"Dup.",IF($C$5="Critical assets (target)",IF(COUNTIFS(Register!$A$6:$A$185,$A36,Register!$D$6:$D$185,J$7,Register!$Q$6:$Q$185,"&gt;=0")=0,"",SUMIFS(Register!$Q$6:$Q$185,Register!$A$6:$A$185,$A36,Register!$D$6:$D$185,J$7)),IF($C$5="Released today",IF(COUNTIFS(Register!$A$6:$A$185,$A36,Register!$D$6:$D$185,J$7,Register!$T$6:$T$185,"&gt;=0")=0,"",SUMIFS(Register!$T$6:$T$185,Register!$A$6:$A$185,$A36,Register!$D$6:$D$185,J$7)),IF(COUNTIFS(Register!$A$6:$A$185,$A36,Register!$D$6:$D$185,J$7,Register!$O$6:$O$185,"&gt;=0")=0,"",SUMIFS(Register!$O$6:$O$185,Register!$A$6:$A$185,$A36,Register!$D$6:$D$185,J$7))))))</f>
        <v/>
      </c>
      <c r="K36" s="13" t="str">
        <f t="shared" si="0"/>
        <v/>
      </c>
      <c r="L36" s="13" t="str">
        <f>IF($A36="","",COUNTIFS(Register!$A$6:$A$185,$A36,Register!$P$6:$P$185,"Above policy*"))</f>
        <v/>
      </c>
      <c r="M36" s="13" t="str">
        <f>IF($A36="","",IF(COUNTIF('Readiness gate'!$A$7:$A$36,$A36)&lt;&gt;1,"Incomplete",IFERROR(IF(VLOOKUP($A36,GateTab,9,FALSE())="","Incomplete",VLOOKUP($A36,GateTab,9,FALSE())),"Incomplete")))</f>
        <v/>
      </c>
      <c r="N36" s="13" t="str">
        <f>IF($A36="","",SUMPRODUCT((Register!$A$6:$A$185=$A36)*(Register!$T$6:$T$185&lt;&gt;"")*(Register!$O$6:$O$185&lt;&gt;"")*(Register!$T$6:$T$185&lt;Register!$O$6:$O$185)))</f>
        <v/>
      </c>
    </row>
    <row r="37" spans="1:14" x14ac:dyDescent="0.25">
      <c r="A37" s="8" t="str">
        <f>IF('Use cases'!$B$34="","",'Use cases'!$A$34)</f>
        <v/>
      </c>
      <c r="B37" s="11" t="str">
        <f>IF($A37="","",'Use cases'!$B$34)</f>
        <v/>
      </c>
      <c r="C37" s="12" t="str">
        <f>IF($A37="","",'Use cases'!$C$34)</f>
        <v/>
      </c>
      <c r="D37" s="13" t="str">
        <f>IF($A37="","",'Use cases'!$E$34)</f>
        <v/>
      </c>
      <c r="E37" s="14" t="str">
        <f>IF($A37="","",IF(COUNTIFS(Register!$A$6:$A$185,$A37,Register!$D$6:$D$185,E$7)&gt;1,"Dup.",IF($C$5="Critical assets (target)",IF(COUNTIFS(Register!$A$6:$A$185,$A37,Register!$D$6:$D$185,E$7,Register!$Q$6:$Q$185,"&gt;=0")=0,"",SUMIFS(Register!$Q$6:$Q$185,Register!$A$6:$A$185,$A37,Register!$D$6:$D$185,E$7)),IF($C$5="Released today",IF(COUNTIFS(Register!$A$6:$A$185,$A37,Register!$D$6:$D$185,E$7,Register!$T$6:$T$185,"&gt;=0")=0,"",SUMIFS(Register!$T$6:$T$185,Register!$A$6:$A$185,$A37,Register!$D$6:$D$185,E$7)),IF(COUNTIFS(Register!$A$6:$A$185,$A37,Register!$D$6:$D$185,E$7,Register!$O$6:$O$185,"&gt;=0")=0,"",SUMIFS(Register!$O$6:$O$185,Register!$A$6:$A$185,$A37,Register!$D$6:$D$185,E$7))))))</f>
        <v/>
      </c>
      <c r="F37" s="14" t="str">
        <f>IF($A37="","",IF(COUNTIFS(Register!$A$6:$A$185,$A37,Register!$D$6:$D$185,F$7)&gt;1,"Dup.",IF($C$5="Critical assets (target)",IF(COUNTIFS(Register!$A$6:$A$185,$A37,Register!$D$6:$D$185,F$7,Register!$Q$6:$Q$185,"&gt;=0")=0,"",SUMIFS(Register!$Q$6:$Q$185,Register!$A$6:$A$185,$A37,Register!$D$6:$D$185,F$7)),IF($C$5="Released today",IF(COUNTIFS(Register!$A$6:$A$185,$A37,Register!$D$6:$D$185,F$7,Register!$T$6:$T$185,"&gt;=0")=0,"",SUMIFS(Register!$T$6:$T$185,Register!$A$6:$A$185,$A37,Register!$D$6:$D$185,F$7)),IF(COUNTIFS(Register!$A$6:$A$185,$A37,Register!$D$6:$D$185,F$7,Register!$O$6:$O$185,"&gt;=0")=0,"",SUMIFS(Register!$O$6:$O$185,Register!$A$6:$A$185,$A37,Register!$D$6:$D$185,F$7))))))</f>
        <v/>
      </c>
      <c r="G37" s="14" t="str">
        <f>IF($A37="","",IF(COUNTIFS(Register!$A$6:$A$185,$A37,Register!$D$6:$D$185,G$7)&gt;1,"Dup.",IF($C$5="Critical assets (target)",IF(COUNTIFS(Register!$A$6:$A$185,$A37,Register!$D$6:$D$185,G$7,Register!$Q$6:$Q$185,"&gt;=0")=0,"",SUMIFS(Register!$Q$6:$Q$185,Register!$A$6:$A$185,$A37,Register!$D$6:$D$185,G$7)),IF($C$5="Released today",IF(COUNTIFS(Register!$A$6:$A$185,$A37,Register!$D$6:$D$185,G$7,Register!$T$6:$T$185,"&gt;=0")=0,"",SUMIFS(Register!$T$6:$T$185,Register!$A$6:$A$185,$A37,Register!$D$6:$D$185,G$7)),IF(COUNTIFS(Register!$A$6:$A$185,$A37,Register!$D$6:$D$185,G$7,Register!$O$6:$O$185,"&gt;=0")=0,"",SUMIFS(Register!$O$6:$O$185,Register!$A$6:$A$185,$A37,Register!$D$6:$D$185,G$7))))))</f>
        <v/>
      </c>
      <c r="H37" s="14" t="str">
        <f>IF($A37="","",IF(COUNTIFS(Register!$A$6:$A$185,$A37,Register!$D$6:$D$185,H$7)&gt;1,"Dup.",IF($C$5="Critical assets (target)",IF(COUNTIFS(Register!$A$6:$A$185,$A37,Register!$D$6:$D$185,H$7,Register!$Q$6:$Q$185,"&gt;=0")=0,"",SUMIFS(Register!$Q$6:$Q$185,Register!$A$6:$A$185,$A37,Register!$D$6:$D$185,H$7)),IF($C$5="Released today",IF(COUNTIFS(Register!$A$6:$A$185,$A37,Register!$D$6:$D$185,H$7,Register!$T$6:$T$185,"&gt;=0")=0,"",SUMIFS(Register!$T$6:$T$185,Register!$A$6:$A$185,$A37,Register!$D$6:$D$185,H$7)),IF(COUNTIFS(Register!$A$6:$A$185,$A37,Register!$D$6:$D$185,H$7,Register!$O$6:$O$185,"&gt;=0")=0,"",SUMIFS(Register!$O$6:$O$185,Register!$A$6:$A$185,$A37,Register!$D$6:$D$185,H$7))))))</f>
        <v/>
      </c>
      <c r="I37" s="14" t="str">
        <f>IF($A37="","",IF(COUNTIFS(Register!$A$6:$A$185,$A37,Register!$D$6:$D$185,I$7)&gt;1,"Dup.",IF($C$5="Critical assets (target)",IF(COUNTIFS(Register!$A$6:$A$185,$A37,Register!$D$6:$D$185,I$7,Register!$Q$6:$Q$185,"&gt;=0")=0,"",SUMIFS(Register!$Q$6:$Q$185,Register!$A$6:$A$185,$A37,Register!$D$6:$D$185,I$7)),IF($C$5="Released today",IF(COUNTIFS(Register!$A$6:$A$185,$A37,Register!$D$6:$D$185,I$7,Register!$T$6:$T$185,"&gt;=0")=0,"",SUMIFS(Register!$T$6:$T$185,Register!$A$6:$A$185,$A37,Register!$D$6:$D$185,I$7)),IF(COUNTIFS(Register!$A$6:$A$185,$A37,Register!$D$6:$D$185,I$7,Register!$O$6:$O$185,"&gt;=0")=0,"",SUMIFS(Register!$O$6:$O$185,Register!$A$6:$A$185,$A37,Register!$D$6:$D$185,I$7))))))</f>
        <v/>
      </c>
      <c r="J37" s="14" t="str">
        <f>IF($A37="","",IF(COUNTIFS(Register!$A$6:$A$185,$A37,Register!$D$6:$D$185,J$7)&gt;1,"Dup.",IF($C$5="Critical assets (target)",IF(COUNTIFS(Register!$A$6:$A$185,$A37,Register!$D$6:$D$185,J$7,Register!$Q$6:$Q$185,"&gt;=0")=0,"",SUMIFS(Register!$Q$6:$Q$185,Register!$A$6:$A$185,$A37,Register!$D$6:$D$185,J$7)),IF($C$5="Released today",IF(COUNTIFS(Register!$A$6:$A$185,$A37,Register!$D$6:$D$185,J$7,Register!$T$6:$T$185,"&gt;=0")=0,"",SUMIFS(Register!$T$6:$T$185,Register!$A$6:$A$185,$A37,Register!$D$6:$D$185,J$7)),IF(COUNTIFS(Register!$A$6:$A$185,$A37,Register!$D$6:$D$185,J$7,Register!$O$6:$O$185,"&gt;=0")=0,"",SUMIFS(Register!$O$6:$O$185,Register!$A$6:$A$185,$A37,Register!$D$6:$D$185,J$7))))))</f>
        <v/>
      </c>
      <c r="K37" s="13" t="str">
        <f t="shared" si="0"/>
        <v/>
      </c>
      <c r="L37" s="13" t="str">
        <f>IF($A37="","",COUNTIFS(Register!$A$6:$A$185,$A37,Register!$P$6:$P$185,"Above policy*"))</f>
        <v/>
      </c>
      <c r="M37" s="13" t="str">
        <f>IF($A37="","",IF(COUNTIF('Readiness gate'!$A$7:$A$36,$A37)&lt;&gt;1,"Incomplete",IFERROR(IF(VLOOKUP($A37,GateTab,9,FALSE())="","Incomplete",VLOOKUP($A37,GateTab,9,FALSE())),"Incomplete")))</f>
        <v/>
      </c>
      <c r="N37" s="13" t="str">
        <f>IF($A37="","",SUMPRODUCT((Register!$A$6:$A$185=$A37)*(Register!$T$6:$T$185&lt;&gt;"")*(Register!$O$6:$O$185&lt;&gt;"")*(Register!$T$6:$T$185&lt;Register!$O$6:$O$185)))</f>
        <v/>
      </c>
    </row>
    <row r="39" spans="1:14" x14ac:dyDescent="0.25">
      <c r="B39" s="15" t="s">
        <v>88</v>
      </c>
      <c r="E39" s="16" t="str">
        <f>Scales!$B$6</f>
        <v>L0 Manual</v>
      </c>
      <c r="F39" s="17" t="str">
        <f>Scales!$B$7</f>
        <v>L1 Assisted</v>
      </c>
      <c r="G39" s="18" t="str">
        <f>Scales!$B$8</f>
        <v>L2 AI-recommended</v>
      </c>
      <c r="H39" s="19" t="str">
        <f>Scales!$B$9</f>
        <v>L3 Human-approved</v>
      </c>
      <c r="I39" s="20" t="str">
        <f>Scales!$B$10</f>
        <v>L4 Autonomous</v>
      </c>
      <c r="K39" s="9" t="s">
        <v>89</v>
      </c>
    </row>
    <row r="41" spans="1:14" x14ac:dyDescent="0.25">
      <c r="A41" s="15" t="s">
        <v>90</v>
      </c>
    </row>
    <row r="42" spans="1:14" x14ac:dyDescent="0.25">
      <c r="A42" s="21" t="s">
        <v>91</v>
      </c>
      <c r="B42" s="21"/>
      <c r="E42" s="21" t="str">
        <f>Scales!$B$15</f>
        <v>Enrich</v>
      </c>
      <c r="F42" s="21" t="str">
        <f>Scales!$B$16</f>
        <v>Triage</v>
      </c>
      <c r="G42" s="21" t="str">
        <f>Scales!$B$17</f>
        <v>Contain</v>
      </c>
      <c r="H42" s="21" t="str">
        <f>Scales!$B$18</f>
        <v>Eradicate</v>
      </c>
      <c r="I42" s="21" t="str">
        <f>Scales!$B$19</f>
        <v>Recover</v>
      </c>
      <c r="J42" s="21" t="str">
        <f>Scales!$B$20</f>
        <v>Notify</v>
      </c>
      <c r="K42" s="21" t="s">
        <v>92</v>
      </c>
    </row>
    <row r="43" spans="1:14" x14ac:dyDescent="0.25">
      <c r="A43" s="13">
        <v>0</v>
      </c>
      <c r="B43" s="12" t="str">
        <f>Scales!$B$6</f>
        <v>L0 Manual</v>
      </c>
      <c r="E43" s="13">
        <f t="shared" ref="E43:J47" si="1">COUNTIF(E$8:E$37,$A43)</f>
        <v>0</v>
      </c>
      <c r="F43" s="13">
        <f t="shared" si="1"/>
        <v>0</v>
      </c>
      <c r="G43" s="13">
        <f t="shared" si="1"/>
        <v>1</v>
      </c>
      <c r="H43" s="13">
        <f t="shared" si="1"/>
        <v>1</v>
      </c>
      <c r="I43" s="13">
        <f t="shared" si="1"/>
        <v>1</v>
      </c>
      <c r="J43" s="13">
        <f t="shared" si="1"/>
        <v>0</v>
      </c>
      <c r="K43" s="8">
        <f>SUM(E43:J43)</f>
        <v>3</v>
      </c>
    </row>
    <row r="44" spans="1:14" x14ac:dyDescent="0.25">
      <c r="A44" s="13">
        <v>1</v>
      </c>
      <c r="B44" s="12" t="str">
        <f>Scales!$B$7</f>
        <v>L1 Assisted</v>
      </c>
      <c r="E44" s="13">
        <f t="shared" si="1"/>
        <v>9</v>
      </c>
      <c r="F44" s="13">
        <f t="shared" si="1"/>
        <v>8</v>
      </c>
      <c r="G44" s="13">
        <f t="shared" si="1"/>
        <v>0</v>
      </c>
      <c r="H44" s="13">
        <f t="shared" si="1"/>
        <v>8</v>
      </c>
      <c r="I44" s="13">
        <f t="shared" si="1"/>
        <v>8</v>
      </c>
      <c r="J44" s="13">
        <f t="shared" si="1"/>
        <v>10</v>
      </c>
      <c r="K44" s="8">
        <f>SUM(E44:J44)</f>
        <v>43</v>
      </c>
    </row>
    <row r="45" spans="1:14" x14ac:dyDescent="0.25">
      <c r="A45" s="13">
        <v>2</v>
      </c>
      <c r="B45" s="12" t="str">
        <f>Scales!$B$8</f>
        <v>L2 AI-recommended</v>
      </c>
      <c r="E45" s="13">
        <f t="shared" si="1"/>
        <v>0</v>
      </c>
      <c r="F45" s="13">
        <f t="shared" si="1"/>
        <v>11</v>
      </c>
      <c r="G45" s="13">
        <f t="shared" si="1"/>
        <v>8</v>
      </c>
      <c r="H45" s="13">
        <f t="shared" si="1"/>
        <v>10</v>
      </c>
      <c r="I45" s="13">
        <f t="shared" si="1"/>
        <v>11</v>
      </c>
      <c r="J45" s="13">
        <f t="shared" si="1"/>
        <v>9</v>
      </c>
      <c r="K45" s="8">
        <f>SUM(E45:J45)</f>
        <v>49</v>
      </c>
    </row>
    <row r="46" spans="1:14" x14ac:dyDescent="0.25">
      <c r="A46" s="13">
        <v>3</v>
      </c>
      <c r="B46" s="12" t="str">
        <f>Scales!$B$9</f>
        <v>L3 Human-approved</v>
      </c>
      <c r="E46" s="13">
        <f t="shared" si="1"/>
        <v>0</v>
      </c>
      <c r="F46" s="13">
        <f t="shared" si="1"/>
        <v>1</v>
      </c>
      <c r="G46" s="13">
        <f t="shared" si="1"/>
        <v>8</v>
      </c>
      <c r="H46" s="13">
        <f t="shared" si="1"/>
        <v>1</v>
      </c>
      <c r="I46" s="13">
        <f t="shared" si="1"/>
        <v>0</v>
      </c>
      <c r="J46" s="13">
        <f t="shared" si="1"/>
        <v>1</v>
      </c>
      <c r="K46" s="8">
        <f>SUM(E46:J46)</f>
        <v>11</v>
      </c>
    </row>
    <row r="47" spans="1:14" x14ac:dyDescent="0.25">
      <c r="A47" s="13">
        <v>4</v>
      </c>
      <c r="B47" s="12" t="str">
        <f>Scales!$B$10</f>
        <v>L4 Autonomous</v>
      </c>
      <c r="E47" s="13">
        <f t="shared" si="1"/>
        <v>11</v>
      </c>
      <c r="F47" s="13">
        <f t="shared" si="1"/>
        <v>0</v>
      </c>
      <c r="G47" s="13">
        <f t="shared" si="1"/>
        <v>3</v>
      </c>
      <c r="H47" s="13">
        <f t="shared" si="1"/>
        <v>0</v>
      </c>
      <c r="I47" s="13">
        <f t="shared" si="1"/>
        <v>0</v>
      </c>
      <c r="J47" s="13">
        <f t="shared" si="1"/>
        <v>0</v>
      </c>
      <c r="K47" s="8">
        <f>SUM(E47:J47)</f>
        <v>14</v>
      </c>
    </row>
    <row r="48" spans="1:14" x14ac:dyDescent="0.25">
      <c r="B48" s="9" t="s">
        <v>93</v>
      </c>
      <c r="E48" s="22">
        <f t="shared" ref="E48:K48" si="2">IF(SUM(E43:E47)=0,0,E47/SUM(E43:E47))</f>
        <v>0.55000000000000004</v>
      </c>
      <c r="F48" s="22">
        <f t="shared" si="2"/>
        <v>0</v>
      </c>
      <c r="G48" s="22">
        <f t="shared" si="2"/>
        <v>0.15</v>
      </c>
      <c r="H48" s="22">
        <f t="shared" si="2"/>
        <v>0</v>
      </c>
      <c r="I48" s="22">
        <f t="shared" si="2"/>
        <v>0</v>
      </c>
      <c r="J48" s="22">
        <f t="shared" si="2"/>
        <v>0</v>
      </c>
      <c r="K48" s="22">
        <f t="shared" si="2"/>
        <v>0.11666666666666667</v>
      </c>
    </row>
  </sheetData>
  <conditionalFormatting sqref="A6">
    <cfRule type="expression" dxfId="56" priority="16">
      <formula>LEFT($A$6,19)="Configuration error"</formula>
    </cfRule>
  </conditionalFormatting>
  <conditionalFormatting sqref="D8:D37">
    <cfRule type="expression" dxfId="55" priority="8">
      <formula>AND($A8&lt;&gt;"",$D8&lt;&gt;$C$4)</formula>
    </cfRule>
  </conditionalFormatting>
  <conditionalFormatting sqref="E8:J37">
    <cfRule type="expression" dxfId="54" priority="2">
      <formula>AND(ISNUMBER(E8),E8=0)</formula>
    </cfRule>
    <cfRule type="expression" dxfId="53" priority="3">
      <formula>AND(ISNUMBER(E8),E8=1)</formula>
    </cfRule>
    <cfRule type="expression" dxfId="52" priority="4">
      <formula>AND(ISNUMBER(E8),E8=2)</formula>
    </cfRule>
    <cfRule type="expression" dxfId="51" priority="5">
      <formula>AND(ISNUMBER(E8),E8=3)</formula>
    </cfRule>
    <cfRule type="expression" dxfId="50" priority="6">
      <formula>AND(ISNUMBER(E8),E8=4)</formula>
    </cfRule>
    <cfRule type="expression" dxfId="49" priority="7">
      <formula>E8="Dup."</formula>
    </cfRule>
  </conditionalFormatting>
  <conditionalFormatting sqref="K5">
    <cfRule type="expression" dxfId="48" priority="12">
      <formula>AND(ISNUMBER($K$5),$K$5&gt;0)</formula>
    </cfRule>
  </conditionalFormatting>
  <conditionalFormatting sqref="L8:L37">
    <cfRule type="expression" dxfId="47" priority="9">
      <formula>AND($A8&lt;&gt;"",$L8&gt;0)</formula>
    </cfRule>
  </conditionalFormatting>
  <conditionalFormatting sqref="M8:M37">
    <cfRule type="expression" dxfId="46" priority="10">
      <formula>$M8="Not passed"</formula>
    </cfRule>
  </conditionalFormatting>
  <conditionalFormatting sqref="N8:N37">
    <cfRule type="expression" dxfId="45" priority="11">
      <formula>AND($A8&lt;&gt;"",$N8&gt;0)</formula>
    </cfRule>
  </conditionalFormatting>
  <conditionalFormatting sqref="O5">
    <cfRule type="expression" dxfId="44" priority="15">
      <formula>AND(ISNUMBER($O$5),$O$5&gt;0)</formula>
    </cfRule>
  </conditionalFormatting>
  <conditionalFormatting sqref="Q5">
    <cfRule type="expression" dxfId="43" priority="13">
      <formula>AND(ISNUMBER($Q$5),$Q$5&gt;0)</formula>
    </cfRule>
  </conditionalFormatting>
  <conditionalFormatting sqref="S5">
    <cfRule type="expression" dxfId="42" priority="14">
      <formula>AND(ISNUMBER($S$5),$S$5&gt;0)</formula>
    </cfRule>
  </conditionalFormatting>
  <dataValidations count="2">
    <dataValidation type="list" showErrorMessage="1" errorTitle="Invalid value" error="Please pick a value from the list." sqref="C4" xr:uid="{00000000-0002-0000-0100-000000000000}">
      <formula1>List_Appetite</formula1>
      <formula2>0</formula2>
    </dataValidation>
    <dataValidation type="list" showErrorMessage="1" errorTitle="Invalid value" error="Please pick a value from the list." sqref="C5" xr:uid="{00000000-0002-0000-0100-000001000000}">
      <formula1>"Standard assets (target),Critical assets (target),Released today"</formula1>
      <formula2>0</formula2>
    </dataValidation>
  </dataValidations>
  <pageMargins left="0.4" right="0.4" top="0.4" bottom="0.4" header="0.3" footer="0.3"/>
  <pageSetup paperSize="9" orientation="landscape"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V185"/>
  <sheetViews>
    <sheetView showGridLines="0" tabSelected="1" zoomScaleNormal="100" zoomScalePageLayoutView="60" workbookViewId="0">
      <pane xSplit="2" ySplit="5" topLeftCell="C6" activePane="bottomRight" state="frozen"/>
      <selection pane="topRight"/>
      <selection pane="bottomLeft"/>
      <selection pane="bottomRight" activeCell="H7" sqref="H7"/>
    </sheetView>
  </sheetViews>
  <sheetFormatPr baseColWidth="10" defaultColWidth="8.7109375" defaultRowHeight="15" outlineLevelCol="1" x14ac:dyDescent="0.25"/>
  <cols>
    <col min="1" max="1" width="7" customWidth="1"/>
    <col min="2" max="2" width="42" customWidth="1"/>
    <col min="3" max="3" width="19" customWidth="1"/>
    <col min="4" max="4" width="10" customWidth="1"/>
    <col min="5" max="5" width="68" customWidth="1"/>
    <col min="6" max="6" width="19" customWidth="1"/>
    <col min="7" max="7" width="11" customWidth="1"/>
    <col min="8" max="8" width="12" customWidth="1"/>
    <col min="9" max="9" width="12" customWidth="1" outlineLevel="1"/>
    <col min="10" max="10" width="17" customWidth="1"/>
    <col min="11" max="12" width="11" customWidth="1" outlineLevel="1"/>
    <col min="13" max="13" width="16" customWidth="1"/>
    <col min="14" max="14" width="11" customWidth="1"/>
    <col min="15" max="15" width="10" customWidth="1"/>
    <col min="16" max="16" width="24" customWidth="1"/>
    <col min="17" max="17" width="10" customWidth="1"/>
    <col min="18" max="18" width="9" customWidth="1"/>
    <col min="19" max="19" width="11" customWidth="1"/>
    <col min="20" max="20" width="10" customWidth="1"/>
    <col min="21" max="21" width="42" customWidth="1"/>
    <col min="22" max="22" width="26" customWidth="1"/>
  </cols>
  <sheetData>
    <row r="1" spans="1:22" ht="24" customHeight="1" x14ac:dyDescent="0.35">
      <c r="A1" s="1" t="s">
        <v>20</v>
      </c>
    </row>
    <row r="2" spans="1:22" x14ac:dyDescent="0.25">
      <c r="A2" s="2" t="s">
        <v>94</v>
      </c>
    </row>
    <row r="3" spans="1:22" x14ac:dyDescent="0.25">
      <c r="A3" s="2" t="s">
        <v>95</v>
      </c>
    </row>
    <row r="5" spans="1:22" ht="45.75" customHeight="1" x14ac:dyDescent="0.25">
      <c r="A5" s="10" t="s">
        <v>83</v>
      </c>
      <c r="B5" s="10" t="s">
        <v>84</v>
      </c>
      <c r="C5" s="10" t="s">
        <v>85</v>
      </c>
      <c r="D5" s="10" t="s">
        <v>96</v>
      </c>
      <c r="E5" s="10" t="s">
        <v>97</v>
      </c>
      <c r="F5" s="10" t="s">
        <v>98</v>
      </c>
      <c r="G5" s="10" t="s">
        <v>99</v>
      </c>
      <c r="H5" s="10" t="s">
        <v>31</v>
      </c>
      <c r="I5" s="10" t="s">
        <v>86</v>
      </c>
      <c r="J5" s="10" t="s">
        <v>100</v>
      </c>
      <c r="K5" s="10" t="s">
        <v>101</v>
      </c>
      <c r="L5" s="10" t="s">
        <v>102</v>
      </c>
      <c r="M5" s="10" t="s">
        <v>103</v>
      </c>
      <c r="N5" s="10" t="s">
        <v>104</v>
      </c>
      <c r="O5" s="10" t="s">
        <v>105</v>
      </c>
      <c r="P5" s="10" t="s">
        <v>106</v>
      </c>
      <c r="Q5" s="10" t="s">
        <v>107</v>
      </c>
      <c r="R5" s="10" t="s">
        <v>108</v>
      </c>
      <c r="S5" s="10" t="s">
        <v>21</v>
      </c>
      <c r="T5" s="10" t="s">
        <v>33</v>
      </c>
      <c r="U5" s="10" t="s">
        <v>109</v>
      </c>
      <c r="V5" s="10" t="s">
        <v>110</v>
      </c>
    </row>
    <row r="6" spans="1:22" x14ac:dyDescent="0.25">
      <c r="A6" s="8" t="s">
        <v>111</v>
      </c>
      <c r="B6" s="11" t="str">
        <f>IF($A6="","",IF(COUNTIF('Use cases'!$A$5:$A$34,$A6)&gt;1,"Duplicate ID",IFERROR(IF(VLOOKUP($A6,'Use cases'!$A$5:$B$34,2,FALSE())=0,"",VLOOKUP($A6,'Use cases'!$A$5:$B$34,2,FALSE())),"")))</f>
        <v>Phishing campaign containment</v>
      </c>
      <c r="C6" s="12" t="str">
        <f>IF(OR($B6="",$B6="Duplicate ID"),"",IFERROR(VLOOKUP($A6,'Use cases'!$A$5:$C$34,3,FALSE()),""))</f>
        <v>Email and collaboration</v>
      </c>
      <c r="D6" s="13" t="s">
        <v>112</v>
      </c>
      <c r="E6" s="23" t="s">
        <v>113</v>
      </c>
      <c r="F6" s="23" t="s">
        <v>114</v>
      </c>
      <c r="G6" s="24" t="s">
        <v>115</v>
      </c>
      <c r="H6" s="24" t="s">
        <v>116</v>
      </c>
      <c r="I6" s="13" t="str">
        <f>IF(OR($B6="",$B6="Duplicate ID"),"",IFERROR(VLOOKUP($A6,'Use cases'!$A$5:$E$34,5,FALSE()),""))</f>
        <v>Progressive</v>
      </c>
      <c r="J6" s="11" t="str">
        <f>IF(OR($B6="",$B6="Duplicate ID"),"",IF(OR($F6="",$G6=""),"",IF(Policy!$B$24&lt;&gt;"OK","Config error",IFERROR(INDEX(Scales!$B$6:$B$10,1+INDEX(Policy!$C$5:$E$16,MATCH($F6&amp;"|"&amp;$G6,Policy!$G$5:$G$16,0),MATCH($I6,Policy!$C$4:$E$4,0))),"Config error"))))</f>
        <v>L4 Autonomous</v>
      </c>
      <c r="K6" s="13" t="str">
        <f>IF($H6="","",IF($F6=Scales!$B$24,"exempt",IFERROR(IF(VLOOKUP($H6,Conf_Check,3,FALSE())="valid",VLOOKUP($H6,Conf_Adjust,2,FALSE()),"n/a"),"n/a")))</f>
        <v>exempt</v>
      </c>
      <c r="L6" s="13">
        <f>IF(OR($J6="",$J6="Config error"),"",IF(OR($F6=Scales!$B$24,AND(ISNUMBER($K6),$K6=0)),4,IF(ISNUMBER($K6),MAX(1,MATCH($J6,Scales!$B$6:$B$10,0)-1+$K6),1)))</f>
        <v>4</v>
      </c>
      <c r="M6" s="5"/>
      <c r="N6" s="5"/>
      <c r="O6" s="8">
        <f>IF(OR($J6="",$J6="Config error",$E6="",$F6="",$G6="",$H6="",$R6=""),"",IF($M6="",MATCH($J6,Scales!$B$6:$B$10,0),IFERROR(MATCH($M6,Scales!$B$6:$B$10,0),MATCH($J6,Scales!$B$6:$B$10,0)))-1)</f>
        <v>4</v>
      </c>
      <c r="P6" s="12" t="str">
        <f>IF($J6="",IF(AND($B6&lt;&gt;"",$B6&lt;&gt;"Duplicate ID"),"Incomplete assessment",""),IF($J6="Config error","Config error",IF($O6="","Incomplete assessment",IF($M6="","As recommended",IF(ISERROR(MATCH($M6,Scales!$B$6:$B$10,0)),"Invalid choice",IF(MATCH($M6,Scales!$B$6:$B$10,0)&gt;MATCH($J6,Scales!$B$6:$B$10,0),"Above policy: needs sign-off",IF(MATCH($M6,Scales!$B$6:$B$10,0)&lt;MATCH($J6,Scales!$B$6:$B$10,0),"More cautious than policy","As recommended")))))))</f>
        <v>As recommended</v>
      </c>
      <c r="Q6" s="13">
        <f>IF(OR($O6="",Policy!$B$24&lt;&gt;"OK"),"",IFERROR(MIN($O6,INDEX(Policy!$C$5:$E$16,MATCH($F6&amp;"|"&amp;Scales!$B$33,Policy!$G$5:$G$16,0),MATCH($I6,Policy!$C$4:$E$4,0))),""))</f>
        <v>4</v>
      </c>
      <c r="R6" s="5">
        <v>2</v>
      </c>
      <c r="S6" s="13" t="str">
        <f>IF($B6="","",IF(COUNTIF('Readiness gate'!$A$7:$A$36,$A6)&lt;&gt;1,"Incomplete",IFERROR(IF(VLOOKUP($A6,GateTab,IF($F6=Scales!$B$24,11,9),FALSE())="","Incomplete",VLOOKUP($A6,GateTab,IF($F6=Scales!$B$24,11,9),FALSE())),"Incomplete")))</f>
        <v>Passed</v>
      </c>
      <c r="T6" s="8">
        <f>IF($O6="","",MIN(IF(AND($O6&gt;MATCH($J6,Scales!$B$6:$B$10,0)-1,$N6&lt;&gt;"Yes"),MATCH($J6,Scales!$B$6:$B$10,0)-1,$O6),$L6,IF($F6=Scales!$B$24,IF($S6="Passed",4,IF(NOT(ISNUMBER($R6)),0,IF(OR($R6&lt;0,$R6&gt;4,$R6&lt;&gt;INT($R6)),0,$R6))),IF(NOT(ISNUMBER($R6)),0,IF(OR($R6&lt;0,$R6&gt;4,$R6&lt;&gt;INT($R6)),0,$R6))+IF($S6="Passed",1,0)),IF(AND($F6&lt;&gt;Scales!$B$24,OR($F6=Scales!$B$27,$G6=Scales!$B$33)),3,4)))</f>
        <v>4</v>
      </c>
      <c r="U6" s="13" t="str">
        <f>IF($O6="",IF(AND($B6&lt;&gt;"",$B6&lt;&gt;"Duplicate ID"),IF($J6="Config error","Config error","Incomplete assessment"),""),IF($T6&gt;=$O6,IF(LEFT($P6,4)="More","Own choice","None"),MID(IF(AND($O6&gt;MATCH($J6,Scales!$B$6:$B$10,0)-1,$N6&lt;&gt;"Yes",$T6=MATCH($J6,Scales!$B$6:$B$10,0)-1)," + Exception not approved","")&amp;IF(AND($F6&lt;&gt;Scales!$B$24,OR($F6=Scales!$B$27,$G6=Scales!$B$33),$T6=3)," + Human-signature guardrail","")&amp;IF($T6=$L6," + Model confidence","")&amp;IF($T6=IF($F6=Scales!$B$24,IF($S6="Passed",4,IF(NOT(ISNUMBER($R6)),0,IF(OR($R6&lt;0,$R6&gt;4,$R6&lt;&gt;INT($R6)),0,$R6))),IF(NOT(ISNUMBER($R6)),0,IF(OR($R6&lt;0,$R6&gt;4,$R6&lt;&gt;INT($R6)),0,$R6))+IF($S6="Passed",1,0))," + "&amp;IF($S6&lt;&gt;"Passed","Readiness gate","Readiness gate (one level per gate)"),""),4,200)))</f>
        <v>None</v>
      </c>
      <c r="V6" s="23"/>
    </row>
    <row r="7" spans="1:22" x14ac:dyDescent="0.25">
      <c r="A7" s="8" t="s">
        <v>111</v>
      </c>
      <c r="B7" s="11" t="str">
        <f>IF($A7="","",IF(COUNTIF('Use cases'!$A$5:$A$34,$A7)&gt;1,"Duplicate ID",IFERROR(IF(VLOOKUP($A7,'Use cases'!$A$5:$B$34,2,FALSE())=0,"",VLOOKUP($A7,'Use cases'!$A$5:$B$34,2,FALSE())),"")))</f>
        <v>Phishing campaign containment</v>
      </c>
      <c r="C7" s="12" t="str">
        <f>IF(OR($B7="",$B7="Duplicate ID"),"",IFERROR(VLOOKUP($A7,'Use cases'!$A$5:$C$34,3,FALSE()),""))</f>
        <v>Email and collaboration</v>
      </c>
      <c r="D7" s="13" t="s">
        <v>117</v>
      </c>
      <c r="E7" s="23" t="s">
        <v>118</v>
      </c>
      <c r="F7" s="23" t="s">
        <v>119</v>
      </c>
      <c r="G7" s="24" t="s">
        <v>115</v>
      </c>
      <c r="H7" s="24" t="s">
        <v>116</v>
      </c>
      <c r="I7" s="13" t="str">
        <f>IF(OR($B7="",$B7="Duplicate ID"),"",IFERROR(VLOOKUP($A7,'Use cases'!$A$5:$E$34,5,FALSE()),""))</f>
        <v>Progressive</v>
      </c>
      <c r="J7" s="11" t="str">
        <f>IF(OR($B7="",$B7="Duplicate ID"),"",IF(OR($F7="",$G7=""),"",IF(Policy!$B$24&lt;&gt;"OK","Config error",IFERROR(INDEX(Scales!$B$6:$B$10,1+INDEX(Policy!$C$5:$E$16,MATCH($F7&amp;"|"&amp;$G7,Policy!$G$5:$G$16,0),MATCH($I7,Policy!$C$4:$E$4,0))),"Config error"))))</f>
        <v>L4 Autonomous</v>
      </c>
      <c r="K7" s="13">
        <f>IF($H7="","",IF($F7=Scales!$B$24,"exempt",IFERROR(IF(VLOOKUP($H7,Conf_Check,3,FALSE())="valid",VLOOKUP($H7,Conf_Adjust,2,FALSE()),"n/a"),"n/a")))</f>
        <v>0</v>
      </c>
      <c r="L7" s="13">
        <f>IF(OR($J7="",$J7="Config error"),"",IF(OR($F7=Scales!$B$24,AND(ISNUMBER($K7),$K7=0)),4,IF(ISNUMBER($K7),MAX(1,MATCH($J7,Scales!$B$6:$B$10,0)-1+$K7),1)))</f>
        <v>4</v>
      </c>
      <c r="M7" s="5"/>
      <c r="N7" s="5"/>
      <c r="O7" s="8">
        <f>IF(OR($J7="",$J7="Config error",$E7="",$F7="",$G7="",$H7="",$R7=""),"",IF($M7="",MATCH($J7,Scales!$B$6:$B$10,0),IFERROR(MATCH($M7,Scales!$B$6:$B$10,0),MATCH($J7,Scales!$B$6:$B$10,0)))-1)</f>
        <v>4</v>
      </c>
      <c r="P7" s="12" t="str">
        <f>IF($J7="",IF(AND($B7&lt;&gt;"",$B7&lt;&gt;"Duplicate ID"),"Incomplete assessment",""),IF($J7="Config error","Config error",IF($O7="","Incomplete assessment",IF($M7="","As recommended",IF(ISERROR(MATCH($M7,Scales!$B$6:$B$10,0)),"Invalid choice",IF(MATCH($M7,Scales!$B$6:$B$10,0)&gt;MATCH($J7,Scales!$B$6:$B$10,0),"Above policy: needs sign-off",IF(MATCH($M7,Scales!$B$6:$B$10,0)&lt;MATCH($J7,Scales!$B$6:$B$10,0),"More cautious than policy","As recommended")))))))</f>
        <v>As recommended</v>
      </c>
      <c r="Q7" s="13">
        <f>IF(OR($O7="",Policy!$B$24&lt;&gt;"OK"),"",IFERROR(MIN($O7,INDEX(Policy!$C$5:$E$16,MATCH($F7&amp;"|"&amp;Scales!$B$33,Policy!$G$5:$G$16,0),MATCH($I7,Policy!$C$4:$E$4,0))),""))</f>
        <v>3</v>
      </c>
      <c r="R7" s="5">
        <v>2</v>
      </c>
      <c r="S7" s="13" t="str">
        <f>IF($B7="","",IF(COUNTIF('Readiness gate'!$A$7:$A$36,$A7)&lt;&gt;1,"Incomplete",IFERROR(IF(VLOOKUP($A7,GateTab,IF($F7=Scales!$B$24,11,9),FALSE())="","Incomplete",VLOOKUP($A7,GateTab,IF($F7=Scales!$B$24,11,9),FALSE())),"Incomplete")))</f>
        <v>Passed</v>
      </c>
      <c r="T7" s="8">
        <f>IF($O7="","",MIN(IF(AND($O7&gt;MATCH($J7,Scales!$B$6:$B$10,0)-1,$N7&lt;&gt;"Yes"),MATCH($J7,Scales!$B$6:$B$10,0)-1,$O7),$L7,IF($F7=Scales!$B$24,IF($S7="Passed",4,IF(NOT(ISNUMBER($R7)),0,IF(OR($R7&lt;0,$R7&gt;4,$R7&lt;&gt;INT($R7)),0,$R7))),IF(NOT(ISNUMBER($R7)),0,IF(OR($R7&lt;0,$R7&gt;4,$R7&lt;&gt;INT($R7)),0,$R7))+IF($S7="Passed",1,0)),IF(AND($F7&lt;&gt;Scales!$B$24,OR($F7=Scales!$B$27,$G7=Scales!$B$33)),3,4)))</f>
        <v>3</v>
      </c>
      <c r="U7" s="13" t="str">
        <f>IF($O7="",IF(AND($B7&lt;&gt;"",$B7&lt;&gt;"Duplicate ID"),IF($J7="Config error","Config error","Incomplete assessment"),""),IF($T7&gt;=$O7,IF(LEFT($P7,4)="More","Own choice","None"),MID(IF(AND($O7&gt;MATCH($J7,Scales!$B$6:$B$10,0)-1,$N7&lt;&gt;"Yes",$T7=MATCH($J7,Scales!$B$6:$B$10,0)-1)," + Exception not approved","")&amp;IF(AND($F7&lt;&gt;Scales!$B$24,OR($F7=Scales!$B$27,$G7=Scales!$B$33),$T7=3)," + Human-signature guardrail","")&amp;IF($T7=$L7," + Model confidence","")&amp;IF($T7=IF($F7=Scales!$B$24,IF($S7="Passed",4,IF(NOT(ISNUMBER($R7)),0,IF(OR($R7&lt;0,$R7&gt;4,$R7&lt;&gt;INT($R7)),0,$R7))),IF(NOT(ISNUMBER($R7)),0,IF(OR($R7&lt;0,$R7&gt;4,$R7&lt;&gt;INT($R7)),0,$R7))+IF($S7="Passed",1,0))," + "&amp;IF($S7&lt;&gt;"Passed","Readiness gate","Readiness gate (one level per gate)"),""),4,200)))</f>
        <v>Readiness gate (one level per gate)</v>
      </c>
      <c r="V7" s="23"/>
    </row>
    <row r="8" spans="1:22" x14ac:dyDescent="0.25">
      <c r="A8" s="8" t="s">
        <v>111</v>
      </c>
      <c r="B8" s="11" t="str">
        <f>IF($A8="","",IF(COUNTIF('Use cases'!$A$5:$A$34,$A8)&gt;1,"Duplicate ID",IFERROR(IF(VLOOKUP($A8,'Use cases'!$A$5:$B$34,2,FALSE())=0,"",VLOOKUP($A8,'Use cases'!$A$5:$B$34,2,FALSE())),"")))</f>
        <v>Phishing campaign containment</v>
      </c>
      <c r="C8" s="12" t="str">
        <f>IF(OR($B8="",$B8="Duplicate ID"),"",IFERROR(VLOOKUP($A8,'Use cases'!$A$5:$C$34,3,FALSE()),""))</f>
        <v>Email and collaboration</v>
      </c>
      <c r="D8" s="13" t="s">
        <v>120</v>
      </c>
      <c r="E8" s="23" t="s">
        <v>121</v>
      </c>
      <c r="F8" s="23" t="s">
        <v>119</v>
      </c>
      <c r="G8" s="24" t="s">
        <v>122</v>
      </c>
      <c r="H8" s="24" t="s">
        <v>116</v>
      </c>
      <c r="I8" s="13" t="str">
        <f>IF(OR($B8="",$B8="Duplicate ID"),"",IFERROR(VLOOKUP($A8,'Use cases'!$A$5:$E$34,5,FALSE()),""))</f>
        <v>Progressive</v>
      </c>
      <c r="J8" s="11" t="str">
        <f>IF(OR($B8="",$B8="Duplicate ID"),"",IF(OR($F8="",$G8=""),"",IF(Policy!$B$24&lt;&gt;"OK","Config error",IFERROR(INDEX(Scales!$B$6:$B$10,1+INDEX(Policy!$C$5:$E$16,MATCH($F8&amp;"|"&amp;$G8,Policy!$G$5:$G$16,0),MATCH($I8,Policy!$C$4:$E$4,0))),"Config error"))))</f>
        <v>L4 Autonomous</v>
      </c>
      <c r="K8" s="13">
        <f>IF($H8="","",IF($F8=Scales!$B$24,"exempt",IFERROR(IF(VLOOKUP($H8,Conf_Check,3,FALSE())="valid",VLOOKUP($H8,Conf_Adjust,2,FALSE()),"n/a"),"n/a")))</f>
        <v>0</v>
      </c>
      <c r="L8" s="13">
        <f>IF(OR($J8="",$J8="Config error"),"",IF(OR($F8=Scales!$B$24,AND(ISNUMBER($K8),$K8=0)),4,IF(ISNUMBER($K8),MAX(1,MATCH($J8,Scales!$B$6:$B$10,0)-1+$K8),1)))</f>
        <v>4</v>
      </c>
      <c r="M8" s="5"/>
      <c r="N8" s="5"/>
      <c r="O8" s="8">
        <f>IF(OR($J8="",$J8="Config error",$E8="",$F8="",$G8="",$H8="",$R8=""),"",IF($M8="",MATCH($J8,Scales!$B$6:$B$10,0),IFERROR(MATCH($M8,Scales!$B$6:$B$10,0),MATCH($J8,Scales!$B$6:$B$10,0)))-1)</f>
        <v>4</v>
      </c>
      <c r="P8" s="12" t="str">
        <f>IF($J8="",IF(AND($B8&lt;&gt;"",$B8&lt;&gt;"Duplicate ID"),"Incomplete assessment",""),IF($J8="Config error","Config error",IF($O8="","Incomplete assessment",IF($M8="","As recommended",IF(ISERROR(MATCH($M8,Scales!$B$6:$B$10,0)),"Invalid choice",IF(MATCH($M8,Scales!$B$6:$B$10,0)&gt;MATCH($J8,Scales!$B$6:$B$10,0),"Above policy: needs sign-off",IF(MATCH($M8,Scales!$B$6:$B$10,0)&lt;MATCH($J8,Scales!$B$6:$B$10,0),"More cautious than policy","As recommended")))))))</f>
        <v>As recommended</v>
      </c>
      <c r="Q8" s="13">
        <f>IF(OR($O8="",Policy!$B$24&lt;&gt;"OK"),"",IFERROR(MIN($O8,INDEX(Policy!$C$5:$E$16,MATCH($F8&amp;"|"&amp;Scales!$B$33,Policy!$G$5:$G$16,0),MATCH($I8,Policy!$C$4:$E$4,0))),""))</f>
        <v>3</v>
      </c>
      <c r="R8" s="5">
        <v>3</v>
      </c>
      <c r="S8" s="13" t="str">
        <f>IF($B8="","",IF(COUNTIF('Readiness gate'!$A$7:$A$36,$A8)&lt;&gt;1,"Incomplete",IFERROR(IF(VLOOKUP($A8,GateTab,IF($F8=Scales!$B$24,11,9),FALSE())="","Incomplete",VLOOKUP($A8,GateTab,IF($F8=Scales!$B$24,11,9),FALSE())),"Incomplete")))</f>
        <v>Passed</v>
      </c>
      <c r="T8" s="8">
        <f>IF($O8="","",MIN(IF(AND($O8&gt;MATCH($J8,Scales!$B$6:$B$10,0)-1,$N8&lt;&gt;"Yes"),MATCH($J8,Scales!$B$6:$B$10,0)-1,$O8),$L8,IF($F8=Scales!$B$24,IF($S8="Passed",4,IF(NOT(ISNUMBER($R8)),0,IF(OR($R8&lt;0,$R8&gt;4,$R8&lt;&gt;INT($R8)),0,$R8))),IF(NOT(ISNUMBER($R8)),0,IF(OR($R8&lt;0,$R8&gt;4,$R8&lt;&gt;INT($R8)),0,$R8))+IF($S8="Passed",1,0)),IF(AND($F8&lt;&gt;Scales!$B$24,OR($F8=Scales!$B$27,$G8=Scales!$B$33)),3,4)))</f>
        <v>4</v>
      </c>
      <c r="U8" s="13" t="str">
        <f>IF($O8="",IF(AND($B8&lt;&gt;"",$B8&lt;&gt;"Duplicate ID"),IF($J8="Config error","Config error","Incomplete assessment"),""),IF($T8&gt;=$O8,IF(LEFT($P8,4)="More","Own choice","None"),MID(IF(AND($O8&gt;MATCH($J8,Scales!$B$6:$B$10,0)-1,$N8&lt;&gt;"Yes",$T8=MATCH($J8,Scales!$B$6:$B$10,0)-1)," + Exception not approved","")&amp;IF(AND($F8&lt;&gt;Scales!$B$24,OR($F8=Scales!$B$27,$G8=Scales!$B$33),$T8=3)," + Human-signature guardrail","")&amp;IF($T8=$L8," + Model confidence","")&amp;IF($T8=IF($F8=Scales!$B$24,IF($S8="Passed",4,IF(NOT(ISNUMBER($R8)),0,IF(OR($R8&lt;0,$R8&gt;4,$R8&lt;&gt;INT($R8)),0,$R8))),IF(NOT(ISNUMBER($R8)),0,IF(OR($R8&lt;0,$R8&gt;4,$R8&lt;&gt;INT($R8)),0,$R8))+IF($S8="Passed",1,0))," + "&amp;IF($S8&lt;&gt;"Passed","Readiness gate","Readiness gate (one level per gate)"),""),4,200)))</f>
        <v>None</v>
      </c>
      <c r="V8" s="23"/>
    </row>
    <row r="9" spans="1:22" x14ac:dyDescent="0.25">
      <c r="A9" s="8" t="s">
        <v>111</v>
      </c>
      <c r="B9" s="11" t="str">
        <f>IF($A9="","",IF(COUNTIF('Use cases'!$A$5:$A$34,$A9)&gt;1,"Duplicate ID",IFERROR(IF(VLOOKUP($A9,'Use cases'!$A$5:$B$34,2,FALSE())=0,"",VLOOKUP($A9,'Use cases'!$A$5:$B$34,2,FALSE())),"")))</f>
        <v>Phishing campaign containment</v>
      </c>
      <c r="C9" s="12" t="str">
        <f>IF(OR($B9="",$B9="Duplicate ID"),"",IFERROR(VLOOKUP($A9,'Use cases'!$A$5:$C$34,3,FALSE()),""))</f>
        <v>Email and collaboration</v>
      </c>
      <c r="D9" s="13" t="s">
        <v>123</v>
      </c>
      <c r="E9" s="23" t="s">
        <v>124</v>
      </c>
      <c r="F9" s="23" t="s">
        <v>119</v>
      </c>
      <c r="G9" s="24" t="s">
        <v>122</v>
      </c>
      <c r="H9" s="24" t="s">
        <v>116</v>
      </c>
      <c r="I9" s="13" t="str">
        <f>IF(OR($B9="",$B9="Duplicate ID"),"",IFERROR(VLOOKUP($A9,'Use cases'!$A$5:$E$34,5,FALSE()),""))</f>
        <v>Progressive</v>
      </c>
      <c r="J9" s="11" t="str">
        <f>IF(OR($B9="",$B9="Duplicate ID"),"",IF(OR($F9="",$G9=""),"",IF(Policy!$B$24&lt;&gt;"OK","Config error",IFERROR(INDEX(Scales!$B$6:$B$10,1+INDEX(Policy!$C$5:$E$16,MATCH($F9&amp;"|"&amp;$G9,Policy!$G$5:$G$16,0),MATCH($I9,Policy!$C$4:$E$4,0))),"Config error"))))</f>
        <v>L4 Autonomous</v>
      </c>
      <c r="K9" s="13">
        <f>IF($H9="","",IF($F9=Scales!$B$24,"exempt",IFERROR(IF(VLOOKUP($H9,Conf_Check,3,FALSE())="valid",VLOOKUP($H9,Conf_Adjust,2,FALSE()),"n/a"),"n/a")))</f>
        <v>0</v>
      </c>
      <c r="L9" s="13">
        <f>IF(OR($J9="",$J9="Config error"),"",IF(OR($F9=Scales!$B$24,AND(ISNUMBER($K9),$K9=0)),4,IF(ISNUMBER($K9),MAX(1,MATCH($J9,Scales!$B$6:$B$10,0)-1+$K9),1)))</f>
        <v>4</v>
      </c>
      <c r="M9" s="5"/>
      <c r="N9" s="5"/>
      <c r="O9" s="8">
        <f>IF(OR($J9="",$J9="Config error",$E9="",$F9="",$G9="",$H9="",$R9=""),"",IF($M9="",MATCH($J9,Scales!$B$6:$B$10,0),IFERROR(MATCH($M9,Scales!$B$6:$B$10,0),MATCH($J9,Scales!$B$6:$B$10,0)))-1)</f>
        <v>4</v>
      </c>
      <c r="P9" s="12" t="str">
        <f>IF($J9="",IF(AND($B9&lt;&gt;"",$B9&lt;&gt;"Duplicate ID"),"Incomplete assessment",""),IF($J9="Config error","Config error",IF($O9="","Incomplete assessment",IF($M9="","As recommended",IF(ISERROR(MATCH($M9,Scales!$B$6:$B$10,0)),"Invalid choice",IF(MATCH($M9,Scales!$B$6:$B$10,0)&gt;MATCH($J9,Scales!$B$6:$B$10,0),"Above policy: needs sign-off",IF(MATCH($M9,Scales!$B$6:$B$10,0)&lt;MATCH($J9,Scales!$B$6:$B$10,0),"More cautious than policy","As recommended")))))))</f>
        <v>As recommended</v>
      </c>
      <c r="Q9" s="13">
        <f>IF(OR($O9="",Policy!$B$24&lt;&gt;"OK"),"",IFERROR(MIN($O9,INDEX(Policy!$C$5:$E$16,MATCH($F9&amp;"|"&amp;Scales!$B$33,Policy!$G$5:$G$16,0),MATCH($I9,Policy!$C$4:$E$4,0))),""))</f>
        <v>3</v>
      </c>
      <c r="R9" s="5">
        <v>2</v>
      </c>
      <c r="S9" s="13" t="str">
        <f>IF($B9="","",IF(COUNTIF('Readiness gate'!$A$7:$A$36,$A9)&lt;&gt;1,"Incomplete",IFERROR(IF(VLOOKUP($A9,GateTab,IF($F9=Scales!$B$24,11,9),FALSE())="","Incomplete",VLOOKUP($A9,GateTab,IF($F9=Scales!$B$24,11,9),FALSE())),"Incomplete")))</f>
        <v>Passed</v>
      </c>
      <c r="T9" s="8">
        <f>IF($O9="","",MIN(IF(AND($O9&gt;MATCH($J9,Scales!$B$6:$B$10,0)-1,$N9&lt;&gt;"Yes"),MATCH($J9,Scales!$B$6:$B$10,0)-1,$O9),$L9,IF($F9=Scales!$B$24,IF($S9="Passed",4,IF(NOT(ISNUMBER($R9)),0,IF(OR($R9&lt;0,$R9&gt;4,$R9&lt;&gt;INT($R9)),0,$R9))),IF(NOT(ISNUMBER($R9)),0,IF(OR($R9&lt;0,$R9&gt;4,$R9&lt;&gt;INT($R9)),0,$R9))+IF($S9="Passed",1,0)),IF(AND($F9&lt;&gt;Scales!$B$24,OR($F9=Scales!$B$27,$G9=Scales!$B$33)),3,4)))</f>
        <v>3</v>
      </c>
      <c r="U9" s="13" t="str">
        <f>IF($O9="",IF(AND($B9&lt;&gt;"",$B9&lt;&gt;"Duplicate ID"),IF($J9="Config error","Config error","Incomplete assessment"),""),IF($T9&gt;=$O9,IF(LEFT($P9,4)="More","Own choice","None"),MID(IF(AND($O9&gt;MATCH($J9,Scales!$B$6:$B$10,0)-1,$N9&lt;&gt;"Yes",$T9=MATCH($J9,Scales!$B$6:$B$10,0)-1)," + Exception not approved","")&amp;IF(AND($F9&lt;&gt;Scales!$B$24,OR($F9=Scales!$B$27,$G9=Scales!$B$33),$T9=3)," + Human-signature guardrail","")&amp;IF($T9=$L9," + Model confidence","")&amp;IF($T9=IF($F9=Scales!$B$24,IF($S9="Passed",4,IF(NOT(ISNUMBER($R9)),0,IF(OR($R9&lt;0,$R9&gt;4,$R9&lt;&gt;INT($R9)),0,$R9))),IF(NOT(ISNUMBER($R9)),0,IF(OR($R9&lt;0,$R9&gt;4,$R9&lt;&gt;INT($R9)),0,$R9))+IF($S9="Passed",1,0))," + "&amp;IF($S9&lt;&gt;"Passed","Readiness gate","Readiness gate (one level per gate)"),""),4,200)))</f>
        <v>Readiness gate (one level per gate)</v>
      </c>
      <c r="V9" s="23"/>
    </row>
    <row r="10" spans="1:22" x14ac:dyDescent="0.25">
      <c r="A10" s="8" t="s">
        <v>111</v>
      </c>
      <c r="B10" s="11" t="str">
        <f>IF($A10="","",IF(COUNTIF('Use cases'!$A$5:$A$34,$A10)&gt;1,"Duplicate ID",IFERROR(IF(VLOOKUP($A10,'Use cases'!$A$5:$B$34,2,FALSE())=0,"",VLOOKUP($A10,'Use cases'!$A$5:$B$34,2,FALSE())),"")))</f>
        <v>Phishing campaign containment</v>
      </c>
      <c r="C10" s="12" t="str">
        <f>IF(OR($B10="",$B10="Duplicate ID"),"",IFERROR(VLOOKUP($A10,'Use cases'!$A$5:$C$34,3,FALSE()),""))</f>
        <v>Email and collaboration</v>
      </c>
      <c r="D10" s="13" t="s">
        <v>125</v>
      </c>
      <c r="E10" s="23" t="s">
        <v>126</v>
      </c>
      <c r="F10" s="23" t="s">
        <v>119</v>
      </c>
      <c r="G10" s="24" t="s">
        <v>115</v>
      </c>
      <c r="H10" s="24" t="s">
        <v>122</v>
      </c>
      <c r="I10" s="13" t="str">
        <f>IF(OR($B10="",$B10="Duplicate ID"),"",IFERROR(VLOOKUP($A10,'Use cases'!$A$5:$E$34,5,FALSE()),""))</f>
        <v>Progressive</v>
      </c>
      <c r="J10" s="11" t="str">
        <f>IF(OR($B10="",$B10="Duplicate ID"),"",IF(OR($F10="",$G10=""),"",IF(Policy!$B$24&lt;&gt;"OK","Config error",IFERROR(INDEX(Scales!$B$6:$B$10,1+INDEX(Policy!$C$5:$E$16,MATCH($F10&amp;"|"&amp;$G10,Policy!$G$5:$G$16,0),MATCH($I10,Policy!$C$4:$E$4,0))),"Config error"))))</f>
        <v>L4 Autonomous</v>
      </c>
      <c r="K10" s="13">
        <f>IF($H10="","",IF($F10=Scales!$B$24,"exempt",IFERROR(IF(VLOOKUP($H10,Conf_Check,3,FALSE())="valid",VLOOKUP($H10,Conf_Adjust,2,FALSE()),"n/a"),"n/a")))</f>
        <v>-1</v>
      </c>
      <c r="L10" s="13">
        <f>IF(OR($J10="",$J10="Config error"),"",IF(OR($F10=Scales!$B$24,AND(ISNUMBER($K10),$K10=0)),4,IF(ISNUMBER($K10),MAX(1,MATCH($J10,Scales!$B$6:$B$10,0)-1+$K10),1)))</f>
        <v>3</v>
      </c>
      <c r="M10" s="5"/>
      <c r="N10" s="5"/>
      <c r="O10" s="8">
        <f>IF(OR($J10="",$J10="Config error",$E10="",$F10="",$G10="",$H10="",$R10=""),"",IF($M10="",MATCH($J10,Scales!$B$6:$B$10,0),IFERROR(MATCH($M10,Scales!$B$6:$B$10,0),MATCH($J10,Scales!$B$6:$B$10,0)))-1)</f>
        <v>4</v>
      </c>
      <c r="P10" s="12" t="str">
        <f>IF($J10="",IF(AND($B10&lt;&gt;"",$B10&lt;&gt;"Duplicate ID"),"Incomplete assessment",""),IF($J10="Config error","Config error",IF($O10="","Incomplete assessment",IF($M10="","As recommended",IF(ISERROR(MATCH($M10,Scales!$B$6:$B$10,0)),"Invalid choice",IF(MATCH($M10,Scales!$B$6:$B$10,0)&gt;MATCH($J10,Scales!$B$6:$B$10,0),"Above policy: needs sign-off",IF(MATCH($M10,Scales!$B$6:$B$10,0)&lt;MATCH($J10,Scales!$B$6:$B$10,0),"More cautious than policy","As recommended")))))))</f>
        <v>As recommended</v>
      </c>
      <c r="Q10" s="13">
        <f>IF(OR($O10="",Policy!$B$24&lt;&gt;"OK"),"",IFERROR(MIN($O10,INDEX(Policy!$C$5:$E$16,MATCH($F10&amp;"|"&amp;Scales!$B$33,Policy!$G$5:$G$16,0),MATCH($I10,Policy!$C$4:$E$4,0))),""))</f>
        <v>3</v>
      </c>
      <c r="R10" s="5">
        <v>1</v>
      </c>
      <c r="S10" s="13" t="str">
        <f>IF($B10="","",IF(COUNTIF('Readiness gate'!$A$7:$A$36,$A10)&lt;&gt;1,"Incomplete",IFERROR(IF(VLOOKUP($A10,GateTab,IF($F10=Scales!$B$24,11,9),FALSE())="","Incomplete",VLOOKUP($A10,GateTab,IF($F10=Scales!$B$24,11,9),FALSE())),"Incomplete")))</f>
        <v>Passed</v>
      </c>
      <c r="T10" s="8">
        <f>IF($O10="","",MIN(IF(AND($O10&gt;MATCH($J10,Scales!$B$6:$B$10,0)-1,$N10&lt;&gt;"Yes"),MATCH($J10,Scales!$B$6:$B$10,0)-1,$O10),$L10,IF($F10=Scales!$B$24,IF($S10="Passed",4,IF(NOT(ISNUMBER($R10)),0,IF(OR($R10&lt;0,$R10&gt;4,$R10&lt;&gt;INT($R10)),0,$R10))),IF(NOT(ISNUMBER($R10)),0,IF(OR($R10&lt;0,$R10&gt;4,$R10&lt;&gt;INT($R10)),0,$R10))+IF($S10="Passed",1,0)),IF(AND($F10&lt;&gt;Scales!$B$24,OR($F10=Scales!$B$27,$G10=Scales!$B$33)),3,4)))</f>
        <v>2</v>
      </c>
      <c r="U10" s="13" t="str">
        <f>IF($O10="",IF(AND($B10&lt;&gt;"",$B10&lt;&gt;"Duplicate ID"),IF($J10="Config error","Config error","Incomplete assessment"),""),IF($T10&gt;=$O10,IF(LEFT($P10,4)="More","Own choice","None"),MID(IF(AND($O10&gt;MATCH($J10,Scales!$B$6:$B$10,0)-1,$N10&lt;&gt;"Yes",$T10=MATCH($J10,Scales!$B$6:$B$10,0)-1)," + Exception not approved","")&amp;IF(AND($F10&lt;&gt;Scales!$B$24,OR($F10=Scales!$B$27,$G10=Scales!$B$33),$T10=3)," + Human-signature guardrail","")&amp;IF($T10=$L10," + Model confidence","")&amp;IF($T10=IF($F10=Scales!$B$24,IF($S10="Passed",4,IF(NOT(ISNUMBER($R10)),0,IF(OR($R10&lt;0,$R10&gt;4,$R10&lt;&gt;INT($R10)),0,$R10))),IF(NOT(ISNUMBER($R10)),0,IF(OR($R10&lt;0,$R10&gt;4,$R10&lt;&gt;INT($R10)),0,$R10))+IF($S10="Passed",1,0))," + "&amp;IF($S10&lt;&gt;"Passed","Readiness gate","Readiness gate (one level per gate)"),""),4,200)))</f>
        <v>Readiness gate (one level per gate)</v>
      </c>
      <c r="V10" s="23"/>
    </row>
    <row r="11" spans="1:22" x14ac:dyDescent="0.25">
      <c r="A11" s="8" t="s">
        <v>111</v>
      </c>
      <c r="B11" s="11" t="str">
        <f>IF($A11="","",IF(COUNTIF('Use cases'!$A$5:$A$34,$A11)&gt;1,"Duplicate ID",IFERROR(IF(VLOOKUP($A11,'Use cases'!$A$5:$B$34,2,FALSE())=0,"",VLOOKUP($A11,'Use cases'!$A$5:$B$34,2,FALSE())),"")))</f>
        <v>Phishing campaign containment</v>
      </c>
      <c r="C11" s="12" t="str">
        <f>IF(OR($B11="",$B11="Duplicate ID"),"",IFERROR(VLOOKUP($A11,'Use cases'!$A$5:$C$34,3,FALSE()),""))</f>
        <v>Email and collaboration</v>
      </c>
      <c r="D11" s="13" t="s">
        <v>127</v>
      </c>
      <c r="E11" s="23" t="s">
        <v>128</v>
      </c>
      <c r="F11" s="23" t="s">
        <v>119</v>
      </c>
      <c r="G11" s="24" t="s">
        <v>115</v>
      </c>
      <c r="H11" s="24" t="s">
        <v>116</v>
      </c>
      <c r="I11" s="13" t="str">
        <f>IF(OR($B11="",$B11="Duplicate ID"),"",IFERROR(VLOOKUP($A11,'Use cases'!$A$5:$E$34,5,FALSE()),""))</f>
        <v>Progressive</v>
      </c>
      <c r="J11" s="11" t="str">
        <f>IF(OR($B11="",$B11="Duplicate ID"),"",IF(OR($F11="",$G11=""),"",IF(Policy!$B$24&lt;&gt;"OK","Config error",IFERROR(INDEX(Scales!$B$6:$B$10,1+INDEX(Policy!$C$5:$E$16,MATCH($F11&amp;"|"&amp;$G11,Policy!$G$5:$G$16,0),MATCH($I11,Policy!$C$4:$E$4,0))),"Config error"))))</f>
        <v>L4 Autonomous</v>
      </c>
      <c r="K11" s="13">
        <f>IF($H11="","",IF($F11=Scales!$B$24,"exempt",IFERROR(IF(VLOOKUP($H11,Conf_Check,3,FALSE())="valid",VLOOKUP($H11,Conf_Adjust,2,FALSE()),"n/a"),"n/a")))</f>
        <v>0</v>
      </c>
      <c r="L11" s="13">
        <f>IF(OR($J11="",$J11="Config error"),"",IF(OR($F11=Scales!$B$24,AND(ISNUMBER($K11),$K11=0)),4,IF(ISNUMBER($K11),MAX(1,MATCH($J11,Scales!$B$6:$B$10,0)-1+$K11),1)))</f>
        <v>4</v>
      </c>
      <c r="M11" s="5"/>
      <c r="N11" s="5"/>
      <c r="O11" s="8">
        <f>IF(OR($J11="",$J11="Config error",$E11="",$F11="",$G11="",$H11="",$R11=""),"",IF($M11="",MATCH($J11,Scales!$B$6:$B$10,0),IFERROR(MATCH($M11,Scales!$B$6:$B$10,0),MATCH($J11,Scales!$B$6:$B$10,0)))-1)</f>
        <v>4</v>
      </c>
      <c r="P11" s="12" t="str">
        <f>IF($J11="",IF(AND($B11&lt;&gt;"",$B11&lt;&gt;"Duplicate ID"),"Incomplete assessment",""),IF($J11="Config error","Config error",IF($O11="","Incomplete assessment",IF($M11="","As recommended",IF(ISERROR(MATCH($M11,Scales!$B$6:$B$10,0)),"Invalid choice",IF(MATCH($M11,Scales!$B$6:$B$10,0)&gt;MATCH($J11,Scales!$B$6:$B$10,0),"Above policy: needs sign-off",IF(MATCH($M11,Scales!$B$6:$B$10,0)&lt;MATCH($J11,Scales!$B$6:$B$10,0),"More cautious than policy","As recommended")))))))</f>
        <v>As recommended</v>
      </c>
      <c r="Q11" s="13">
        <f>IF(OR($O11="",Policy!$B$24&lt;&gt;"OK"),"",IFERROR(MIN($O11,INDEX(Policy!$C$5:$E$16,MATCH($F11&amp;"|"&amp;Scales!$B$33,Policy!$G$5:$G$16,0),MATCH($I11,Policy!$C$4:$E$4,0))),""))</f>
        <v>3</v>
      </c>
      <c r="R11" s="5">
        <v>2</v>
      </c>
      <c r="S11" s="13" t="str">
        <f>IF($B11="","",IF(COUNTIF('Readiness gate'!$A$7:$A$36,$A11)&lt;&gt;1,"Incomplete",IFERROR(IF(VLOOKUP($A11,GateTab,IF($F11=Scales!$B$24,11,9),FALSE())="","Incomplete",VLOOKUP($A11,GateTab,IF($F11=Scales!$B$24,11,9),FALSE())),"Incomplete")))</f>
        <v>Passed</v>
      </c>
      <c r="T11" s="8">
        <f>IF($O11="","",MIN(IF(AND($O11&gt;MATCH($J11,Scales!$B$6:$B$10,0)-1,$N11&lt;&gt;"Yes"),MATCH($J11,Scales!$B$6:$B$10,0)-1,$O11),$L11,IF($F11=Scales!$B$24,IF($S11="Passed",4,IF(NOT(ISNUMBER($R11)),0,IF(OR($R11&lt;0,$R11&gt;4,$R11&lt;&gt;INT($R11)),0,$R11))),IF(NOT(ISNUMBER($R11)),0,IF(OR($R11&lt;0,$R11&gt;4,$R11&lt;&gt;INT($R11)),0,$R11))+IF($S11="Passed",1,0)),IF(AND($F11&lt;&gt;Scales!$B$24,OR($F11=Scales!$B$27,$G11=Scales!$B$33)),3,4)))</f>
        <v>3</v>
      </c>
      <c r="U11" s="13" t="str">
        <f>IF($O11="",IF(AND($B11&lt;&gt;"",$B11&lt;&gt;"Duplicate ID"),IF($J11="Config error","Config error","Incomplete assessment"),""),IF($T11&gt;=$O11,IF(LEFT($P11,4)="More","Own choice","None"),MID(IF(AND($O11&gt;MATCH($J11,Scales!$B$6:$B$10,0)-1,$N11&lt;&gt;"Yes",$T11=MATCH($J11,Scales!$B$6:$B$10,0)-1)," + Exception not approved","")&amp;IF(AND($F11&lt;&gt;Scales!$B$24,OR($F11=Scales!$B$27,$G11=Scales!$B$33),$T11=3)," + Human-signature guardrail","")&amp;IF($T11=$L11," + Model confidence","")&amp;IF($T11=IF($F11=Scales!$B$24,IF($S11="Passed",4,IF(NOT(ISNUMBER($R11)),0,IF(OR($R11&lt;0,$R11&gt;4,$R11&lt;&gt;INT($R11)),0,$R11))),IF(NOT(ISNUMBER($R11)),0,IF(OR($R11&lt;0,$R11&gt;4,$R11&lt;&gt;INT($R11)),0,$R11))+IF($S11="Passed",1,0))," + "&amp;IF($S11&lt;&gt;"Passed","Readiness gate","Readiness gate (one level per gate)"),""),4,200)))</f>
        <v>Readiness gate (one level per gate)</v>
      </c>
      <c r="V11" s="23"/>
    </row>
    <row r="12" spans="1:22" x14ac:dyDescent="0.25">
      <c r="A12" s="8" t="s">
        <v>129</v>
      </c>
      <c r="B12" s="11" t="str">
        <f>IF($A12="","",IF(COUNTIF('Use cases'!$A$5:$A$34,$A12)&gt;1,"Duplicate ID",IFERROR(IF(VLOOKUP($A12,'Use cases'!$A$5:$B$34,2,FALSE())=0,"",VLOOKUP($A12,'Use cases'!$A$5:$B$34,2,FALSE())),"")))</f>
        <v>Malicious attachment detonation and mailbox clean-up</v>
      </c>
      <c r="C12" s="12" t="str">
        <f>IF(OR($B12="",$B12="Duplicate ID"),"",IFERROR(VLOOKUP($A12,'Use cases'!$A$5:$C$34,3,FALSE()),""))</f>
        <v>Email and collaboration</v>
      </c>
      <c r="D12" s="13" t="s">
        <v>112</v>
      </c>
      <c r="E12" s="23" t="s">
        <v>130</v>
      </c>
      <c r="F12" s="23" t="s">
        <v>114</v>
      </c>
      <c r="G12" s="24" t="s">
        <v>115</v>
      </c>
      <c r="H12" s="24" t="s">
        <v>116</v>
      </c>
      <c r="I12" s="13" t="str">
        <f>IF(OR($B12="",$B12="Duplicate ID"),"",IFERROR(VLOOKUP($A12,'Use cases'!$A$5:$E$34,5,FALSE()),""))</f>
        <v>Progressive</v>
      </c>
      <c r="J12" s="11" t="str">
        <f>IF(OR($B12="",$B12="Duplicate ID"),"",IF(OR($F12="",$G12=""),"",IF(Policy!$B$24&lt;&gt;"OK","Config error",IFERROR(INDEX(Scales!$B$6:$B$10,1+INDEX(Policy!$C$5:$E$16,MATCH($F12&amp;"|"&amp;$G12,Policy!$G$5:$G$16,0),MATCH($I12,Policy!$C$4:$E$4,0))),"Config error"))))</f>
        <v>L4 Autonomous</v>
      </c>
      <c r="K12" s="13" t="str">
        <f>IF($H12="","",IF($F12=Scales!$B$24,"exempt",IFERROR(IF(VLOOKUP($H12,Conf_Check,3,FALSE())="valid",VLOOKUP($H12,Conf_Adjust,2,FALSE()),"n/a"),"n/a")))</f>
        <v>exempt</v>
      </c>
      <c r="L12" s="13">
        <f>IF(OR($J12="",$J12="Config error"),"",IF(OR($F12=Scales!$B$24,AND(ISNUMBER($K12),$K12=0)),4,IF(ISNUMBER($K12),MAX(1,MATCH($J12,Scales!$B$6:$B$10,0)-1+$K12),1)))</f>
        <v>4</v>
      </c>
      <c r="M12" s="5"/>
      <c r="N12" s="5"/>
      <c r="O12" s="8">
        <f>IF(OR($J12="",$J12="Config error",$E12="",$F12="",$G12="",$H12="",$R12=""),"",IF($M12="",MATCH($J12,Scales!$B$6:$B$10,0),IFERROR(MATCH($M12,Scales!$B$6:$B$10,0),MATCH($J12,Scales!$B$6:$B$10,0)))-1)</f>
        <v>4</v>
      </c>
      <c r="P12" s="12" t="str">
        <f>IF($J12="",IF(AND($B12&lt;&gt;"",$B12&lt;&gt;"Duplicate ID"),"Incomplete assessment",""),IF($J12="Config error","Config error",IF($O12="","Incomplete assessment",IF($M12="","As recommended",IF(ISERROR(MATCH($M12,Scales!$B$6:$B$10,0)),"Invalid choice",IF(MATCH($M12,Scales!$B$6:$B$10,0)&gt;MATCH($J12,Scales!$B$6:$B$10,0),"Above policy: needs sign-off",IF(MATCH($M12,Scales!$B$6:$B$10,0)&lt;MATCH($J12,Scales!$B$6:$B$10,0),"More cautious than policy","As recommended")))))))</f>
        <v>As recommended</v>
      </c>
      <c r="Q12" s="13">
        <f>IF(OR($O12="",Policy!$B$24&lt;&gt;"OK"),"",IFERROR(MIN($O12,INDEX(Policy!$C$5:$E$16,MATCH($F12&amp;"|"&amp;Scales!$B$33,Policy!$G$5:$G$16,0),MATCH($I12,Policy!$C$4:$E$4,0))),""))</f>
        <v>4</v>
      </c>
      <c r="R12" s="5">
        <v>2</v>
      </c>
      <c r="S12" s="13" t="str">
        <f>IF($B12="","",IF(COUNTIF('Readiness gate'!$A$7:$A$36,$A12)&lt;&gt;1,"Incomplete",IFERROR(IF(VLOOKUP($A12,GateTab,IF($F12=Scales!$B$24,11,9),FALSE())="","Incomplete",VLOOKUP($A12,GateTab,IF($F12=Scales!$B$24,11,9),FALSE())),"Incomplete")))</f>
        <v>Passed</v>
      </c>
      <c r="T12" s="8">
        <f>IF($O12="","",MIN(IF(AND($O12&gt;MATCH($J12,Scales!$B$6:$B$10,0)-1,$N12&lt;&gt;"Yes"),MATCH($J12,Scales!$B$6:$B$10,0)-1,$O12),$L12,IF($F12=Scales!$B$24,IF($S12="Passed",4,IF(NOT(ISNUMBER($R12)),0,IF(OR($R12&lt;0,$R12&gt;4,$R12&lt;&gt;INT($R12)),0,$R12))),IF(NOT(ISNUMBER($R12)),0,IF(OR($R12&lt;0,$R12&gt;4,$R12&lt;&gt;INT($R12)),0,$R12))+IF($S12="Passed",1,0)),IF(AND($F12&lt;&gt;Scales!$B$24,OR($F12=Scales!$B$27,$G12=Scales!$B$33)),3,4)))</f>
        <v>4</v>
      </c>
      <c r="U12" s="13" t="str">
        <f>IF($O12="",IF(AND($B12&lt;&gt;"",$B12&lt;&gt;"Duplicate ID"),IF($J12="Config error","Config error","Incomplete assessment"),""),IF($T12&gt;=$O12,IF(LEFT($P12,4)="More","Own choice","None"),MID(IF(AND($O12&gt;MATCH($J12,Scales!$B$6:$B$10,0)-1,$N12&lt;&gt;"Yes",$T12=MATCH($J12,Scales!$B$6:$B$10,0)-1)," + Exception not approved","")&amp;IF(AND($F12&lt;&gt;Scales!$B$24,OR($F12=Scales!$B$27,$G12=Scales!$B$33),$T12=3)," + Human-signature guardrail","")&amp;IF($T12=$L12," + Model confidence","")&amp;IF($T12=IF($F12=Scales!$B$24,IF($S12="Passed",4,IF(NOT(ISNUMBER($R12)),0,IF(OR($R12&lt;0,$R12&gt;4,$R12&lt;&gt;INT($R12)),0,$R12))),IF(NOT(ISNUMBER($R12)),0,IF(OR($R12&lt;0,$R12&gt;4,$R12&lt;&gt;INT($R12)),0,$R12))+IF($S12="Passed",1,0))," + "&amp;IF($S12&lt;&gt;"Passed","Readiness gate","Readiness gate (one level per gate)"),""),4,200)))</f>
        <v>None</v>
      </c>
      <c r="V12" s="23"/>
    </row>
    <row r="13" spans="1:22" x14ac:dyDescent="0.25">
      <c r="A13" s="8" t="s">
        <v>129</v>
      </c>
      <c r="B13" s="11" t="str">
        <f>IF($A13="","",IF(COUNTIF('Use cases'!$A$5:$A$34,$A13)&gt;1,"Duplicate ID",IFERROR(IF(VLOOKUP($A13,'Use cases'!$A$5:$B$34,2,FALSE())=0,"",VLOOKUP($A13,'Use cases'!$A$5:$B$34,2,FALSE())),"")))</f>
        <v>Malicious attachment detonation and mailbox clean-up</v>
      </c>
      <c r="C13" s="12" t="str">
        <f>IF(OR($B13="",$B13="Duplicate ID"),"",IFERROR(VLOOKUP($A13,'Use cases'!$A$5:$C$34,3,FALSE()),""))</f>
        <v>Email and collaboration</v>
      </c>
      <c r="D13" s="13" t="s">
        <v>117</v>
      </c>
      <c r="E13" s="23" t="s">
        <v>131</v>
      </c>
      <c r="F13" s="23" t="s">
        <v>119</v>
      </c>
      <c r="G13" s="24" t="s">
        <v>115</v>
      </c>
      <c r="H13" s="24" t="s">
        <v>116</v>
      </c>
      <c r="I13" s="13" t="str">
        <f>IF(OR($B13="",$B13="Duplicate ID"),"",IFERROR(VLOOKUP($A13,'Use cases'!$A$5:$E$34,5,FALSE()),""))</f>
        <v>Progressive</v>
      </c>
      <c r="J13" s="11" t="str">
        <f>IF(OR($B13="",$B13="Duplicate ID"),"",IF(OR($F13="",$G13=""),"",IF(Policy!$B$24&lt;&gt;"OK","Config error",IFERROR(INDEX(Scales!$B$6:$B$10,1+INDEX(Policy!$C$5:$E$16,MATCH($F13&amp;"|"&amp;$G13,Policy!$G$5:$G$16,0),MATCH($I13,Policy!$C$4:$E$4,0))),"Config error"))))</f>
        <v>L4 Autonomous</v>
      </c>
      <c r="K13" s="13">
        <f>IF($H13="","",IF($F13=Scales!$B$24,"exempt",IFERROR(IF(VLOOKUP($H13,Conf_Check,3,FALSE())="valid",VLOOKUP($H13,Conf_Adjust,2,FALSE()),"n/a"),"n/a")))</f>
        <v>0</v>
      </c>
      <c r="L13" s="13">
        <f>IF(OR($J13="",$J13="Config error"),"",IF(OR($F13=Scales!$B$24,AND(ISNUMBER($K13),$K13=0)),4,IF(ISNUMBER($K13),MAX(1,MATCH($J13,Scales!$B$6:$B$10,0)-1+$K13),1)))</f>
        <v>4</v>
      </c>
      <c r="M13" s="5"/>
      <c r="N13" s="5"/>
      <c r="O13" s="8">
        <f>IF(OR($J13="",$J13="Config error",$E13="",$F13="",$G13="",$H13="",$R13=""),"",IF($M13="",MATCH($J13,Scales!$B$6:$B$10,0),IFERROR(MATCH($M13,Scales!$B$6:$B$10,0),MATCH($J13,Scales!$B$6:$B$10,0)))-1)</f>
        <v>4</v>
      </c>
      <c r="P13" s="12" t="str">
        <f>IF($J13="",IF(AND($B13&lt;&gt;"",$B13&lt;&gt;"Duplicate ID"),"Incomplete assessment",""),IF($J13="Config error","Config error",IF($O13="","Incomplete assessment",IF($M13="","As recommended",IF(ISERROR(MATCH($M13,Scales!$B$6:$B$10,0)),"Invalid choice",IF(MATCH($M13,Scales!$B$6:$B$10,0)&gt;MATCH($J13,Scales!$B$6:$B$10,0),"Above policy: needs sign-off",IF(MATCH($M13,Scales!$B$6:$B$10,0)&lt;MATCH($J13,Scales!$B$6:$B$10,0),"More cautious than policy","As recommended")))))))</f>
        <v>As recommended</v>
      </c>
      <c r="Q13" s="13">
        <f>IF(OR($O13="",Policy!$B$24&lt;&gt;"OK"),"",IFERROR(MIN($O13,INDEX(Policy!$C$5:$E$16,MATCH($F13&amp;"|"&amp;Scales!$B$33,Policy!$G$5:$G$16,0),MATCH($I13,Policy!$C$4:$E$4,0))),""))</f>
        <v>3</v>
      </c>
      <c r="R13" s="5">
        <v>1</v>
      </c>
      <c r="S13" s="13" t="str">
        <f>IF($B13="","",IF(COUNTIF('Readiness gate'!$A$7:$A$36,$A13)&lt;&gt;1,"Incomplete",IFERROR(IF(VLOOKUP($A13,GateTab,IF($F13=Scales!$B$24,11,9),FALSE())="","Incomplete",VLOOKUP($A13,GateTab,IF($F13=Scales!$B$24,11,9),FALSE())),"Incomplete")))</f>
        <v>Passed</v>
      </c>
      <c r="T13" s="8">
        <f>IF($O13="","",MIN(IF(AND($O13&gt;MATCH($J13,Scales!$B$6:$B$10,0)-1,$N13&lt;&gt;"Yes"),MATCH($J13,Scales!$B$6:$B$10,0)-1,$O13),$L13,IF($F13=Scales!$B$24,IF($S13="Passed",4,IF(NOT(ISNUMBER($R13)),0,IF(OR($R13&lt;0,$R13&gt;4,$R13&lt;&gt;INT($R13)),0,$R13))),IF(NOT(ISNUMBER($R13)),0,IF(OR($R13&lt;0,$R13&gt;4,$R13&lt;&gt;INT($R13)),0,$R13))+IF($S13="Passed",1,0)),IF(AND($F13&lt;&gt;Scales!$B$24,OR($F13=Scales!$B$27,$G13=Scales!$B$33)),3,4)))</f>
        <v>2</v>
      </c>
      <c r="U13" s="13" t="str">
        <f>IF($O13="",IF(AND($B13&lt;&gt;"",$B13&lt;&gt;"Duplicate ID"),IF($J13="Config error","Config error","Incomplete assessment"),""),IF($T13&gt;=$O13,IF(LEFT($P13,4)="More","Own choice","None"),MID(IF(AND($O13&gt;MATCH($J13,Scales!$B$6:$B$10,0)-1,$N13&lt;&gt;"Yes",$T13=MATCH($J13,Scales!$B$6:$B$10,0)-1)," + Exception not approved","")&amp;IF(AND($F13&lt;&gt;Scales!$B$24,OR($F13=Scales!$B$27,$G13=Scales!$B$33),$T13=3)," + Human-signature guardrail","")&amp;IF($T13=$L13," + Model confidence","")&amp;IF($T13=IF($F13=Scales!$B$24,IF($S13="Passed",4,IF(NOT(ISNUMBER($R13)),0,IF(OR($R13&lt;0,$R13&gt;4,$R13&lt;&gt;INT($R13)),0,$R13))),IF(NOT(ISNUMBER($R13)),0,IF(OR($R13&lt;0,$R13&gt;4,$R13&lt;&gt;INT($R13)),0,$R13))+IF($S13="Passed",1,0))," + "&amp;IF($S13&lt;&gt;"Passed","Readiness gate","Readiness gate (one level per gate)"),""),4,200)))</f>
        <v>Readiness gate (one level per gate)</v>
      </c>
      <c r="V13" s="23"/>
    </row>
    <row r="14" spans="1:22" x14ac:dyDescent="0.25">
      <c r="A14" s="8" t="s">
        <v>129</v>
      </c>
      <c r="B14" s="11" t="str">
        <f>IF($A14="","",IF(COUNTIF('Use cases'!$A$5:$A$34,$A14)&gt;1,"Duplicate ID",IFERROR(IF(VLOOKUP($A14,'Use cases'!$A$5:$B$34,2,FALSE())=0,"",VLOOKUP($A14,'Use cases'!$A$5:$B$34,2,FALSE())),"")))</f>
        <v>Malicious attachment detonation and mailbox clean-up</v>
      </c>
      <c r="C14" s="12" t="str">
        <f>IF(OR($B14="",$B14="Duplicate ID"),"",IFERROR(VLOOKUP($A14,'Use cases'!$A$5:$C$34,3,FALSE()),""))</f>
        <v>Email and collaboration</v>
      </c>
      <c r="D14" s="13" t="s">
        <v>120</v>
      </c>
      <c r="E14" s="23" t="s">
        <v>132</v>
      </c>
      <c r="F14" s="23" t="s">
        <v>119</v>
      </c>
      <c r="G14" s="24" t="s">
        <v>122</v>
      </c>
      <c r="H14" s="24" t="s">
        <v>116</v>
      </c>
      <c r="I14" s="13" t="str">
        <f>IF(OR($B14="",$B14="Duplicate ID"),"",IFERROR(VLOOKUP($A14,'Use cases'!$A$5:$E$34,5,FALSE()),""))</f>
        <v>Progressive</v>
      </c>
      <c r="J14" s="11" t="str">
        <f>IF(OR($B14="",$B14="Duplicate ID"),"",IF(OR($F14="",$G14=""),"",IF(Policy!$B$24&lt;&gt;"OK","Config error",IFERROR(INDEX(Scales!$B$6:$B$10,1+INDEX(Policy!$C$5:$E$16,MATCH($F14&amp;"|"&amp;$G14,Policy!$G$5:$G$16,0),MATCH($I14,Policy!$C$4:$E$4,0))),"Config error"))))</f>
        <v>L4 Autonomous</v>
      </c>
      <c r="K14" s="13">
        <f>IF($H14="","",IF($F14=Scales!$B$24,"exempt",IFERROR(IF(VLOOKUP($H14,Conf_Check,3,FALSE())="valid",VLOOKUP($H14,Conf_Adjust,2,FALSE()),"n/a"),"n/a")))</f>
        <v>0</v>
      </c>
      <c r="L14" s="13">
        <f>IF(OR($J14="",$J14="Config error"),"",IF(OR($F14=Scales!$B$24,AND(ISNUMBER($K14),$K14=0)),4,IF(ISNUMBER($K14),MAX(1,MATCH($J14,Scales!$B$6:$B$10,0)-1+$K14),1)))</f>
        <v>4</v>
      </c>
      <c r="M14" s="5"/>
      <c r="N14" s="5"/>
      <c r="O14" s="8">
        <f>IF(OR($J14="",$J14="Config error",$E14="",$F14="",$G14="",$H14="",$R14=""),"",IF($M14="",MATCH($J14,Scales!$B$6:$B$10,0),IFERROR(MATCH($M14,Scales!$B$6:$B$10,0),MATCH($J14,Scales!$B$6:$B$10,0)))-1)</f>
        <v>4</v>
      </c>
      <c r="P14" s="12" t="str">
        <f>IF($J14="",IF(AND($B14&lt;&gt;"",$B14&lt;&gt;"Duplicate ID"),"Incomplete assessment",""),IF($J14="Config error","Config error",IF($O14="","Incomplete assessment",IF($M14="","As recommended",IF(ISERROR(MATCH($M14,Scales!$B$6:$B$10,0)),"Invalid choice",IF(MATCH($M14,Scales!$B$6:$B$10,0)&gt;MATCH($J14,Scales!$B$6:$B$10,0),"Above policy: needs sign-off",IF(MATCH($M14,Scales!$B$6:$B$10,0)&lt;MATCH($J14,Scales!$B$6:$B$10,0),"More cautious than policy","As recommended")))))))</f>
        <v>As recommended</v>
      </c>
      <c r="Q14" s="13">
        <f>IF(OR($O14="",Policy!$B$24&lt;&gt;"OK"),"",IFERROR(MIN($O14,INDEX(Policy!$C$5:$E$16,MATCH($F14&amp;"|"&amp;Scales!$B$33,Policy!$G$5:$G$16,0),MATCH($I14,Policy!$C$4:$E$4,0))),""))</f>
        <v>3</v>
      </c>
      <c r="R14" s="5">
        <v>2</v>
      </c>
      <c r="S14" s="13" t="str">
        <f>IF($B14="","",IF(COUNTIF('Readiness gate'!$A$7:$A$36,$A14)&lt;&gt;1,"Incomplete",IFERROR(IF(VLOOKUP($A14,GateTab,IF($F14=Scales!$B$24,11,9),FALSE())="","Incomplete",VLOOKUP($A14,GateTab,IF($F14=Scales!$B$24,11,9),FALSE())),"Incomplete")))</f>
        <v>Passed</v>
      </c>
      <c r="T14" s="8">
        <f>IF($O14="","",MIN(IF(AND($O14&gt;MATCH($J14,Scales!$B$6:$B$10,0)-1,$N14&lt;&gt;"Yes"),MATCH($J14,Scales!$B$6:$B$10,0)-1,$O14),$L14,IF($F14=Scales!$B$24,IF($S14="Passed",4,IF(NOT(ISNUMBER($R14)),0,IF(OR($R14&lt;0,$R14&gt;4,$R14&lt;&gt;INT($R14)),0,$R14))),IF(NOT(ISNUMBER($R14)),0,IF(OR($R14&lt;0,$R14&gt;4,$R14&lt;&gt;INT($R14)),0,$R14))+IF($S14="Passed",1,0)),IF(AND($F14&lt;&gt;Scales!$B$24,OR($F14=Scales!$B$27,$G14=Scales!$B$33)),3,4)))</f>
        <v>3</v>
      </c>
      <c r="U14" s="13" t="str">
        <f>IF($O14="",IF(AND($B14&lt;&gt;"",$B14&lt;&gt;"Duplicate ID"),IF($J14="Config error","Config error","Incomplete assessment"),""),IF($T14&gt;=$O14,IF(LEFT($P14,4)="More","Own choice","None"),MID(IF(AND($O14&gt;MATCH($J14,Scales!$B$6:$B$10,0)-1,$N14&lt;&gt;"Yes",$T14=MATCH($J14,Scales!$B$6:$B$10,0)-1)," + Exception not approved","")&amp;IF(AND($F14&lt;&gt;Scales!$B$24,OR($F14=Scales!$B$27,$G14=Scales!$B$33),$T14=3)," + Human-signature guardrail","")&amp;IF($T14=$L14," + Model confidence","")&amp;IF($T14=IF($F14=Scales!$B$24,IF($S14="Passed",4,IF(NOT(ISNUMBER($R14)),0,IF(OR($R14&lt;0,$R14&gt;4,$R14&lt;&gt;INT($R14)),0,$R14))),IF(NOT(ISNUMBER($R14)),0,IF(OR($R14&lt;0,$R14&gt;4,$R14&lt;&gt;INT($R14)),0,$R14))+IF($S14="Passed",1,0))," + "&amp;IF($S14&lt;&gt;"Passed","Readiness gate","Readiness gate (one level per gate)"),""),4,200)))</f>
        <v>Readiness gate (one level per gate)</v>
      </c>
      <c r="V14" s="23"/>
    </row>
    <row r="15" spans="1:22" x14ac:dyDescent="0.25">
      <c r="A15" s="8" t="s">
        <v>129</v>
      </c>
      <c r="B15" s="11" t="str">
        <f>IF($A15="","",IF(COUNTIF('Use cases'!$A$5:$A$34,$A15)&gt;1,"Duplicate ID",IFERROR(IF(VLOOKUP($A15,'Use cases'!$A$5:$B$34,2,FALSE())=0,"",VLOOKUP($A15,'Use cases'!$A$5:$B$34,2,FALSE())),"")))</f>
        <v>Malicious attachment detonation and mailbox clean-up</v>
      </c>
      <c r="C15" s="12" t="str">
        <f>IF(OR($B15="",$B15="Duplicate ID"),"",IFERROR(VLOOKUP($A15,'Use cases'!$A$5:$C$34,3,FALSE()),""))</f>
        <v>Email and collaboration</v>
      </c>
      <c r="D15" s="13" t="s">
        <v>123</v>
      </c>
      <c r="E15" s="23" t="s">
        <v>133</v>
      </c>
      <c r="F15" s="23" t="s">
        <v>134</v>
      </c>
      <c r="G15" s="24" t="s">
        <v>122</v>
      </c>
      <c r="H15" s="24" t="s">
        <v>122</v>
      </c>
      <c r="I15" s="13" t="str">
        <f>IF(OR($B15="",$B15="Duplicate ID"),"",IFERROR(VLOOKUP($A15,'Use cases'!$A$5:$E$34,5,FALSE()),""))</f>
        <v>Progressive</v>
      </c>
      <c r="J15" s="11" t="str">
        <f>IF(OR($B15="",$B15="Duplicate ID"),"",IF(OR($F15="",$G15=""),"",IF(Policy!$B$24&lt;&gt;"OK","Config error",IFERROR(INDEX(Scales!$B$6:$B$10,1+INDEX(Policy!$C$5:$E$16,MATCH($F15&amp;"|"&amp;$G15,Policy!$G$5:$G$16,0),MATCH($I15,Policy!$C$4:$E$4,0))),"Config error"))))</f>
        <v>L3 Human-approved</v>
      </c>
      <c r="K15" s="13">
        <f>IF($H15="","",IF($F15=Scales!$B$24,"exempt",IFERROR(IF(VLOOKUP($H15,Conf_Check,3,FALSE())="valid",VLOOKUP($H15,Conf_Adjust,2,FALSE()),"n/a"),"n/a")))</f>
        <v>-1</v>
      </c>
      <c r="L15" s="13">
        <f>IF(OR($J15="",$J15="Config error"),"",IF(OR($F15=Scales!$B$24,AND(ISNUMBER($K15),$K15=0)),4,IF(ISNUMBER($K15),MAX(1,MATCH($J15,Scales!$B$6:$B$10,0)-1+$K15),1)))</f>
        <v>2</v>
      </c>
      <c r="M15" s="5"/>
      <c r="N15" s="5"/>
      <c r="O15" s="8">
        <f>IF(OR($J15="",$J15="Config error",$E15="",$F15="",$G15="",$H15="",$R15=""),"",IF($M15="",MATCH($J15,Scales!$B$6:$B$10,0),IFERROR(MATCH($M15,Scales!$B$6:$B$10,0),MATCH($J15,Scales!$B$6:$B$10,0)))-1)</f>
        <v>3</v>
      </c>
      <c r="P15" s="12" t="str">
        <f>IF($J15="",IF(AND($B15&lt;&gt;"",$B15&lt;&gt;"Duplicate ID"),"Incomplete assessment",""),IF($J15="Config error","Config error",IF($O15="","Incomplete assessment",IF($M15="","As recommended",IF(ISERROR(MATCH($M15,Scales!$B$6:$B$10,0)),"Invalid choice",IF(MATCH($M15,Scales!$B$6:$B$10,0)&gt;MATCH($J15,Scales!$B$6:$B$10,0),"Above policy: needs sign-off",IF(MATCH($M15,Scales!$B$6:$B$10,0)&lt;MATCH($J15,Scales!$B$6:$B$10,0),"More cautious than policy","As recommended")))))))</f>
        <v>As recommended</v>
      </c>
      <c r="Q15" s="13">
        <f>IF(OR($O15="",Policy!$B$24&lt;&gt;"OK"),"",IFERROR(MIN($O15,INDEX(Policy!$C$5:$E$16,MATCH($F15&amp;"|"&amp;Scales!$B$33,Policy!$G$5:$G$16,0),MATCH($I15,Policy!$C$4:$E$4,0))),""))</f>
        <v>3</v>
      </c>
      <c r="R15" s="5">
        <v>1</v>
      </c>
      <c r="S15" s="13" t="str">
        <f>IF($B15="","",IF(COUNTIF('Readiness gate'!$A$7:$A$36,$A15)&lt;&gt;1,"Incomplete",IFERROR(IF(VLOOKUP($A15,GateTab,IF($F15=Scales!$B$24,11,9),FALSE())="","Incomplete",VLOOKUP($A15,GateTab,IF($F15=Scales!$B$24,11,9),FALSE())),"Incomplete")))</f>
        <v>Passed</v>
      </c>
      <c r="T15" s="8">
        <f>IF($O15="","",MIN(IF(AND($O15&gt;MATCH($J15,Scales!$B$6:$B$10,0)-1,$N15&lt;&gt;"Yes"),MATCH($J15,Scales!$B$6:$B$10,0)-1,$O15),$L15,IF($F15=Scales!$B$24,IF($S15="Passed",4,IF(NOT(ISNUMBER($R15)),0,IF(OR($R15&lt;0,$R15&gt;4,$R15&lt;&gt;INT($R15)),0,$R15))),IF(NOT(ISNUMBER($R15)),0,IF(OR($R15&lt;0,$R15&gt;4,$R15&lt;&gt;INT($R15)),0,$R15))+IF($S15="Passed",1,0)),IF(AND($F15&lt;&gt;Scales!$B$24,OR($F15=Scales!$B$27,$G15=Scales!$B$33)),3,4)))</f>
        <v>2</v>
      </c>
      <c r="U15" s="13" t="str">
        <f>IF($O15="",IF(AND($B15&lt;&gt;"",$B15&lt;&gt;"Duplicate ID"),IF($J15="Config error","Config error","Incomplete assessment"),""),IF($T15&gt;=$O15,IF(LEFT($P15,4)="More","Own choice","None"),MID(IF(AND($O15&gt;MATCH($J15,Scales!$B$6:$B$10,0)-1,$N15&lt;&gt;"Yes",$T15=MATCH($J15,Scales!$B$6:$B$10,0)-1)," + Exception not approved","")&amp;IF(AND($F15&lt;&gt;Scales!$B$24,OR($F15=Scales!$B$27,$G15=Scales!$B$33),$T15=3)," + Human-signature guardrail","")&amp;IF($T15=$L15," + Model confidence","")&amp;IF($T15=IF($F15=Scales!$B$24,IF($S15="Passed",4,IF(NOT(ISNUMBER($R15)),0,IF(OR($R15&lt;0,$R15&gt;4,$R15&lt;&gt;INT($R15)),0,$R15))),IF(NOT(ISNUMBER($R15)),0,IF(OR($R15&lt;0,$R15&gt;4,$R15&lt;&gt;INT($R15)),0,$R15))+IF($S15="Passed",1,0))," + "&amp;IF($S15&lt;&gt;"Passed","Readiness gate","Readiness gate (one level per gate)"),""),4,200)))</f>
        <v>Model confidence + Readiness gate (one level per gate)</v>
      </c>
      <c r="V15" s="23"/>
    </row>
    <row r="16" spans="1:22" x14ac:dyDescent="0.25">
      <c r="A16" s="8" t="s">
        <v>129</v>
      </c>
      <c r="B16" s="11" t="str">
        <f>IF($A16="","",IF(COUNTIF('Use cases'!$A$5:$A$34,$A16)&gt;1,"Duplicate ID",IFERROR(IF(VLOOKUP($A16,'Use cases'!$A$5:$B$34,2,FALSE())=0,"",VLOOKUP($A16,'Use cases'!$A$5:$B$34,2,FALSE())),"")))</f>
        <v>Malicious attachment detonation and mailbox clean-up</v>
      </c>
      <c r="C16" s="12" t="str">
        <f>IF(OR($B16="",$B16="Duplicate ID"),"",IFERROR(VLOOKUP($A16,'Use cases'!$A$5:$C$34,3,FALSE()),""))</f>
        <v>Email and collaboration</v>
      </c>
      <c r="D16" s="13" t="s">
        <v>125</v>
      </c>
      <c r="E16" s="23" t="s">
        <v>135</v>
      </c>
      <c r="F16" s="23" t="s">
        <v>119</v>
      </c>
      <c r="G16" s="24" t="s">
        <v>115</v>
      </c>
      <c r="H16" s="24" t="s">
        <v>122</v>
      </c>
      <c r="I16" s="13" t="str">
        <f>IF(OR($B16="",$B16="Duplicate ID"),"",IFERROR(VLOOKUP($A16,'Use cases'!$A$5:$E$34,5,FALSE()),""))</f>
        <v>Progressive</v>
      </c>
      <c r="J16" s="11" t="str">
        <f>IF(OR($B16="",$B16="Duplicate ID"),"",IF(OR($F16="",$G16=""),"",IF(Policy!$B$24&lt;&gt;"OK","Config error",IFERROR(INDEX(Scales!$B$6:$B$10,1+INDEX(Policy!$C$5:$E$16,MATCH($F16&amp;"|"&amp;$G16,Policy!$G$5:$G$16,0),MATCH($I16,Policy!$C$4:$E$4,0))),"Config error"))))</f>
        <v>L4 Autonomous</v>
      </c>
      <c r="K16" s="13">
        <f>IF($H16="","",IF($F16=Scales!$B$24,"exempt",IFERROR(IF(VLOOKUP($H16,Conf_Check,3,FALSE())="valid",VLOOKUP($H16,Conf_Adjust,2,FALSE()),"n/a"),"n/a")))</f>
        <v>-1</v>
      </c>
      <c r="L16" s="13">
        <f>IF(OR($J16="",$J16="Config error"),"",IF(OR($F16=Scales!$B$24,AND(ISNUMBER($K16),$K16=0)),4,IF(ISNUMBER($K16),MAX(1,MATCH($J16,Scales!$B$6:$B$10,0)-1+$K16),1)))</f>
        <v>3</v>
      </c>
      <c r="M16" s="5"/>
      <c r="N16" s="5"/>
      <c r="O16" s="8">
        <f>IF(OR($J16="",$J16="Config error",$E16="",$F16="",$G16="",$H16="",$R16=""),"",IF($M16="",MATCH($J16,Scales!$B$6:$B$10,0),IFERROR(MATCH($M16,Scales!$B$6:$B$10,0),MATCH($J16,Scales!$B$6:$B$10,0)))-1)</f>
        <v>4</v>
      </c>
      <c r="P16" s="12" t="str">
        <f>IF($J16="",IF(AND($B16&lt;&gt;"",$B16&lt;&gt;"Duplicate ID"),"Incomplete assessment",""),IF($J16="Config error","Config error",IF($O16="","Incomplete assessment",IF($M16="","As recommended",IF(ISERROR(MATCH($M16,Scales!$B$6:$B$10,0)),"Invalid choice",IF(MATCH($M16,Scales!$B$6:$B$10,0)&gt;MATCH($J16,Scales!$B$6:$B$10,0),"Above policy: needs sign-off",IF(MATCH($M16,Scales!$B$6:$B$10,0)&lt;MATCH($J16,Scales!$B$6:$B$10,0),"More cautious than policy","As recommended")))))))</f>
        <v>As recommended</v>
      </c>
      <c r="Q16" s="13">
        <f>IF(OR($O16="",Policy!$B$24&lt;&gt;"OK"),"",IFERROR(MIN($O16,INDEX(Policy!$C$5:$E$16,MATCH($F16&amp;"|"&amp;Scales!$B$33,Policy!$G$5:$G$16,0),MATCH($I16,Policy!$C$4:$E$4,0))),""))</f>
        <v>3</v>
      </c>
      <c r="R16" s="5">
        <v>1</v>
      </c>
      <c r="S16" s="13" t="str">
        <f>IF($B16="","",IF(COUNTIF('Readiness gate'!$A$7:$A$36,$A16)&lt;&gt;1,"Incomplete",IFERROR(IF(VLOOKUP($A16,GateTab,IF($F16=Scales!$B$24,11,9),FALSE())="","Incomplete",VLOOKUP($A16,GateTab,IF($F16=Scales!$B$24,11,9),FALSE())),"Incomplete")))</f>
        <v>Passed</v>
      </c>
      <c r="T16" s="8">
        <f>IF($O16="","",MIN(IF(AND($O16&gt;MATCH($J16,Scales!$B$6:$B$10,0)-1,$N16&lt;&gt;"Yes"),MATCH($J16,Scales!$B$6:$B$10,0)-1,$O16),$L16,IF($F16=Scales!$B$24,IF($S16="Passed",4,IF(NOT(ISNUMBER($R16)),0,IF(OR($R16&lt;0,$R16&gt;4,$R16&lt;&gt;INT($R16)),0,$R16))),IF(NOT(ISNUMBER($R16)),0,IF(OR($R16&lt;0,$R16&gt;4,$R16&lt;&gt;INT($R16)),0,$R16))+IF($S16="Passed",1,0)),IF(AND($F16&lt;&gt;Scales!$B$24,OR($F16=Scales!$B$27,$G16=Scales!$B$33)),3,4)))</f>
        <v>2</v>
      </c>
      <c r="U16" s="13" t="str">
        <f>IF($O16="",IF(AND($B16&lt;&gt;"",$B16&lt;&gt;"Duplicate ID"),IF($J16="Config error","Config error","Incomplete assessment"),""),IF($T16&gt;=$O16,IF(LEFT($P16,4)="More","Own choice","None"),MID(IF(AND($O16&gt;MATCH($J16,Scales!$B$6:$B$10,0)-1,$N16&lt;&gt;"Yes",$T16=MATCH($J16,Scales!$B$6:$B$10,0)-1)," + Exception not approved","")&amp;IF(AND($F16&lt;&gt;Scales!$B$24,OR($F16=Scales!$B$27,$G16=Scales!$B$33),$T16=3)," + Human-signature guardrail","")&amp;IF($T16=$L16," + Model confidence","")&amp;IF($T16=IF($F16=Scales!$B$24,IF($S16="Passed",4,IF(NOT(ISNUMBER($R16)),0,IF(OR($R16&lt;0,$R16&gt;4,$R16&lt;&gt;INT($R16)),0,$R16))),IF(NOT(ISNUMBER($R16)),0,IF(OR($R16&lt;0,$R16&gt;4,$R16&lt;&gt;INT($R16)),0,$R16))+IF($S16="Passed",1,0))," + "&amp;IF($S16&lt;&gt;"Passed","Readiness gate","Readiness gate (one level per gate)"),""),4,200)))</f>
        <v>Readiness gate (one level per gate)</v>
      </c>
      <c r="V16" s="23"/>
    </row>
    <row r="17" spans="1:22" x14ac:dyDescent="0.25">
      <c r="A17" s="8" t="s">
        <v>129</v>
      </c>
      <c r="B17" s="11" t="str">
        <f>IF($A17="","",IF(COUNTIF('Use cases'!$A$5:$A$34,$A17)&gt;1,"Duplicate ID",IFERROR(IF(VLOOKUP($A17,'Use cases'!$A$5:$B$34,2,FALSE())=0,"",VLOOKUP($A17,'Use cases'!$A$5:$B$34,2,FALSE())),"")))</f>
        <v>Malicious attachment detonation and mailbox clean-up</v>
      </c>
      <c r="C17" s="12" t="str">
        <f>IF(OR($B17="",$B17="Duplicate ID"),"",IFERROR(VLOOKUP($A17,'Use cases'!$A$5:$C$34,3,FALSE()),""))</f>
        <v>Email and collaboration</v>
      </c>
      <c r="D17" s="13" t="s">
        <v>127</v>
      </c>
      <c r="E17" s="23" t="s">
        <v>136</v>
      </c>
      <c r="F17" s="23" t="s">
        <v>119</v>
      </c>
      <c r="G17" s="24" t="s">
        <v>115</v>
      </c>
      <c r="H17" s="24" t="s">
        <v>116</v>
      </c>
      <c r="I17" s="13" t="str">
        <f>IF(OR($B17="",$B17="Duplicate ID"),"",IFERROR(VLOOKUP($A17,'Use cases'!$A$5:$E$34,5,FALSE()),""))</f>
        <v>Progressive</v>
      </c>
      <c r="J17" s="11" t="str">
        <f>IF(OR($B17="",$B17="Duplicate ID"),"",IF(OR($F17="",$G17=""),"",IF(Policy!$B$24&lt;&gt;"OK","Config error",IFERROR(INDEX(Scales!$B$6:$B$10,1+INDEX(Policy!$C$5:$E$16,MATCH($F17&amp;"|"&amp;$G17,Policy!$G$5:$G$16,0),MATCH($I17,Policy!$C$4:$E$4,0))),"Config error"))))</f>
        <v>L4 Autonomous</v>
      </c>
      <c r="K17" s="13">
        <f>IF($H17="","",IF($F17=Scales!$B$24,"exempt",IFERROR(IF(VLOOKUP($H17,Conf_Check,3,FALSE())="valid",VLOOKUP($H17,Conf_Adjust,2,FALSE()),"n/a"),"n/a")))</f>
        <v>0</v>
      </c>
      <c r="L17" s="13">
        <f>IF(OR($J17="",$J17="Config error"),"",IF(OR($F17=Scales!$B$24,AND(ISNUMBER($K17),$K17=0)),4,IF(ISNUMBER($K17),MAX(1,MATCH($J17,Scales!$B$6:$B$10,0)-1+$K17),1)))</f>
        <v>4</v>
      </c>
      <c r="M17" s="5"/>
      <c r="N17" s="5"/>
      <c r="O17" s="8">
        <f>IF(OR($J17="",$J17="Config error",$E17="",$F17="",$G17="",$H17="",$R17=""),"",IF($M17="",MATCH($J17,Scales!$B$6:$B$10,0),IFERROR(MATCH($M17,Scales!$B$6:$B$10,0),MATCH($J17,Scales!$B$6:$B$10,0)))-1)</f>
        <v>4</v>
      </c>
      <c r="P17" s="12" t="str">
        <f>IF($J17="",IF(AND($B17&lt;&gt;"",$B17&lt;&gt;"Duplicate ID"),"Incomplete assessment",""),IF($J17="Config error","Config error",IF($O17="","Incomplete assessment",IF($M17="","As recommended",IF(ISERROR(MATCH($M17,Scales!$B$6:$B$10,0)),"Invalid choice",IF(MATCH($M17,Scales!$B$6:$B$10,0)&gt;MATCH($J17,Scales!$B$6:$B$10,0),"Above policy: needs sign-off",IF(MATCH($M17,Scales!$B$6:$B$10,0)&lt;MATCH($J17,Scales!$B$6:$B$10,0),"More cautious than policy","As recommended")))))))</f>
        <v>As recommended</v>
      </c>
      <c r="Q17" s="13">
        <f>IF(OR($O17="",Policy!$B$24&lt;&gt;"OK"),"",IFERROR(MIN($O17,INDEX(Policy!$C$5:$E$16,MATCH($F17&amp;"|"&amp;Scales!$B$33,Policy!$G$5:$G$16,0),MATCH($I17,Policy!$C$4:$E$4,0))),""))</f>
        <v>3</v>
      </c>
      <c r="R17" s="5">
        <v>1</v>
      </c>
      <c r="S17" s="13" t="str">
        <f>IF($B17="","",IF(COUNTIF('Readiness gate'!$A$7:$A$36,$A17)&lt;&gt;1,"Incomplete",IFERROR(IF(VLOOKUP($A17,GateTab,IF($F17=Scales!$B$24,11,9),FALSE())="","Incomplete",VLOOKUP($A17,GateTab,IF($F17=Scales!$B$24,11,9),FALSE())),"Incomplete")))</f>
        <v>Passed</v>
      </c>
      <c r="T17" s="8">
        <f>IF($O17="","",MIN(IF(AND($O17&gt;MATCH($J17,Scales!$B$6:$B$10,0)-1,$N17&lt;&gt;"Yes"),MATCH($J17,Scales!$B$6:$B$10,0)-1,$O17),$L17,IF($F17=Scales!$B$24,IF($S17="Passed",4,IF(NOT(ISNUMBER($R17)),0,IF(OR($R17&lt;0,$R17&gt;4,$R17&lt;&gt;INT($R17)),0,$R17))),IF(NOT(ISNUMBER($R17)),0,IF(OR($R17&lt;0,$R17&gt;4,$R17&lt;&gt;INT($R17)),0,$R17))+IF($S17="Passed",1,0)),IF(AND($F17&lt;&gt;Scales!$B$24,OR($F17=Scales!$B$27,$G17=Scales!$B$33)),3,4)))</f>
        <v>2</v>
      </c>
      <c r="U17" s="13" t="str">
        <f>IF($O17="",IF(AND($B17&lt;&gt;"",$B17&lt;&gt;"Duplicate ID"),IF($J17="Config error","Config error","Incomplete assessment"),""),IF($T17&gt;=$O17,IF(LEFT($P17,4)="More","Own choice","None"),MID(IF(AND($O17&gt;MATCH($J17,Scales!$B$6:$B$10,0)-1,$N17&lt;&gt;"Yes",$T17=MATCH($J17,Scales!$B$6:$B$10,0)-1)," + Exception not approved","")&amp;IF(AND($F17&lt;&gt;Scales!$B$24,OR($F17=Scales!$B$27,$G17=Scales!$B$33),$T17=3)," + Human-signature guardrail","")&amp;IF($T17=$L17," + Model confidence","")&amp;IF($T17=IF($F17=Scales!$B$24,IF($S17="Passed",4,IF(NOT(ISNUMBER($R17)),0,IF(OR($R17&lt;0,$R17&gt;4,$R17&lt;&gt;INT($R17)),0,$R17))),IF(NOT(ISNUMBER($R17)),0,IF(OR($R17&lt;0,$R17&gt;4,$R17&lt;&gt;INT($R17)),0,$R17))+IF($S17="Passed",1,0))," + "&amp;IF($S17&lt;&gt;"Passed","Readiness gate","Readiness gate (one level per gate)"),""),4,200)))</f>
        <v>Readiness gate (one level per gate)</v>
      </c>
      <c r="V17" s="23"/>
    </row>
    <row r="18" spans="1:22" x14ac:dyDescent="0.25">
      <c r="A18" s="8" t="s">
        <v>137</v>
      </c>
      <c r="B18" s="11" t="str">
        <f>IF($A18="","",IF(COUNTIF('Use cases'!$A$5:$A$34,$A18)&gt;1,"Duplicate ID",IFERROR(IF(VLOOKUP($A18,'Use cases'!$A$5:$B$34,2,FALSE())=0,"",VLOOKUP($A18,'Use cases'!$A$5:$B$34,2,FALSE())),"")))</f>
        <v>OAuth consent abuse</v>
      </c>
      <c r="C18" s="12" t="str">
        <f>IF(OR($B18="",$B18="Duplicate ID"),"",IFERROR(VLOOKUP($A18,'Use cases'!$A$5:$C$34,3,FALSE()),""))</f>
        <v>Identity</v>
      </c>
      <c r="D18" s="13" t="s">
        <v>112</v>
      </c>
      <c r="E18" s="23" t="s">
        <v>138</v>
      </c>
      <c r="F18" s="23" t="s">
        <v>114</v>
      </c>
      <c r="G18" s="24" t="s">
        <v>115</v>
      </c>
      <c r="H18" s="24" t="s">
        <v>116</v>
      </c>
      <c r="I18" s="13" t="str">
        <f>IF(OR($B18="",$B18="Duplicate ID"),"",IFERROR(VLOOKUP($A18,'Use cases'!$A$5:$E$34,5,FALSE()),""))</f>
        <v>Progressive</v>
      </c>
      <c r="J18" s="11" t="str">
        <f>IF(OR($B18="",$B18="Duplicate ID"),"",IF(OR($F18="",$G18=""),"",IF(Policy!$B$24&lt;&gt;"OK","Config error",IFERROR(INDEX(Scales!$B$6:$B$10,1+INDEX(Policy!$C$5:$E$16,MATCH($F18&amp;"|"&amp;$G18,Policy!$G$5:$G$16,0),MATCH($I18,Policy!$C$4:$E$4,0))),"Config error"))))</f>
        <v>L4 Autonomous</v>
      </c>
      <c r="K18" s="13" t="str">
        <f>IF($H18="","",IF($F18=Scales!$B$24,"exempt",IFERROR(IF(VLOOKUP($H18,Conf_Check,3,FALSE())="valid",VLOOKUP($H18,Conf_Adjust,2,FALSE()),"n/a"),"n/a")))</f>
        <v>exempt</v>
      </c>
      <c r="L18" s="13">
        <f>IF(OR($J18="",$J18="Config error"),"",IF(OR($F18=Scales!$B$24,AND(ISNUMBER($K18),$K18=0)),4,IF(ISNUMBER($K18),MAX(1,MATCH($J18,Scales!$B$6:$B$10,0)-1+$K18),1)))</f>
        <v>4</v>
      </c>
      <c r="M18" s="5"/>
      <c r="N18" s="5"/>
      <c r="O18" s="8">
        <f>IF(OR($J18="",$J18="Config error",$E18="",$F18="",$G18="",$H18="",$R18=""),"",IF($M18="",MATCH($J18,Scales!$B$6:$B$10,0),IFERROR(MATCH($M18,Scales!$B$6:$B$10,0),MATCH($J18,Scales!$B$6:$B$10,0)))-1)</f>
        <v>4</v>
      </c>
      <c r="P18" s="12" t="str">
        <f>IF($J18="",IF(AND($B18&lt;&gt;"",$B18&lt;&gt;"Duplicate ID"),"Incomplete assessment",""),IF($J18="Config error","Config error",IF($O18="","Incomplete assessment",IF($M18="","As recommended",IF(ISERROR(MATCH($M18,Scales!$B$6:$B$10,0)),"Invalid choice",IF(MATCH($M18,Scales!$B$6:$B$10,0)&gt;MATCH($J18,Scales!$B$6:$B$10,0),"Above policy: needs sign-off",IF(MATCH($M18,Scales!$B$6:$B$10,0)&lt;MATCH($J18,Scales!$B$6:$B$10,0),"More cautious than policy","As recommended")))))))</f>
        <v>As recommended</v>
      </c>
      <c r="Q18" s="13">
        <f>IF(OR($O18="",Policy!$B$24&lt;&gt;"OK"),"",IFERROR(MIN($O18,INDEX(Policy!$C$5:$E$16,MATCH($F18&amp;"|"&amp;Scales!$B$33,Policy!$G$5:$G$16,0),MATCH($I18,Policy!$C$4:$E$4,0))),""))</f>
        <v>4</v>
      </c>
      <c r="R18" s="5">
        <v>1</v>
      </c>
      <c r="S18" s="13" t="str">
        <f>IF($B18="","",IF(COUNTIF('Readiness gate'!$A$7:$A$36,$A18)&lt;&gt;1,"Incomplete",IFERROR(IF(VLOOKUP($A18,GateTab,IF($F18=Scales!$B$24,11,9),FALSE())="","Incomplete",VLOOKUP($A18,GateTab,IF($F18=Scales!$B$24,11,9),FALSE())),"Incomplete")))</f>
        <v>Passed</v>
      </c>
      <c r="T18" s="8">
        <f>IF($O18="","",MIN(IF(AND($O18&gt;MATCH($J18,Scales!$B$6:$B$10,0)-1,$N18&lt;&gt;"Yes"),MATCH($J18,Scales!$B$6:$B$10,0)-1,$O18),$L18,IF($F18=Scales!$B$24,IF($S18="Passed",4,IF(NOT(ISNUMBER($R18)),0,IF(OR($R18&lt;0,$R18&gt;4,$R18&lt;&gt;INT($R18)),0,$R18))),IF(NOT(ISNUMBER($R18)),0,IF(OR($R18&lt;0,$R18&gt;4,$R18&lt;&gt;INT($R18)),0,$R18))+IF($S18="Passed",1,0)),IF(AND($F18&lt;&gt;Scales!$B$24,OR($F18=Scales!$B$27,$G18=Scales!$B$33)),3,4)))</f>
        <v>4</v>
      </c>
      <c r="U18" s="13" t="str">
        <f>IF($O18="",IF(AND($B18&lt;&gt;"",$B18&lt;&gt;"Duplicate ID"),IF($J18="Config error","Config error","Incomplete assessment"),""),IF($T18&gt;=$O18,IF(LEFT($P18,4)="More","Own choice","None"),MID(IF(AND($O18&gt;MATCH($J18,Scales!$B$6:$B$10,0)-1,$N18&lt;&gt;"Yes",$T18=MATCH($J18,Scales!$B$6:$B$10,0)-1)," + Exception not approved","")&amp;IF(AND($F18&lt;&gt;Scales!$B$24,OR($F18=Scales!$B$27,$G18=Scales!$B$33),$T18=3)," + Human-signature guardrail","")&amp;IF($T18=$L18," + Model confidence","")&amp;IF($T18=IF($F18=Scales!$B$24,IF($S18="Passed",4,IF(NOT(ISNUMBER($R18)),0,IF(OR($R18&lt;0,$R18&gt;4,$R18&lt;&gt;INT($R18)),0,$R18))),IF(NOT(ISNUMBER($R18)),0,IF(OR($R18&lt;0,$R18&gt;4,$R18&lt;&gt;INT($R18)),0,$R18))+IF($S18="Passed",1,0))," + "&amp;IF($S18&lt;&gt;"Passed","Readiness gate","Readiness gate (one level per gate)"),""),4,200)))</f>
        <v>None</v>
      </c>
      <c r="V18" s="23"/>
    </row>
    <row r="19" spans="1:22" x14ac:dyDescent="0.25">
      <c r="A19" s="8" t="s">
        <v>137</v>
      </c>
      <c r="B19" s="11" t="str">
        <f>IF($A19="","",IF(COUNTIF('Use cases'!$A$5:$A$34,$A19)&gt;1,"Duplicate ID",IFERROR(IF(VLOOKUP($A19,'Use cases'!$A$5:$B$34,2,FALSE())=0,"",VLOOKUP($A19,'Use cases'!$A$5:$B$34,2,FALSE())),"")))</f>
        <v>OAuth consent abuse</v>
      </c>
      <c r="C19" s="12" t="str">
        <f>IF(OR($B19="",$B19="Duplicate ID"),"",IFERROR(VLOOKUP($A19,'Use cases'!$A$5:$C$34,3,FALSE()),""))</f>
        <v>Identity</v>
      </c>
      <c r="D19" s="13" t="s">
        <v>117</v>
      </c>
      <c r="E19" s="23" t="s">
        <v>139</v>
      </c>
      <c r="F19" s="23" t="s">
        <v>119</v>
      </c>
      <c r="G19" s="24" t="s">
        <v>115</v>
      </c>
      <c r="H19" s="24" t="s">
        <v>122</v>
      </c>
      <c r="I19" s="13" t="str">
        <f>IF(OR($B19="",$B19="Duplicate ID"),"",IFERROR(VLOOKUP($A19,'Use cases'!$A$5:$E$34,5,FALSE()),""))</f>
        <v>Progressive</v>
      </c>
      <c r="J19" s="11" t="str">
        <f>IF(OR($B19="",$B19="Duplicate ID"),"",IF(OR($F19="",$G19=""),"",IF(Policy!$B$24&lt;&gt;"OK","Config error",IFERROR(INDEX(Scales!$B$6:$B$10,1+INDEX(Policy!$C$5:$E$16,MATCH($F19&amp;"|"&amp;$G19,Policy!$G$5:$G$16,0),MATCH($I19,Policy!$C$4:$E$4,0))),"Config error"))))</f>
        <v>L4 Autonomous</v>
      </c>
      <c r="K19" s="13">
        <f>IF($H19="","",IF($F19=Scales!$B$24,"exempt",IFERROR(IF(VLOOKUP($H19,Conf_Check,3,FALSE())="valid",VLOOKUP($H19,Conf_Adjust,2,FALSE()),"n/a"),"n/a")))</f>
        <v>-1</v>
      </c>
      <c r="L19" s="13">
        <f>IF(OR($J19="",$J19="Config error"),"",IF(OR($F19=Scales!$B$24,AND(ISNUMBER($K19),$K19=0)),4,IF(ISNUMBER($K19),MAX(1,MATCH($J19,Scales!$B$6:$B$10,0)-1+$K19),1)))</f>
        <v>3</v>
      </c>
      <c r="M19" s="5"/>
      <c r="N19" s="5"/>
      <c r="O19" s="8">
        <f>IF(OR($J19="",$J19="Config error",$E19="",$F19="",$G19="",$H19="",$R19=""),"",IF($M19="",MATCH($J19,Scales!$B$6:$B$10,0),IFERROR(MATCH($M19,Scales!$B$6:$B$10,0),MATCH($J19,Scales!$B$6:$B$10,0)))-1)</f>
        <v>4</v>
      </c>
      <c r="P19" s="12" t="str">
        <f>IF($J19="",IF(AND($B19&lt;&gt;"",$B19&lt;&gt;"Duplicate ID"),"Incomplete assessment",""),IF($J19="Config error","Config error",IF($O19="","Incomplete assessment",IF($M19="","As recommended",IF(ISERROR(MATCH($M19,Scales!$B$6:$B$10,0)),"Invalid choice",IF(MATCH($M19,Scales!$B$6:$B$10,0)&gt;MATCH($J19,Scales!$B$6:$B$10,0),"Above policy: needs sign-off",IF(MATCH($M19,Scales!$B$6:$B$10,0)&lt;MATCH($J19,Scales!$B$6:$B$10,0),"More cautious than policy","As recommended")))))))</f>
        <v>As recommended</v>
      </c>
      <c r="Q19" s="13">
        <f>IF(OR($O19="",Policy!$B$24&lt;&gt;"OK"),"",IFERROR(MIN($O19,INDEX(Policy!$C$5:$E$16,MATCH($F19&amp;"|"&amp;Scales!$B$33,Policy!$G$5:$G$16,0),MATCH($I19,Policy!$C$4:$E$4,0))),""))</f>
        <v>3</v>
      </c>
      <c r="R19" s="5">
        <v>1</v>
      </c>
      <c r="S19" s="13" t="str">
        <f>IF($B19="","",IF(COUNTIF('Readiness gate'!$A$7:$A$36,$A19)&lt;&gt;1,"Incomplete",IFERROR(IF(VLOOKUP($A19,GateTab,IF($F19=Scales!$B$24,11,9),FALSE())="","Incomplete",VLOOKUP($A19,GateTab,IF($F19=Scales!$B$24,11,9),FALSE())),"Incomplete")))</f>
        <v>Passed</v>
      </c>
      <c r="T19" s="8">
        <f>IF($O19="","",MIN(IF(AND($O19&gt;MATCH($J19,Scales!$B$6:$B$10,0)-1,$N19&lt;&gt;"Yes"),MATCH($J19,Scales!$B$6:$B$10,0)-1,$O19),$L19,IF($F19=Scales!$B$24,IF($S19="Passed",4,IF(NOT(ISNUMBER($R19)),0,IF(OR($R19&lt;0,$R19&gt;4,$R19&lt;&gt;INT($R19)),0,$R19))),IF(NOT(ISNUMBER($R19)),0,IF(OR($R19&lt;0,$R19&gt;4,$R19&lt;&gt;INT($R19)),0,$R19))+IF($S19="Passed",1,0)),IF(AND($F19&lt;&gt;Scales!$B$24,OR($F19=Scales!$B$27,$G19=Scales!$B$33)),3,4)))</f>
        <v>2</v>
      </c>
      <c r="U19" s="13" t="str">
        <f>IF($O19="",IF(AND($B19&lt;&gt;"",$B19&lt;&gt;"Duplicate ID"),IF($J19="Config error","Config error","Incomplete assessment"),""),IF($T19&gt;=$O19,IF(LEFT($P19,4)="More","Own choice","None"),MID(IF(AND($O19&gt;MATCH($J19,Scales!$B$6:$B$10,0)-1,$N19&lt;&gt;"Yes",$T19=MATCH($J19,Scales!$B$6:$B$10,0)-1)," + Exception not approved","")&amp;IF(AND($F19&lt;&gt;Scales!$B$24,OR($F19=Scales!$B$27,$G19=Scales!$B$33),$T19=3)," + Human-signature guardrail","")&amp;IF($T19=$L19," + Model confidence","")&amp;IF($T19=IF($F19=Scales!$B$24,IF($S19="Passed",4,IF(NOT(ISNUMBER($R19)),0,IF(OR($R19&lt;0,$R19&gt;4,$R19&lt;&gt;INT($R19)),0,$R19))),IF(NOT(ISNUMBER($R19)),0,IF(OR($R19&lt;0,$R19&gt;4,$R19&lt;&gt;INT($R19)),0,$R19))+IF($S19="Passed",1,0))," + "&amp;IF($S19&lt;&gt;"Passed","Readiness gate","Readiness gate (one level per gate)"),""),4,200)))</f>
        <v>Readiness gate (one level per gate)</v>
      </c>
      <c r="V19" s="23"/>
    </row>
    <row r="20" spans="1:22" x14ac:dyDescent="0.25">
      <c r="A20" s="8" t="s">
        <v>137</v>
      </c>
      <c r="B20" s="11" t="str">
        <f>IF($A20="","",IF(COUNTIF('Use cases'!$A$5:$A$34,$A20)&gt;1,"Duplicate ID",IFERROR(IF(VLOOKUP($A20,'Use cases'!$A$5:$B$34,2,FALSE())=0,"",VLOOKUP($A20,'Use cases'!$A$5:$B$34,2,FALSE())),"")))</f>
        <v>OAuth consent abuse</v>
      </c>
      <c r="C20" s="12" t="str">
        <f>IF(OR($B20="",$B20="Duplicate ID"),"",IFERROR(VLOOKUP($A20,'Use cases'!$A$5:$C$34,3,FALSE()),""))</f>
        <v>Identity</v>
      </c>
      <c r="D20" s="13" t="s">
        <v>120</v>
      </c>
      <c r="E20" s="23" t="s">
        <v>140</v>
      </c>
      <c r="F20" s="23" t="s">
        <v>119</v>
      </c>
      <c r="G20" s="24" t="s">
        <v>115</v>
      </c>
      <c r="H20" s="24" t="s">
        <v>116</v>
      </c>
      <c r="I20" s="13" t="str">
        <f>IF(OR($B20="",$B20="Duplicate ID"),"",IFERROR(VLOOKUP($A20,'Use cases'!$A$5:$E$34,5,FALSE()),""))</f>
        <v>Progressive</v>
      </c>
      <c r="J20" s="11" t="str">
        <f>IF(OR($B20="",$B20="Duplicate ID"),"",IF(OR($F20="",$G20=""),"",IF(Policy!$B$24&lt;&gt;"OK","Config error",IFERROR(INDEX(Scales!$B$6:$B$10,1+INDEX(Policy!$C$5:$E$16,MATCH($F20&amp;"|"&amp;$G20,Policy!$G$5:$G$16,0),MATCH($I20,Policy!$C$4:$E$4,0))),"Config error"))))</f>
        <v>L4 Autonomous</v>
      </c>
      <c r="K20" s="13">
        <f>IF($H20="","",IF($F20=Scales!$B$24,"exempt",IFERROR(IF(VLOOKUP($H20,Conf_Check,3,FALSE())="valid",VLOOKUP($H20,Conf_Adjust,2,FALSE()),"n/a"),"n/a")))</f>
        <v>0</v>
      </c>
      <c r="L20" s="13">
        <f>IF(OR($J20="",$J20="Config error"),"",IF(OR($F20=Scales!$B$24,AND(ISNUMBER($K20),$K20=0)),4,IF(ISNUMBER($K20),MAX(1,MATCH($J20,Scales!$B$6:$B$10,0)-1+$K20),1)))</f>
        <v>4</v>
      </c>
      <c r="M20" s="5"/>
      <c r="N20" s="5"/>
      <c r="O20" s="8">
        <f>IF(OR($J20="",$J20="Config error",$E20="",$F20="",$G20="",$H20="",$R20=""),"",IF($M20="",MATCH($J20,Scales!$B$6:$B$10,0),IFERROR(MATCH($M20,Scales!$B$6:$B$10,0),MATCH($J20,Scales!$B$6:$B$10,0)))-1)</f>
        <v>4</v>
      </c>
      <c r="P20" s="12" t="str">
        <f>IF($J20="",IF(AND($B20&lt;&gt;"",$B20&lt;&gt;"Duplicate ID"),"Incomplete assessment",""),IF($J20="Config error","Config error",IF($O20="","Incomplete assessment",IF($M20="","As recommended",IF(ISERROR(MATCH($M20,Scales!$B$6:$B$10,0)),"Invalid choice",IF(MATCH($M20,Scales!$B$6:$B$10,0)&gt;MATCH($J20,Scales!$B$6:$B$10,0),"Above policy: needs sign-off",IF(MATCH($M20,Scales!$B$6:$B$10,0)&lt;MATCH($J20,Scales!$B$6:$B$10,0),"More cautious than policy","As recommended")))))))</f>
        <v>As recommended</v>
      </c>
      <c r="Q20" s="13">
        <f>IF(OR($O20="",Policy!$B$24&lt;&gt;"OK"),"",IFERROR(MIN($O20,INDEX(Policy!$C$5:$E$16,MATCH($F20&amp;"|"&amp;Scales!$B$33,Policy!$G$5:$G$16,0),MATCH($I20,Policy!$C$4:$E$4,0))),""))</f>
        <v>3</v>
      </c>
      <c r="R20" s="5">
        <v>2</v>
      </c>
      <c r="S20" s="13" t="str">
        <f>IF($B20="","",IF(COUNTIF('Readiness gate'!$A$7:$A$36,$A20)&lt;&gt;1,"Incomplete",IFERROR(IF(VLOOKUP($A20,GateTab,IF($F20=Scales!$B$24,11,9),FALSE())="","Incomplete",VLOOKUP($A20,GateTab,IF($F20=Scales!$B$24,11,9),FALSE())),"Incomplete")))</f>
        <v>Passed</v>
      </c>
      <c r="T20" s="8">
        <f>IF($O20="","",MIN(IF(AND($O20&gt;MATCH($J20,Scales!$B$6:$B$10,0)-1,$N20&lt;&gt;"Yes"),MATCH($J20,Scales!$B$6:$B$10,0)-1,$O20),$L20,IF($F20=Scales!$B$24,IF($S20="Passed",4,IF(NOT(ISNUMBER($R20)),0,IF(OR($R20&lt;0,$R20&gt;4,$R20&lt;&gt;INT($R20)),0,$R20))),IF(NOT(ISNUMBER($R20)),0,IF(OR($R20&lt;0,$R20&gt;4,$R20&lt;&gt;INT($R20)),0,$R20))+IF($S20="Passed",1,0)),IF(AND($F20&lt;&gt;Scales!$B$24,OR($F20=Scales!$B$27,$G20=Scales!$B$33)),3,4)))</f>
        <v>3</v>
      </c>
      <c r="U20" s="13" t="str">
        <f>IF($O20="",IF(AND($B20&lt;&gt;"",$B20&lt;&gt;"Duplicate ID"),IF($J20="Config error","Config error","Incomplete assessment"),""),IF($T20&gt;=$O20,IF(LEFT($P20,4)="More","Own choice","None"),MID(IF(AND($O20&gt;MATCH($J20,Scales!$B$6:$B$10,0)-1,$N20&lt;&gt;"Yes",$T20=MATCH($J20,Scales!$B$6:$B$10,0)-1)," + Exception not approved","")&amp;IF(AND($F20&lt;&gt;Scales!$B$24,OR($F20=Scales!$B$27,$G20=Scales!$B$33),$T20=3)," + Human-signature guardrail","")&amp;IF($T20=$L20," + Model confidence","")&amp;IF($T20=IF($F20=Scales!$B$24,IF($S20="Passed",4,IF(NOT(ISNUMBER($R20)),0,IF(OR($R20&lt;0,$R20&gt;4,$R20&lt;&gt;INT($R20)),0,$R20))),IF(NOT(ISNUMBER($R20)),0,IF(OR($R20&lt;0,$R20&gt;4,$R20&lt;&gt;INT($R20)),0,$R20))+IF($S20="Passed",1,0))," + "&amp;IF($S20&lt;&gt;"Passed","Readiness gate","Readiness gate (one level per gate)"),""),4,200)))</f>
        <v>Readiness gate (one level per gate)</v>
      </c>
      <c r="V20" s="23"/>
    </row>
    <row r="21" spans="1:22" x14ac:dyDescent="0.25">
      <c r="A21" s="8" t="s">
        <v>137</v>
      </c>
      <c r="B21" s="11" t="str">
        <f>IF($A21="","",IF(COUNTIF('Use cases'!$A$5:$A$34,$A21)&gt;1,"Duplicate ID",IFERROR(IF(VLOOKUP($A21,'Use cases'!$A$5:$B$34,2,FALSE())=0,"",VLOOKUP($A21,'Use cases'!$A$5:$B$34,2,FALSE())),"")))</f>
        <v>OAuth consent abuse</v>
      </c>
      <c r="C21" s="12" t="str">
        <f>IF(OR($B21="",$B21="Duplicate ID"),"",IFERROR(VLOOKUP($A21,'Use cases'!$A$5:$C$34,3,FALSE()),""))</f>
        <v>Identity</v>
      </c>
      <c r="D21" s="13" t="s">
        <v>123</v>
      </c>
      <c r="E21" s="23" t="s">
        <v>141</v>
      </c>
      <c r="F21" s="23" t="s">
        <v>134</v>
      </c>
      <c r="G21" s="24" t="s">
        <v>122</v>
      </c>
      <c r="H21" s="24" t="s">
        <v>122</v>
      </c>
      <c r="I21" s="13" t="str">
        <f>IF(OR($B21="",$B21="Duplicate ID"),"",IFERROR(VLOOKUP($A21,'Use cases'!$A$5:$E$34,5,FALSE()),""))</f>
        <v>Progressive</v>
      </c>
      <c r="J21" s="11" t="str">
        <f>IF(OR($B21="",$B21="Duplicate ID"),"",IF(OR($F21="",$G21=""),"",IF(Policy!$B$24&lt;&gt;"OK","Config error",IFERROR(INDEX(Scales!$B$6:$B$10,1+INDEX(Policy!$C$5:$E$16,MATCH($F21&amp;"|"&amp;$G21,Policy!$G$5:$G$16,0),MATCH($I21,Policy!$C$4:$E$4,0))),"Config error"))))</f>
        <v>L3 Human-approved</v>
      </c>
      <c r="K21" s="13">
        <f>IF($H21="","",IF($F21=Scales!$B$24,"exempt",IFERROR(IF(VLOOKUP($H21,Conf_Check,3,FALSE())="valid",VLOOKUP($H21,Conf_Adjust,2,FALSE()),"n/a"),"n/a")))</f>
        <v>-1</v>
      </c>
      <c r="L21" s="13">
        <f>IF(OR($J21="",$J21="Config error"),"",IF(OR($F21=Scales!$B$24,AND(ISNUMBER($K21),$K21=0)),4,IF(ISNUMBER($K21),MAX(1,MATCH($J21,Scales!$B$6:$B$10,0)-1+$K21),1)))</f>
        <v>2</v>
      </c>
      <c r="M21" s="5"/>
      <c r="N21" s="5"/>
      <c r="O21" s="8">
        <f>IF(OR($J21="",$J21="Config error",$E21="",$F21="",$G21="",$H21="",$R21=""),"",IF($M21="",MATCH($J21,Scales!$B$6:$B$10,0),IFERROR(MATCH($M21,Scales!$B$6:$B$10,0),MATCH($J21,Scales!$B$6:$B$10,0)))-1)</f>
        <v>3</v>
      </c>
      <c r="P21" s="12" t="str">
        <f>IF($J21="",IF(AND($B21&lt;&gt;"",$B21&lt;&gt;"Duplicate ID"),"Incomplete assessment",""),IF($J21="Config error","Config error",IF($O21="","Incomplete assessment",IF($M21="","As recommended",IF(ISERROR(MATCH($M21,Scales!$B$6:$B$10,0)),"Invalid choice",IF(MATCH($M21,Scales!$B$6:$B$10,0)&gt;MATCH($J21,Scales!$B$6:$B$10,0),"Above policy: needs sign-off",IF(MATCH($M21,Scales!$B$6:$B$10,0)&lt;MATCH($J21,Scales!$B$6:$B$10,0),"More cautious than policy","As recommended")))))))</f>
        <v>As recommended</v>
      </c>
      <c r="Q21" s="13">
        <f>IF(OR($O21="",Policy!$B$24&lt;&gt;"OK"),"",IFERROR(MIN($O21,INDEX(Policy!$C$5:$E$16,MATCH($F21&amp;"|"&amp;Scales!$B$33,Policy!$G$5:$G$16,0),MATCH($I21,Policy!$C$4:$E$4,0))),""))</f>
        <v>3</v>
      </c>
      <c r="R21" s="5">
        <v>1</v>
      </c>
      <c r="S21" s="13" t="str">
        <f>IF($B21="","",IF(COUNTIF('Readiness gate'!$A$7:$A$36,$A21)&lt;&gt;1,"Incomplete",IFERROR(IF(VLOOKUP($A21,GateTab,IF($F21=Scales!$B$24,11,9),FALSE())="","Incomplete",VLOOKUP($A21,GateTab,IF($F21=Scales!$B$24,11,9),FALSE())),"Incomplete")))</f>
        <v>Passed</v>
      </c>
      <c r="T21" s="8">
        <f>IF($O21="","",MIN(IF(AND($O21&gt;MATCH($J21,Scales!$B$6:$B$10,0)-1,$N21&lt;&gt;"Yes"),MATCH($J21,Scales!$B$6:$B$10,0)-1,$O21),$L21,IF($F21=Scales!$B$24,IF($S21="Passed",4,IF(NOT(ISNUMBER($R21)),0,IF(OR($R21&lt;0,$R21&gt;4,$R21&lt;&gt;INT($R21)),0,$R21))),IF(NOT(ISNUMBER($R21)),0,IF(OR($R21&lt;0,$R21&gt;4,$R21&lt;&gt;INT($R21)),0,$R21))+IF($S21="Passed",1,0)),IF(AND($F21&lt;&gt;Scales!$B$24,OR($F21=Scales!$B$27,$G21=Scales!$B$33)),3,4)))</f>
        <v>2</v>
      </c>
      <c r="U21" s="13" t="str">
        <f>IF($O21="",IF(AND($B21&lt;&gt;"",$B21&lt;&gt;"Duplicate ID"),IF($J21="Config error","Config error","Incomplete assessment"),""),IF($T21&gt;=$O21,IF(LEFT($P21,4)="More","Own choice","None"),MID(IF(AND($O21&gt;MATCH($J21,Scales!$B$6:$B$10,0)-1,$N21&lt;&gt;"Yes",$T21=MATCH($J21,Scales!$B$6:$B$10,0)-1)," + Exception not approved","")&amp;IF(AND($F21&lt;&gt;Scales!$B$24,OR($F21=Scales!$B$27,$G21=Scales!$B$33),$T21=3)," + Human-signature guardrail","")&amp;IF($T21=$L21," + Model confidence","")&amp;IF($T21=IF($F21=Scales!$B$24,IF($S21="Passed",4,IF(NOT(ISNUMBER($R21)),0,IF(OR($R21&lt;0,$R21&gt;4,$R21&lt;&gt;INT($R21)),0,$R21))),IF(NOT(ISNUMBER($R21)),0,IF(OR($R21&lt;0,$R21&gt;4,$R21&lt;&gt;INT($R21)),0,$R21))+IF($S21="Passed",1,0))," + "&amp;IF($S21&lt;&gt;"Passed","Readiness gate","Readiness gate (one level per gate)"),""),4,200)))</f>
        <v>Model confidence + Readiness gate (one level per gate)</v>
      </c>
      <c r="V21" s="23"/>
    </row>
    <row r="22" spans="1:22" x14ac:dyDescent="0.25">
      <c r="A22" s="8" t="s">
        <v>137</v>
      </c>
      <c r="B22" s="11" t="str">
        <f>IF($A22="","",IF(COUNTIF('Use cases'!$A$5:$A$34,$A22)&gt;1,"Duplicate ID",IFERROR(IF(VLOOKUP($A22,'Use cases'!$A$5:$B$34,2,FALSE())=0,"",VLOOKUP($A22,'Use cases'!$A$5:$B$34,2,FALSE())),"")))</f>
        <v>OAuth consent abuse</v>
      </c>
      <c r="C22" s="12" t="str">
        <f>IF(OR($B22="",$B22="Duplicate ID"),"",IFERROR(VLOOKUP($A22,'Use cases'!$A$5:$C$34,3,FALSE()),""))</f>
        <v>Identity</v>
      </c>
      <c r="D22" s="13" t="s">
        <v>125</v>
      </c>
      <c r="E22" s="23" t="s">
        <v>142</v>
      </c>
      <c r="F22" s="23" t="s">
        <v>119</v>
      </c>
      <c r="G22" s="24" t="s">
        <v>115</v>
      </c>
      <c r="H22" s="24" t="s">
        <v>122</v>
      </c>
      <c r="I22" s="13" t="str">
        <f>IF(OR($B22="",$B22="Duplicate ID"),"",IFERROR(VLOOKUP($A22,'Use cases'!$A$5:$E$34,5,FALSE()),""))</f>
        <v>Progressive</v>
      </c>
      <c r="J22" s="11" t="str">
        <f>IF(OR($B22="",$B22="Duplicate ID"),"",IF(OR($F22="",$G22=""),"",IF(Policy!$B$24&lt;&gt;"OK","Config error",IFERROR(INDEX(Scales!$B$6:$B$10,1+INDEX(Policy!$C$5:$E$16,MATCH($F22&amp;"|"&amp;$G22,Policy!$G$5:$G$16,0),MATCH($I22,Policy!$C$4:$E$4,0))),"Config error"))))</f>
        <v>L4 Autonomous</v>
      </c>
      <c r="K22" s="13">
        <f>IF($H22="","",IF($F22=Scales!$B$24,"exempt",IFERROR(IF(VLOOKUP($H22,Conf_Check,3,FALSE())="valid",VLOOKUP($H22,Conf_Adjust,2,FALSE()),"n/a"),"n/a")))</f>
        <v>-1</v>
      </c>
      <c r="L22" s="13">
        <f>IF(OR($J22="",$J22="Config error"),"",IF(OR($F22=Scales!$B$24,AND(ISNUMBER($K22),$K22=0)),4,IF(ISNUMBER($K22),MAX(1,MATCH($J22,Scales!$B$6:$B$10,0)-1+$K22),1)))</f>
        <v>3</v>
      </c>
      <c r="M22" s="5"/>
      <c r="N22" s="5"/>
      <c r="O22" s="8">
        <f>IF(OR($J22="",$J22="Config error",$E22="",$F22="",$G22="",$H22="",$R22=""),"",IF($M22="",MATCH($J22,Scales!$B$6:$B$10,0),IFERROR(MATCH($M22,Scales!$B$6:$B$10,0),MATCH($J22,Scales!$B$6:$B$10,0)))-1)</f>
        <v>4</v>
      </c>
      <c r="P22" s="12" t="str">
        <f>IF($J22="",IF(AND($B22&lt;&gt;"",$B22&lt;&gt;"Duplicate ID"),"Incomplete assessment",""),IF($J22="Config error","Config error",IF($O22="","Incomplete assessment",IF($M22="","As recommended",IF(ISERROR(MATCH($M22,Scales!$B$6:$B$10,0)),"Invalid choice",IF(MATCH($M22,Scales!$B$6:$B$10,0)&gt;MATCH($J22,Scales!$B$6:$B$10,0),"Above policy: needs sign-off",IF(MATCH($M22,Scales!$B$6:$B$10,0)&lt;MATCH($J22,Scales!$B$6:$B$10,0),"More cautious than policy","As recommended")))))))</f>
        <v>As recommended</v>
      </c>
      <c r="Q22" s="13">
        <f>IF(OR($O22="",Policy!$B$24&lt;&gt;"OK"),"",IFERROR(MIN($O22,INDEX(Policy!$C$5:$E$16,MATCH($F22&amp;"|"&amp;Scales!$B$33,Policy!$G$5:$G$16,0),MATCH($I22,Policy!$C$4:$E$4,0))),""))</f>
        <v>3</v>
      </c>
      <c r="R22" s="5">
        <v>1</v>
      </c>
      <c r="S22" s="13" t="str">
        <f>IF($B22="","",IF(COUNTIF('Readiness gate'!$A$7:$A$36,$A22)&lt;&gt;1,"Incomplete",IFERROR(IF(VLOOKUP($A22,GateTab,IF($F22=Scales!$B$24,11,9),FALSE())="","Incomplete",VLOOKUP($A22,GateTab,IF($F22=Scales!$B$24,11,9),FALSE())),"Incomplete")))</f>
        <v>Passed</v>
      </c>
      <c r="T22" s="8">
        <f>IF($O22="","",MIN(IF(AND($O22&gt;MATCH($J22,Scales!$B$6:$B$10,0)-1,$N22&lt;&gt;"Yes"),MATCH($J22,Scales!$B$6:$B$10,0)-1,$O22),$L22,IF($F22=Scales!$B$24,IF($S22="Passed",4,IF(NOT(ISNUMBER($R22)),0,IF(OR($R22&lt;0,$R22&gt;4,$R22&lt;&gt;INT($R22)),0,$R22))),IF(NOT(ISNUMBER($R22)),0,IF(OR($R22&lt;0,$R22&gt;4,$R22&lt;&gt;INT($R22)),0,$R22))+IF($S22="Passed",1,0)),IF(AND($F22&lt;&gt;Scales!$B$24,OR($F22=Scales!$B$27,$G22=Scales!$B$33)),3,4)))</f>
        <v>2</v>
      </c>
      <c r="U22" s="13" t="str">
        <f>IF($O22="",IF(AND($B22&lt;&gt;"",$B22&lt;&gt;"Duplicate ID"),IF($J22="Config error","Config error","Incomplete assessment"),""),IF($T22&gt;=$O22,IF(LEFT($P22,4)="More","Own choice","None"),MID(IF(AND($O22&gt;MATCH($J22,Scales!$B$6:$B$10,0)-1,$N22&lt;&gt;"Yes",$T22=MATCH($J22,Scales!$B$6:$B$10,0)-1)," + Exception not approved","")&amp;IF(AND($F22&lt;&gt;Scales!$B$24,OR($F22=Scales!$B$27,$G22=Scales!$B$33),$T22=3)," + Human-signature guardrail","")&amp;IF($T22=$L22," + Model confidence","")&amp;IF($T22=IF($F22=Scales!$B$24,IF($S22="Passed",4,IF(NOT(ISNUMBER($R22)),0,IF(OR($R22&lt;0,$R22&gt;4,$R22&lt;&gt;INT($R22)),0,$R22))),IF(NOT(ISNUMBER($R22)),0,IF(OR($R22&lt;0,$R22&gt;4,$R22&lt;&gt;INT($R22)),0,$R22))+IF($S22="Passed",1,0))," + "&amp;IF($S22&lt;&gt;"Passed","Readiness gate","Readiness gate (one level per gate)"),""),4,200)))</f>
        <v>Readiness gate (one level per gate)</v>
      </c>
      <c r="V22" s="23"/>
    </row>
    <row r="23" spans="1:22" x14ac:dyDescent="0.25">
      <c r="A23" s="8" t="s">
        <v>137</v>
      </c>
      <c r="B23" s="11" t="str">
        <f>IF($A23="","",IF(COUNTIF('Use cases'!$A$5:$A$34,$A23)&gt;1,"Duplicate ID",IFERROR(IF(VLOOKUP($A23,'Use cases'!$A$5:$B$34,2,FALSE())=0,"",VLOOKUP($A23,'Use cases'!$A$5:$B$34,2,FALSE())),"")))</f>
        <v>OAuth consent abuse</v>
      </c>
      <c r="C23" s="12" t="str">
        <f>IF(OR($B23="",$B23="Duplicate ID"),"",IFERROR(VLOOKUP($A23,'Use cases'!$A$5:$C$34,3,FALSE()),""))</f>
        <v>Identity</v>
      </c>
      <c r="D23" s="13" t="s">
        <v>127</v>
      </c>
      <c r="E23" s="23" t="s">
        <v>143</v>
      </c>
      <c r="F23" s="23" t="s">
        <v>119</v>
      </c>
      <c r="G23" s="24" t="s">
        <v>115</v>
      </c>
      <c r="H23" s="24" t="s">
        <v>116</v>
      </c>
      <c r="I23" s="13" t="str">
        <f>IF(OR($B23="",$B23="Duplicate ID"),"",IFERROR(VLOOKUP($A23,'Use cases'!$A$5:$E$34,5,FALSE()),""))</f>
        <v>Progressive</v>
      </c>
      <c r="J23" s="11" t="str">
        <f>IF(OR($B23="",$B23="Duplicate ID"),"",IF(OR($F23="",$G23=""),"",IF(Policy!$B$24&lt;&gt;"OK","Config error",IFERROR(INDEX(Scales!$B$6:$B$10,1+INDEX(Policy!$C$5:$E$16,MATCH($F23&amp;"|"&amp;$G23,Policy!$G$5:$G$16,0),MATCH($I23,Policy!$C$4:$E$4,0))),"Config error"))))</f>
        <v>L4 Autonomous</v>
      </c>
      <c r="K23" s="13">
        <f>IF($H23="","",IF($F23=Scales!$B$24,"exempt",IFERROR(IF(VLOOKUP($H23,Conf_Check,3,FALSE())="valid",VLOOKUP($H23,Conf_Adjust,2,FALSE()),"n/a"),"n/a")))</f>
        <v>0</v>
      </c>
      <c r="L23" s="13">
        <f>IF(OR($J23="",$J23="Config error"),"",IF(OR($F23=Scales!$B$24,AND(ISNUMBER($K23),$K23=0)),4,IF(ISNUMBER($K23),MAX(1,MATCH($J23,Scales!$B$6:$B$10,0)-1+$K23),1)))</f>
        <v>4</v>
      </c>
      <c r="M23" s="5"/>
      <c r="N23" s="5"/>
      <c r="O23" s="8">
        <f>IF(OR($J23="",$J23="Config error",$E23="",$F23="",$G23="",$H23="",$R23=""),"",IF($M23="",MATCH($J23,Scales!$B$6:$B$10,0),IFERROR(MATCH($M23,Scales!$B$6:$B$10,0),MATCH($J23,Scales!$B$6:$B$10,0)))-1)</f>
        <v>4</v>
      </c>
      <c r="P23" s="12" t="str">
        <f>IF($J23="",IF(AND($B23&lt;&gt;"",$B23&lt;&gt;"Duplicate ID"),"Incomplete assessment",""),IF($J23="Config error","Config error",IF($O23="","Incomplete assessment",IF($M23="","As recommended",IF(ISERROR(MATCH($M23,Scales!$B$6:$B$10,0)),"Invalid choice",IF(MATCH($M23,Scales!$B$6:$B$10,0)&gt;MATCH($J23,Scales!$B$6:$B$10,0),"Above policy: needs sign-off",IF(MATCH($M23,Scales!$B$6:$B$10,0)&lt;MATCH($J23,Scales!$B$6:$B$10,0),"More cautious than policy","As recommended")))))))</f>
        <v>As recommended</v>
      </c>
      <c r="Q23" s="13">
        <f>IF(OR($O23="",Policy!$B$24&lt;&gt;"OK"),"",IFERROR(MIN($O23,INDEX(Policy!$C$5:$E$16,MATCH($F23&amp;"|"&amp;Scales!$B$33,Policy!$G$5:$G$16,0),MATCH($I23,Policy!$C$4:$E$4,0))),""))</f>
        <v>3</v>
      </c>
      <c r="R23" s="5">
        <v>1</v>
      </c>
      <c r="S23" s="13" t="str">
        <f>IF($B23="","",IF(COUNTIF('Readiness gate'!$A$7:$A$36,$A23)&lt;&gt;1,"Incomplete",IFERROR(IF(VLOOKUP($A23,GateTab,IF($F23=Scales!$B$24,11,9),FALSE())="","Incomplete",VLOOKUP($A23,GateTab,IF($F23=Scales!$B$24,11,9),FALSE())),"Incomplete")))</f>
        <v>Passed</v>
      </c>
      <c r="T23" s="8">
        <f>IF($O23="","",MIN(IF(AND($O23&gt;MATCH($J23,Scales!$B$6:$B$10,0)-1,$N23&lt;&gt;"Yes"),MATCH($J23,Scales!$B$6:$B$10,0)-1,$O23),$L23,IF($F23=Scales!$B$24,IF($S23="Passed",4,IF(NOT(ISNUMBER($R23)),0,IF(OR($R23&lt;0,$R23&gt;4,$R23&lt;&gt;INT($R23)),0,$R23))),IF(NOT(ISNUMBER($R23)),0,IF(OR($R23&lt;0,$R23&gt;4,$R23&lt;&gt;INT($R23)),0,$R23))+IF($S23="Passed",1,0)),IF(AND($F23&lt;&gt;Scales!$B$24,OR($F23=Scales!$B$27,$G23=Scales!$B$33)),3,4)))</f>
        <v>2</v>
      </c>
      <c r="U23" s="13" t="str">
        <f>IF($O23="",IF(AND($B23&lt;&gt;"",$B23&lt;&gt;"Duplicate ID"),IF($J23="Config error","Config error","Incomplete assessment"),""),IF($T23&gt;=$O23,IF(LEFT($P23,4)="More","Own choice","None"),MID(IF(AND($O23&gt;MATCH($J23,Scales!$B$6:$B$10,0)-1,$N23&lt;&gt;"Yes",$T23=MATCH($J23,Scales!$B$6:$B$10,0)-1)," + Exception not approved","")&amp;IF(AND($F23&lt;&gt;Scales!$B$24,OR($F23=Scales!$B$27,$G23=Scales!$B$33),$T23=3)," + Human-signature guardrail","")&amp;IF($T23=$L23," + Model confidence","")&amp;IF($T23=IF($F23=Scales!$B$24,IF($S23="Passed",4,IF(NOT(ISNUMBER($R23)),0,IF(OR($R23&lt;0,$R23&gt;4,$R23&lt;&gt;INT($R23)),0,$R23))),IF(NOT(ISNUMBER($R23)),0,IF(OR($R23&lt;0,$R23&gt;4,$R23&lt;&gt;INT($R23)),0,$R23))+IF($S23="Passed",1,0))," + "&amp;IF($S23&lt;&gt;"Passed","Readiness gate","Readiness gate (one level per gate)"),""),4,200)))</f>
        <v>Readiness gate (one level per gate)</v>
      </c>
      <c r="V23" s="23"/>
    </row>
    <row r="24" spans="1:22" x14ac:dyDescent="0.25">
      <c r="A24" s="8" t="s">
        <v>144</v>
      </c>
      <c r="B24" s="11" t="str">
        <f>IF($A24="","",IF(COUNTIF('Use cases'!$A$5:$A$34,$A24)&gt;1,"Duplicate ID",IFERROR(IF(VLOOKUP($A24,'Use cases'!$A$5:$B$34,2,FALSE())=0,"",VLOOKUP($A24,'Use cases'!$A$5:$B$34,2,FALSE())),"")))</f>
        <v>Suspicious MFA registration</v>
      </c>
      <c r="C24" s="12" t="str">
        <f>IF(OR($B24="",$B24="Duplicate ID"),"",IFERROR(VLOOKUP($A24,'Use cases'!$A$5:$C$34,3,FALSE()),""))</f>
        <v>Identity</v>
      </c>
      <c r="D24" s="13" t="s">
        <v>112</v>
      </c>
      <c r="E24" s="23" t="s">
        <v>145</v>
      </c>
      <c r="F24" s="23" t="s">
        <v>114</v>
      </c>
      <c r="G24" s="24" t="s">
        <v>115</v>
      </c>
      <c r="H24" s="24" t="s">
        <v>116</v>
      </c>
      <c r="I24" s="13" t="str">
        <f>IF(OR($B24="",$B24="Duplicate ID"),"",IFERROR(VLOOKUP($A24,'Use cases'!$A$5:$E$34,5,FALSE()),""))</f>
        <v>Progressive</v>
      </c>
      <c r="J24" s="11" t="str">
        <f>IF(OR($B24="",$B24="Duplicate ID"),"",IF(OR($F24="",$G24=""),"",IF(Policy!$B$24&lt;&gt;"OK","Config error",IFERROR(INDEX(Scales!$B$6:$B$10,1+INDEX(Policy!$C$5:$E$16,MATCH($F24&amp;"|"&amp;$G24,Policy!$G$5:$G$16,0),MATCH($I24,Policy!$C$4:$E$4,0))),"Config error"))))</f>
        <v>L4 Autonomous</v>
      </c>
      <c r="K24" s="13" t="str">
        <f>IF($H24="","",IF($F24=Scales!$B$24,"exempt",IFERROR(IF(VLOOKUP($H24,Conf_Check,3,FALSE())="valid",VLOOKUP($H24,Conf_Adjust,2,FALSE()),"n/a"),"n/a")))</f>
        <v>exempt</v>
      </c>
      <c r="L24" s="13">
        <f>IF(OR($J24="",$J24="Config error"),"",IF(OR($F24=Scales!$B$24,AND(ISNUMBER($K24),$K24=0)),4,IF(ISNUMBER($K24),MAX(1,MATCH($J24,Scales!$B$6:$B$10,0)-1+$K24),1)))</f>
        <v>4</v>
      </c>
      <c r="M24" s="5"/>
      <c r="N24" s="5"/>
      <c r="O24" s="8">
        <f>IF(OR($J24="",$J24="Config error",$E24="",$F24="",$G24="",$H24="",$R24=""),"",IF($M24="",MATCH($J24,Scales!$B$6:$B$10,0),IFERROR(MATCH($M24,Scales!$B$6:$B$10,0),MATCH($J24,Scales!$B$6:$B$10,0)))-1)</f>
        <v>4</v>
      </c>
      <c r="P24" s="12" t="str">
        <f>IF($J24="",IF(AND($B24&lt;&gt;"",$B24&lt;&gt;"Duplicate ID"),"Incomplete assessment",""),IF($J24="Config error","Config error",IF($O24="","Incomplete assessment",IF($M24="","As recommended",IF(ISERROR(MATCH($M24,Scales!$B$6:$B$10,0)),"Invalid choice",IF(MATCH($M24,Scales!$B$6:$B$10,0)&gt;MATCH($J24,Scales!$B$6:$B$10,0),"Above policy: needs sign-off",IF(MATCH($M24,Scales!$B$6:$B$10,0)&lt;MATCH($J24,Scales!$B$6:$B$10,0),"More cautious than policy","As recommended")))))))</f>
        <v>As recommended</v>
      </c>
      <c r="Q24" s="13">
        <f>IF(OR($O24="",Policy!$B$24&lt;&gt;"OK"),"",IFERROR(MIN($O24,INDEX(Policy!$C$5:$E$16,MATCH($F24&amp;"|"&amp;Scales!$B$33,Policy!$G$5:$G$16,0),MATCH($I24,Policy!$C$4:$E$4,0))),""))</f>
        <v>4</v>
      </c>
      <c r="R24" s="5">
        <v>1</v>
      </c>
      <c r="S24" s="13" t="str">
        <f>IF($B24="","",IF(COUNTIF('Readiness gate'!$A$7:$A$36,$A24)&lt;&gt;1,"Incomplete",IFERROR(IF(VLOOKUP($A24,GateTab,IF($F24=Scales!$B$24,11,9),FALSE())="","Incomplete",VLOOKUP($A24,GateTab,IF($F24=Scales!$B$24,11,9),FALSE())),"Incomplete")))</f>
        <v>Passed</v>
      </c>
      <c r="T24" s="8">
        <f>IF($O24="","",MIN(IF(AND($O24&gt;MATCH($J24,Scales!$B$6:$B$10,0)-1,$N24&lt;&gt;"Yes"),MATCH($J24,Scales!$B$6:$B$10,0)-1,$O24),$L24,IF($F24=Scales!$B$24,IF($S24="Passed",4,IF(NOT(ISNUMBER($R24)),0,IF(OR($R24&lt;0,$R24&gt;4,$R24&lt;&gt;INT($R24)),0,$R24))),IF(NOT(ISNUMBER($R24)),0,IF(OR($R24&lt;0,$R24&gt;4,$R24&lt;&gt;INT($R24)),0,$R24))+IF($S24="Passed",1,0)),IF(AND($F24&lt;&gt;Scales!$B$24,OR($F24=Scales!$B$27,$G24=Scales!$B$33)),3,4)))</f>
        <v>4</v>
      </c>
      <c r="U24" s="13" t="str">
        <f>IF($O24="",IF(AND($B24&lt;&gt;"",$B24&lt;&gt;"Duplicate ID"),IF($J24="Config error","Config error","Incomplete assessment"),""),IF($T24&gt;=$O24,IF(LEFT($P24,4)="More","Own choice","None"),MID(IF(AND($O24&gt;MATCH($J24,Scales!$B$6:$B$10,0)-1,$N24&lt;&gt;"Yes",$T24=MATCH($J24,Scales!$B$6:$B$10,0)-1)," + Exception not approved","")&amp;IF(AND($F24&lt;&gt;Scales!$B$24,OR($F24=Scales!$B$27,$G24=Scales!$B$33),$T24=3)," + Human-signature guardrail","")&amp;IF($T24=$L24," + Model confidence","")&amp;IF($T24=IF($F24=Scales!$B$24,IF($S24="Passed",4,IF(NOT(ISNUMBER($R24)),0,IF(OR($R24&lt;0,$R24&gt;4,$R24&lt;&gt;INT($R24)),0,$R24))),IF(NOT(ISNUMBER($R24)),0,IF(OR($R24&lt;0,$R24&gt;4,$R24&lt;&gt;INT($R24)),0,$R24))+IF($S24="Passed",1,0))," + "&amp;IF($S24&lt;&gt;"Passed","Readiness gate","Readiness gate (one level per gate)"),""),4,200)))</f>
        <v>None</v>
      </c>
      <c r="V24" s="23"/>
    </row>
    <row r="25" spans="1:22" x14ac:dyDescent="0.25">
      <c r="A25" s="8" t="s">
        <v>144</v>
      </c>
      <c r="B25" s="11" t="str">
        <f>IF($A25="","",IF(COUNTIF('Use cases'!$A$5:$A$34,$A25)&gt;1,"Duplicate ID",IFERROR(IF(VLOOKUP($A25,'Use cases'!$A$5:$B$34,2,FALSE())=0,"",VLOOKUP($A25,'Use cases'!$A$5:$B$34,2,FALSE())),"")))</f>
        <v>Suspicious MFA registration</v>
      </c>
      <c r="C25" s="12" t="str">
        <f>IF(OR($B25="",$B25="Duplicate ID"),"",IFERROR(VLOOKUP($A25,'Use cases'!$A$5:$C$34,3,FALSE()),""))</f>
        <v>Identity</v>
      </c>
      <c r="D25" s="13" t="s">
        <v>117</v>
      </c>
      <c r="E25" s="23" t="s">
        <v>146</v>
      </c>
      <c r="F25" s="23" t="s">
        <v>119</v>
      </c>
      <c r="G25" s="24" t="s">
        <v>115</v>
      </c>
      <c r="H25" s="24" t="s">
        <v>122</v>
      </c>
      <c r="I25" s="13" t="str">
        <f>IF(OR($B25="",$B25="Duplicate ID"),"",IFERROR(VLOOKUP($A25,'Use cases'!$A$5:$E$34,5,FALSE()),""))</f>
        <v>Progressive</v>
      </c>
      <c r="J25" s="11" t="str">
        <f>IF(OR($B25="",$B25="Duplicate ID"),"",IF(OR($F25="",$G25=""),"",IF(Policy!$B$24&lt;&gt;"OK","Config error",IFERROR(INDEX(Scales!$B$6:$B$10,1+INDEX(Policy!$C$5:$E$16,MATCH($F25&amp;"|"&amp;$G25,Policy!$G$5:$G$16,0),MATCH($I25,Policy!$C$4:$E$4,0))),"Config error"))))</f>
        <v>L4 Autonomous</v>
      </c>
      <c r="K25" s="13">
        <f>IF($H25="","",IF($F25=Scales!$B$24,"exempt",IFERROR(IF(VLOOKUP($H25,Conf_Check,3,FALSE())="valid",VLOOKUP($H25,Conf_Adjust,2,FALSE()),"n/a"),"n/a")))</f>
        <v>-1</v>
      </c>
      <c r="L25" s="13">
        <f>IF(OR($J25="",$J25="Config error"),"",IF(OR($F25=Scales!$B$24,AND(ISNUMBER($K25),$K25=0)),4,IF(ISNUMBER($K25),MAX(1,MATCH($J25,Scales!$B$6:$B$10,0)-1+$K25),1)))</f>
        <v>3</v>
      </c>
      <c r="M25" s="5"/>
      <c r="N25" s="5"/>
      <c r="O25" s="8">
        <f>IF(OR($J25="",$J25="Config error",$E25="",$F25="",$G25="",$H25="",$R25=""),"",IF($M25="",MATCH($J25,Scales!$B$6:$B$10,0),IFERROR(MATCH($M25,Scales!$B$6:$B$10,0),MATCH($J25,Scales!$B$6:$B$10,0)))-1)</f>
        <v>4</v>
      </c>
      <c r="P25" s="12" t="str">
        <f>IF($J25="",IF(AND($B25&lt;&gt;"",$B25&lt;&gt;"Duplicate ID"),"Incomplete assessment",""),IF($J25="Config error","Config error",IF($O25="","Incomplete assessment",IF($M25="","As recommended",IF(ISERROR(MATCH($M25,Scales!$B$6:$B$10,0)),"Invalid choice",IF(MATCH($M25,Scales!$B$6:$B$10,0)&gt;MATCH($J25,Scales!$B$6:$B$10,0),"Above policy: needs sign-off",IF(MATCH($M25,Scales!$B$6:$B$10,0)&lt;MATCH($J25,Scales!$B$6:$B$10,0),"More cautious than policy","As recommended")))))))</f>
        <v>As recommended</v>
      </c>
      <c r="Q25" s="13">
        <f>IF(OR($O25="",Policy!$B$24&lt;&gt;"OK"),"",IFERROR(MIN($O25,INDEX(Policy!$C$5:$E$16,MATCH($F25&amp;"|"&amp;Scales!$B$33,Policy!$G$5:$G$16,0),MATCH($I25,Policy!$C$4:$E$4,0))),""))</f>
        <v>3</v>
      </c>
      <c r="R25" s="5">
        <v>1</v>
      </c>
      <c r="S25" s="13" t="str">
        <f>IF($B25="","",IF(COUNTIF('Readiness gate'!$A$7:$A$36,$A25)&lt;&gt;1,"Incomplete",IFERROR(IF(VLOOKUP($A25,GateTab,IF($F25=Scales!$B$24,11,9),FALSE())="","Incomplete",VLOOKUP($A25,GateTab,IF($F25=Scales!$B$24,11,9),FALSE())),"Incomplete")))</f>
        <v>Passed</v>
      </c>
      <c r="T25" s="8">
        <f>IF($O25="","",MIN(IF(AND($O25&gt;MATCH($J25,Scales!$B$6:$B$10,0)-1,$N25&lt;&gt;"Yes"),MATCH($J25,Scales!$B$6:$B$10,0)-1,$O25),$L25,IF($F25=Scales!$B$24,IF($S25="Passed",4,IF(NOT(ISNUMBER($R25)),0,IF(OR($R25&lt;0,$R25&gt;4,$R25&lt;&gt;INT($R25)),0,$R25))),IF(NOT(ISNUMBER($R25)),0,IF(OR($R25&lt;0,$R25&gt;4,$R25&lt;&gt;INT($R25)),0,$R25))+IF($S25="Passed",1,0)),IF(AND($F25&lt;&gt;Scales!$B$24,OR($F25=Scales!$B$27,$G25=Scales!$B$33)),3,4)))</f>
        <v>2</v>
      </c>
      <c r="U25" s="13" t="str">
        <f>IF($O25="",IF(AND($B25&lt;&gt;"",$B25&lt;&gt;"Duplicate ID"),IF($J25="Config error","Config error","Incomplete assessment"),""),IF($T25&gt;=$O25,IF(LEFT($P25,4)="More","Own choice","None"),MID(IF(AND($O25&gt;MATCH($J25,Scales!$B$6:$B$10,0)-1,$N25&lt;&gt;"Yes",$T25=MATCH($J25,Scales!$B$6:$B$10,0)-1)," + Exception not approved","")&amp;IF(AND($F25&lt;&gt;Scales!$B$24,OR($F25=Scales!$B$27,$G25=Scales!$B$33),$T25=3)," + Human-signature guardrail","")&amp;IF($T25=$L25," + Model confidence","")&amp;IF($T25=IF($F25=Scales!$B$24,IF($S25="Passed",4,IF(NOT(ISNUMBER($R25)),0,IF(OR($R25&lt;0,$R25&gt;4,$R25&lt;&gt;INT($R25)),0,$R25))),IF(NOT(ISNUMBER($R25)),0,IF(OR($R25&lt;0,$R25&gt;4,$R25&lt;&gt;INT($R25)),0,$R25))+IF($S25="Passed",1,0))," + "&amp;IF($S25&lt;&gt;"Passed","Readiness gate","Readiness gate (one level per gate)"),""),4,200)))</f>
        <v>Readiness gate (one level per gate)</v>
      </c>
      <c r="V25" s="23"/>
    </row>
    <row r="26" spans="1:22" x14ac:dyDescent="0.25">
      <c r="A26" s="8" t="s">
        <v>144</v>
      </c>
      <c r="B26" s="11" t="str">
        <f>IF($A26="","",IF(COUNTIF('Use cases'!$A$5:$A$34,$A26)&gt;1,"Duplicate ID",IFERROR(IF(VLOOKUP($A26,'Use cases'!$A$5:$B$34,2,FALSE())=0,"",VLOOKUP($A26,'Use cases'!$A$5:$B$34,2,FALSE())),"")))</f>
        <v>Suspicious MFA registration</v>
      </c>
      <c r="C26" s="12" t="str">
        <f>IF(OR($B26="",$B26="Duplicate ID"),"",IFERROR(VLOOKUP($A26,'Use cases'!$A$5:$C$34,3,FALSE()),""))</f>
        <v>Identity</v>
      </c>
      <c r="D26" s="13" t="s">
        <v>120</v>
      </c>
      <c r="E26" s="23" t="s">
        <v>147</v>
      </c>
      <c r="F26" s="23" t="s">
        <v>119</v>
      </c>
      <c r="G26" s="24" t="s">
        <v>115</v>
      </c>
      <c r="H26" s="24" t="s">
        <v>116</v>
      </c>
      <c r="I26" s="13" t="str">
        <f>IF(OR($B26="",$B26="Duplicate ID"),"",IFERROR(VLOOKUP($A26,'Use cases'!$A$5:$E$34,5,FALSE()),""))</f>
        <v>Progressive</v>
      </c>
      <c r="J26" s="11" t="str">
        <f>IF(OR($B26="",$B26="Duplicate ID"),"",IF(OR($F26="",$G26=""),"",IF(Policy!$B$24&lt;&gt;"OK","Config error",IFERROR(INDEX(Scales!$B$6:$B$10,1+INDEX(Policy!$C$5:$E$16,MATCH($F26&amp;"|"&amp;$G26,Policy!$G$5:$G$16,0),MATCH($I26,Policy!$C$4:$E$4,0))),"Config error"))))</f>
        <v>L4 Autonomous</v>
      </c>
      <c r="K26" s="13">
        <f>IF($H26="","",IF($F26=Scales!$B$24,"exempt",IFERROR(IF(VLOOKUP($H26,Conf_Check,3,FALSE())="valid",VLOOKUP($H26,Conf_Adjust,2,FALSE()),"n/a"),"n/a")))</f>
        <v>0</v>
      </c>
      <c r="L26" s="13">
        <f>IF(OR($J26="",$J26="Config error"),"",IF(OR($F26=Scales!$B$24,AND(ISNUMBER($K26),$K26=0)),4,IF(ISNUMBER($K26),MAX(1,MATCH($J26,Scales!$B$6:$B$10,0)-1+$K26),1)))</f>
        <v>4</v>
      </c>
      <c r="M26" s="5"/>
      <c r="N26" s="5"/>
      <c r="O26" s="8">
        <f>IF(OR($J26="",$J26="Config error",$E26="",$F26="",$G26="",$H26="",$R26=""),"",IF($M26="",MATCH($J26,Scales!$B$6:$B$10,0),IFERROR(MATCH($M26,Scales!$B$6:$B$10,0),MATCH($J26,Scales!$B$6:$B$10,0)))-1)</f>
        <v>4</v>
      </c>
      <c r="P26" s="12" t="str">
        <f>IF($J26="",IF(AND($B26&lt;&gt;"",$B26&lt;&gt;"Duplicate ID"),"Incomplete assessment",""),IF($J26="Config error","Config error",IF($O26="","Incomplete assessment",IF($M26="","As recommended",IF(ISERROR(MATCH($M26,Scales!$B$6:$B$10,0)),"Invalid choice",IF(MATCH($M26,Scales!$B$6:$B$10,0)&gt;MATCH($J26,Scales!$B$6:$B$10,0),"Above policy: needs sign-off",IF(MATCH($M26,Scales!$B$6:$B$10,0)&lt;MATCH($J26,Scales!$B$6:$B$10,0),"More cautious than policy","As recommended")))))))</f>
        <v>As recommended</v>
      </c>
      <c r="Q26" s="13">
        <f>IF(OR($O26="",Policy!$B$24&lt;&gt;"OK"),"",IFERROR(MIN($O26,INDEX(Policy!$C$5:$E$16,MATCH($F26&amp;"|"&amp;Scales!$B$33,Policy!$G$5:$G$16,0),MATCH($I26,Policy!$C$4:$E$4,0))),""))</f>
        <v>3</v>
      </c>
      <c r="R26" s="5">
        <v>2</v>
      </c>
      <c r="S26" s="13" t="str">
        <f>IF($B26="","",IF(COUNTIF('Readiness gate'!$A$7:$A$36,$A26)&lt;&gt;1,"Incomplete",IFERROR(IF(VLOOKUP($A26,GateTab,IF($F26=Scales!$B$24,11,9),FALSE())="","Incomplete",VLOOKUP($A26,GateTab,IF($F26=Scales!$B$24,11,9),FALSE())),"Incomplete")))</f>
        <v>Passed</v>
      </c>
      <c r="T26" s="8">
        <f>IF($O26="","",MIN(IF(AND($O26&gt;MATCH($J26,Scales!$B$6:$B$10,0)-1,$N26&lt;&gt;"Yes"),MATCH($J26,Scales!$B$6:$B$10,0)-1,$O26),$L26,IF($F26=Scales!$B$24,IF($S26="Passed",4,IF(NOT(ISNUMBER($R26)),0,IF(OR($R26&lt;0,$R26&gt;4,$R26&lt;&gt;INT($R26)),0,$R26))),IF(NOT(ISNUMBER($R26)),0,IF(OR($R26&lt;0,$R26&gt;4,$R26&lt;&gt;INT($R26)),0,$R26))+IF($S26="Passed",1,0)),IF(AND($F26&lt;&gt;Scales!$B$24,OR($F26=Scales!$B$27,$G26=Scales!$B$33)),3,4)))</f>
        <v>3</v>
      </c>
      <c r="U26" s="13" t="str">
        <f>IF($O26="",IF(AND($B26&lt;&gt;"",$B26&lt;&gt;"Duplicate ID"),IF($J26="Config error","Config error","Incomplete assessment"),""),IF($T26&gt;=$O26,IF(LEFT($P26,4)="More","Own choice","None"),MID(IF(AND($O26&gt;MATCH($J26,Scales!$B$6:$B$10,0)-1,$N26&lt;&gt;"Yes",$T26=MATCH($J26,Scales!$B$6:$B$10,0)-1)," + Exception not approved","")&amp;IF(AND($F26&lt;&gt;Scales!$B$24,OR($F26=Scales!$B$27,$G26=Scales!$B$33),$T26=3)," + Human-signature guardrail","")&amp;IF($T26=$L26," + Model confidence","")&amp;IF($T26=IF($F26=Scales!$B$24,IF($S26="Passed",4,IF(NOT(ISNUMBER($R26)),0,IF(OR($R26&lt;0,$R26&gt;4,$R26&lt;&gt;INT($R26)),0,$R26))),IF(NOT(ISNUMBER($R26)),0,IF(OR($R26&lt;0,$R26&gt;4,$R26&lt;&gt;INT($R26)),0,$R26))+IF($S26="Passed",1,0))," + "&amp;IF($S26&lt;&gt;"Passed","Readiness gate","Readiness gate (one level per gate)"),""),4,200)))</f>
        <v>Readiness gate (one level per gate)</v>
      </c>
      <c r="V26" s="23"/>
    </row>
    <row r="27" spans="1:22" x14ac:dyDescent="0.25">
      <c r="A27" s="8" t="s">
        <v>144</v>
      </c>
      <c r="B27" s="11" t="str">
        <f>IF($A27="","",IF(COUNTIF('Use cases'!$A$5:$A$34,$A27)&gt;1,"Duplicate ID",IFERROR(IF(VLOOKUP($A27,'Use cases'!$A$5:$B$34,2,FALSE())=0,"",VLOOKUP($A27,'Use cases'!$A$5:$B$34,2,FALSE())),"")))</f>
        <v>Suspicious MFA registration</v>
      </c>
      <c r="C27" s="12" t="str">
        <f>IF(OR($B27="",$B27="Duplicate ID"),"",IFERROR(VLOOKUP($A27,'Use cases'!$A$5:$C$34,3,FALSE()),""))</f>
        <v>Identity</v>
      </c>
      <c r="D27" s="13" t="s">
        <v>123</v>
      </c>
      <c r="E27" s="23" t="s">
        <v>148</v>
      </c>
      <c r="F27" s="23" t="s">
        <v>134</v>
      </c>
      <c r="G27" s="24" t="s">
        <v>115</v>
      </c>
      <c r="H27" s="24" t="s">
        <v>122</v>
      </c>
      <c r="I27" s="13" t="str">
        <f>IF(OR($B27="",$B27="Duplicate ID"),"",IFERROR(VLOOKUP($A27,'Use cases'!$A$5:$E$34,5,FALSE()),""))</f>
        <v>Progressive</v>
      </c>
      <c r="J27" s="11" t="str">
        <f>IF(OR($B27="",$B27="Duplicate ID"),"",IF(OR($F27="",$G27=""),"",IF(Policy!$B$24&lt;&gt;"OK","Config error",IFERROR(INDEX(Scales!$B$6:$B$10,1+INDEX(Policy!$C$5:$E$16,MATCH($F27&amp;"|"&amp;$G27,Policy!$G$5:$G$16,0),MATCH($I27,Policy!$C$4:$E$4,0))),"Config error"))))</f>
        <v>L4 Autonomous</v>
      </c>
      <c r="K27" s="13">
        <f>IF($H27="","",IF($F27=Scales!$B$24,"exempt",IFERROR(IF(VLOOKUP($H27,Conf_Check,3,FALSE())="valid",VLOOKUP($H27,Conf_Adjust,2,FALSE()),"n/a"),"n/a")))</f>
        <v>-1</v>
      </c>
      <c r="L27" s="13">
        <f>IF(OR($J27="",$J27="Config error"),"",IF(OR($F27=Scales!$B$24,AND(ISNUMBER($K27),$K27=0)),4,IF(ISNUMBER($K27),MAX(1,MATCH($J27,Scales!$B$6:$B$10,0)-1+$K27),1)))</f>
        <v>3</v>
      </c>
      <c r="M27" s="5"/>
      <c r="N27" s="5"/>
      <c r="O27" s="8">
        <f>IF(OR($J27="",$J27="Config error",$E27="",$F27="",$G27="",$H27="",$R27=""),"",IF($M27="",MATCH($J27,Scales!$B$6:$B$10,0),IFERROR(MATCH($M27,Scales!$B$6:$B$10,0),MATCH($J27,Scales!$B$6:$B$10,0)))-1)</f>
        <v>4</v>
      </c>
      <c r="P27" s="12" t="str">
        <f>IF($J27="",IF(AND($B27&lt;&gt;"",$B27&lt;&gt;"Duplicate ID"),"Incomplete assessment",""),IF($J27="Config error","Config error",IF($O27="","Incomplete assessment",IF($M27="","As recommended",IF(ISERROR(MATCH($M27,Scales!$B$6:$B$10,0)),"Invalid choice",IF(MATCH($M27,Scales!$B$6:$B$10,0)&gt;MATCH($J27,Scales!$B$6:$B$10,0),"Above policy: needs sign-off",IF(MATCH($M27,Scales!$B$6:$B$10,0)&lt;MATCH($J27,Scales!$B$6:$B$10,0),"More cautious than policy","As recommended")))))))</f>
        <v>As recommended</v>
      </c>
      <c r="Q27" s="13">
        <f>IF(OR($O27="",Policy!$B$24&lt;&gt;"OK"),"",IFERROR(MIN($O27,INDEX(Policy!$C$5:$E$16,MATCH($F27&amp;"|"&amp;Scales!$B$33,Policy!$G$5:$G$16,0),MATCH($I27,Policy!$C$4:$E$4,0))),""))</f>
        <v>3</v>
      </c>
      <c r="R27" s="5">
        <v>1</v>
      </c>
      <c r="S27" s="13" t="str">
        <f>IF($B27="","",IF(COUNTIF('Readiness gate'!$A$7:$A$36,$A27)&lt;&gt;1,"Incomplete",IFERROR(IF(VLOOKUP($A27,GateTab,IF($F27=Scales!$B$24,11,9),FALSE())="","Incomplete",VLOOKUP($A27,GateTab,IF($F27=Scales!$B$24,11,9),FALSE())),"Incomplete")))</f>
        <v>Passed</v>
      </c>
      <c r="T27" s="8">
        <f>IF($O27="","",MIN(IF(AND($O27&gt;MATCH($J27,Scales!$B$6:$B$10,0)-1,$N27&lt;&gt;"Yes"),MATCH($J27,Scales!$B$6:$B$10,0)-1,$O27),$L27,IF($F27=Scales!$B$24,IF($S27="Passed",4,IF(NOT(ISNUMBER($R27)),0,IF(OR($R27&lt;0,$R27&gt;4,$R27&lt;&gt;INT($R27)),0,$R27))),IF(NOT(ISNUMBER($R27)),0,IF(OR($R27&lt;0,$R27&gt;4,$R27&lt;&gt;INT($R27)),0,$R27))+IF($S27="Passed",1,0)),IF(AND($F27&lt;&gt;Scales!$B$24,OR($F27=Scales!$B$27,$G27=Scales!$B$33)),3,4)))</f>
        <v>2</v>
      </c>
      <c r="U27" s="13" t="str">
        <f>IF($O27="",IF(AND($B27&lt;&gt;"",$B27&lt;&gt;"Duplicate ID"),IF($J27="Config error","Config error","Incomplete assessment"),""),IF($T27&gt;=$O27,IF(LEFT($P27,4)="More","Own choice","None"),MID(IF(AND($O27&gt;MATCH($J27,Scales!$B$6:$B$10,0)-1,$N27&lt;&gt;"Yes",$T27=MATCH($J27,Scales!$B$6:$B$10,0)-1)," + Exception not approved","")&amp;IF(AND($F27&lt;&gt;Scales!$B$24,OR($F27=Scales!$B$27,$G27=Scales!$B$33),$T27=3)," + Human-signature guardrail","")&amp;IF($T27=$L27," + Model confidence","")&amp;IF($T27=IF($F27=Scales!$B$24,IF($S27="Passed",4,IF(NOT(ISNUMBER($R27)),0,IF(OR($R27&lt;0,$R27&gt;4,$R27&lt;&gt;INT($R27)),0,$R27))),IF(NOT(ISNUMBER($R27)),0,IF(OR($R27&lt;0,$R27&gt;4,$R27&lt;&gt;INT($R27)),0,$R27))+IF($S27="Passed",1,0))," + "&amp;IF($S27&lt;&gt;"Passed","Readiness gate","Readiness gate (one level per gate)"),""),4,200)))</f>
        <v>Readiness gate (one level per gate)</v>
      </c>
      <c r="V27" s="23"/>
    </row>
    <row r="28" spans="1:22" x14ac:dyDescent="0.25">
      <c r="A28" s="8" t="s">
        <v>144</v>
      </c>
      <c r="B28" s="11" t="str">
        <f>IF($A28="","",IF(COUNTIF('Use cases'!$A$5:$A$34,$A28)&gt;1,"Duplicate ID",IFERROR(IF(VLOOKUP($A28,'Use cases'!$A$5:$B$34,2,FALSE())=0,"",VLOOKUP($A28,'Use cases'!$A$5:$B$34,2,FALSE())),"")))</f>
        <v>Suspicious MFA registration</v>
      </c>
      <c r="C28" s="12" t="str">
        <f>IF(OR($B28="",$B28="Duplicate ID"),"",IFERROR(VLOOKUP($A28,'Use cases'!$A$5:$C$34,3,FALSE()),""))</f>
        <v>Identity</v>
      </c>
      <c r="D28" s="13" t="s">
        <v>125</v>
      </c>
      <c r="E28" s="23" t="s">
        <v>149</v>
      </c>
      <c r="F28" s="23" t="s">
        <v>119</v>
      </c>
      <c r="G28" s="24" t="s">
        <v>115</v>
      </c>
      <c r="H28" s="24" t="s">
        <v>122</v>
      </c>
      <c r="I28" s="13" t="str">
        <f>IF(OR($B28="",$B28="Duplicate ID"),"",IFERROR(VLOOKUP($A28,'Use cases'!$A$5:$E$34,5,FALSE()),""))</f>
        <v>Progressive</v>
      </c>
      <c r="J28" s="11" t="str">
        <f>IF(OR($B28="",$B28="Duplicate ID"),"",IF(OR($F28="",$G28=""),"",IF(Policy!$B$24&lt;&gt;"OK","Config error",IFERROR(INDEX(Scales!$B$6:$B$10,1+INDEX(Policy!$C$5:$E$16,MATCH($F28&amp;"|"&amp;$G28,Policy!$G$5:$G$16,0),MATCH($I28,Policy!$C$4:$E$4,0))),"Config error"))))</f>
        <v>L4 Autonomous</v>
      </c>
      <c r="K28" s="13">
        <f>IF($H28="","",IF($F28=Scales!$B$24,"exempt",IFERROR(IF(VLOOKUP($H28,Conf_Check,3,FALSE())="valid",VLOOKUP($H28,Conf_Adjust,2,FALSE()),"n/a"),"n/a")))</f>
        <v>-1</v>
      </c>
      <c r="L28" s="13">
        <f>IF(OR($J28="",$J28="Config error"),"",IF(OR($F28=Scales!$B$24,AND(ISNUMBER($K28),$K28=0)),4,IF(ISNUMBER($K28),MAX(1,MATCH($J28,Scales!$B$6:$B$10,0)-1+$K28),1)))</f>
        <v>3</v>
      </c>
      <c r="M28" s="5"/>
      <c r="N28" s="5"/>
      <c r="O28" s="8">
        <f>IF(OR($J28="",$J28="Config error",$E28="",$F28="",$G28="",$H28="",$R28=""),"",IF($M28="",MATCH($J28,Scales!$B$6:$B$10,0),IFERROR(MATCH($M28,Scales!$B$6:$B$10,0),MATCH($J28,Scales!$B$6:$B$10,0)))-1)</f>
        <v>4</v>
      </c>
      <c r="P28" s="12" t="str">
        <f>IF($J28="",IF(AND($B28&lt;&gt;"",$B28&lt;&gt;"Duplicate ID"),"Incomplete assessment",""),IF($J28="Config error","Config error",IF($O28="","Incomplete assessment",IF($M28="","As recommended",IF(ISERROR(MATCH($M28,Scales!$B$6:$B$10,0)),"Invalid choice",IF(MATCH($M28,Scales!$B$6:$B$10,0)&gt;MATCH($J28,Scales!$B$6:$B$10,0),"Above policy: needs sign-off",IF(MATCH($M28,Scales!$B$6:$B$10,0)&lt;MATCH($J28,Scales!$B$6:$B$10,0),"More cautious than policy","As recommended")))))))</f>
        <v>As recommended</v>
      </c>
      <c r="Q28" s="13">
        <f>IF(OR($O28="",Policy!$B$24&lt;&gt;"OK"),"",IFERROR(MIN($O28,INDEX(Policy!$C$5:$E$16,MATCH($F28&amp;"|"&amp;Scales!$B$33,Policy!$G$5:$G$16,0),MATCH($I28,Policy!$C$4:$E$4,0))),""))</f>
        <v>3</v>
      </c>
      <c r="R28" s="5">
        <v>1</v>
      </c>
      <c r="S28" s="13" t="str">
        <f>IF($B28="","",IF(COUNTIF('Readiness gate'!$A$7:$A$36,$A28)&lt;&gt;1,"Incomplete",IFERROR(IF(VLOOKUP($A28,GateTab,IF($F28=Scales!$B$24,11,9),FALSE())="","Incomplete",VLOOKUP($A28,GateTab,IF($F28=Scales!$B$24,11,9),FALSE())),"Incomplete")))</f>
        <v>Passed</v>
      </c>
      <c r="T28" s="8">
        <f>IF($O28="","",MIN(IF(AND($O28&gt;MATCH($J28,Scales!$B$6:$B$10,0)-1,$N28&lt;&gt;"Yes"),MATCH($J28,Scales!$B$6:$B$10,0)-1,$O28),$L28,IF($F28=Scales!$B$24,IF($S28="Passed",4,IF(NOT(ISNUMBER($R28)),0,IF(OR($R28&lt;0,$R28&gt;4,$R28&lt;&gt;INT($R28)),0,$R28))),IF(NOT(ISNUMBER($R28)),0,IF(OR($R28&lt;0,$R28&gt;4,$R28&lt;&gt;INT($R28)),0,$R28))+IF($S28="Passed",1,0)),IF(AND($F28&lt;&gt;Scales!$B$24,OR($F28=Scales!$B$27,$G28=Scales!$B$33)),3,4)))</f>
        <v>2</v>
      </c>
      <c r="U28" s="13" t="str">
        <f>IF($O28="",IF(AND($B28&lt;&gt;"",$B28&lt;&gt;"Duplicate ID"),IF($J28="Config error","Config error","Incomplete assessment"),""),IF($T28&gt;=$O28,IF(LEFT($P28,4)="More","Own choice","None"),MID(IF(AND($O28&gt;MATCH($J28,Scales!$B$6:$B$10,0)-1,$N28&lt;&gt;"Yes",$T28=MATCH($J28,Scales!$B$6:$B$10,0)-1)," + Exception not approved","")&amp;IF(AND($F28&lt;&gt;Scales!$B$24,OR($F28=Scales!$B$27,$G28=Scales!$B$33),$T28=3)," + Human-signature guardrail","")&amp;IF($T28=$L28," + Model confidence","")&amp;IF($T28=IF($F28=Scales!$B$24,IF($S28="Passed",4,IF(NOT(ISNUMBER($R28)),0,IF(OR($R28&lt;0,$R28&gt;4,$R28&lt;&gt;INT($R28)),0,$R28))),IF(NOT(ISNUMBER($R28)),0,IF(OR($R28&lt;0,$R28&gt;4,$R28&lt;&gt;INT($R28)),0,$R28))+IF($S28="Passed",1,0))," + "&amp;IF($S28&lt;&gt;"Passed","Readiness gate","Readiness gate (one level per gate)"),""),4,200)))</f>
        <v>Readiness gate (one level per gate)</v>
      </c>
      <c r="V28" s="23"/>
    </row>
    <row r="29" spans="1:22" x14ac:dyDescent="0.25">
      <c r="A29" s="8" t="s">
        <v>144</v>
      </c>
      <c r="B29" s="11" t="str">
        <f>IF($A29="","",IF(COUNTIF('Use cases'!$A$5:$A$34,$A29)&gt;1,"Duplicate ID",IFERROR(IF(VLOOKUP($A29,'Use cases'!$A$5:$B$34,2,FALSE())=0,"",VLOOKUP($A29,'Use cases'!$A$5:$B$34,2,FALSE())),"")))</f>
        <v>Suspicious MFA registration</v>
      </c>
      <c r="C29" s="12" t="str">
        <f>IF(OR($B29="",$B29="Duplicate ID"),"",IFERROR(VLOOKUP($A29,'Use cases'!$A$5:$C$34,3,FALSE()),""))</f>
        <v>Identity</v>
      </c>
      <c r="D29" s="13" t="s">
        <v>127</v>
      </c>
      <c r="E29" s="23" t="s">
        <v>150</v>
      </c>
      <c r="F29" s="23" t="s">
        <v>119</v>
      </c>
      <c r="G29" s="24" t="s">
        <v>115</v>
      </c>
      <c r="H29" s="24" t="s">
        <v>116</v>
      </c>
      <c r="I29" s="13" t="str">
        <f>IF(OR($B29="",$B29="Duplicate ID"),"",IFERROR(VLOOKUP($A29,'Use cases'!$A$5:$E$34,5,FALSE()),""))</f>
        <v>Progressive</v>
      </c>
      <c r="J29" s="11" t="str">
        <f>IF(OR($B29="",$B29="Duplicate ID"),"",IF(OR($F29="",$G29=""),"",IF(Policy!$B$24&lt;&gt;"OK","Config error",IFERROR(INDEX(Scales!$B$6:$B$10,1+INDEX(Policy!$C$5:$E$16,MATCH($F29&amp;"|"&amp;$G29,Policy!$G$5:$G$16,0),MATCH($I29,Policy!$C$4:$E$4,0))),"Config error"))))</f>
        <v>L4 Autonomous</v>
      </c>
      <c r="K29" s="13">
        <f>IF($H29="","",IF($F29=Scales!$B$24,"exempt",IFERROR(IF(VLOOKUP($H29,Conf_Check,3,FALSE())="valid",VLOOKUP($H29,Conf_Adjust,2,FALSE()),"n/a"),"n/a")))</f>
        <v>0</v>
      </c>
      <c r="L29" s="13">
        <f>IF(OR($J29="",$J29="Config error"),"",IF(OR($F29=Scales!$B$24,AND(ISNUMBER($K29),$K29=0)),4,IF(ISNUMBER($K29),MAX(1,MATCH($J29,Scales!$B$6:$B$10,0)-1+$K29),1)))</f>
        <v>4</v>
      </c>
      <c r="M29" s="5"/>
      <c r="N29" s="5"/>
      <c r="O29" s="8">
        <f>IF(OR($J29="",$J29="Config error",$E29="",$F29="",$G29="",$H29="",$R29=""),"",IF($M29="",MATCH($J29,Scales!$B$6:$B$10,0),IFERROR(MATCH($M29,Scales!$B$6:$B$10,0),MATCH($J29,Scales!$B$6:$B$10,0)))-1)</f>
        <v>4</v>
      </c>
      <c r="P29" s="12" t="str">
        <f>IF($J29="",IF(AND($B29&lt;&gt;"",$B29&lt;&gt;"Duplicate ID"),"Incomplete assessment",""),IF($J29="Config error","Config error",IF($O29="","Incomplete assessment",IF($M29="","As recommended",IF(ISERROR(MATCH($M29,Scales!$B$6:$B$10,0)),"Invalid choice",IF(MATCH($M29,Scales!$B$6:$B$10,0)&gt;MATCH($J29,Scales!$B$6:$B$10,0),"Above policy: needs sign-off",IF(MATCH($M29,Scales!$B$6:$B$10,0)&lt;MATCH($J29,Scales!$B$6:$B$10,0),"More cautious than policy","As recommended")))))))</f>
        <v>As recommended</v>
      </c>
      <c r="Q29" s="13">
        <f>IF(OR($O29="",Policy!$B$24&lt;&gt;"OK"),"",IFERROR(MIN($O29,INDEX(Policy!$C$5:$E$16,MATCH($F29&amp;"|"&amp;Scales!$B$33,Policy!$G$5:$G$16,0),MATCH($I29,Policy!$C$4:$E$4,0))),""))</f>
        <v>3</v>
      </c>
      <c r="R29" s="5">
        <v>1</v>
      </c>
      <c r="S29" s="13" t="str">
        <f>IF($B29="","",IF(COUNTIF('Readiness gate'!$A$7:$A$36,$A29)&lt;&gt;1,"Incomplete",IFERROR(IF(VLOOKUP($A29,GateTab,IF($F29=Scales!$B$24,11,9),FALSE())="","Incomplete",VLOOKUP($A29,GateTab,IF($F29=Scales!$B$24,11,9),FALSE())),"Incomplete")))</f>
        <v>Passed</v>
      </c>
      <c r="T29" s="8">
        <f>IF($O29="","",MIN(IF(AND($O29&gt;MATCH($J29,Scales!$B$6:$B$10,0)-1,$N29&lt;&gt;"Yes"),MATCH($J29,Scales!$B$6:$B$10,0)-1,$O29),$L29,IF($F29=Scales!$B$24,IF($S29="Passed",4,IF(NOT(ISNUMBER($R29)),0,IF(OR($R29&lt;0,$R29&gt;4,$R29&lt;&gt;INT($R29)),0,$R29))),IF(NOT(ISNUMBER($R29)),0,IF(OR($R29&lt;0,$R29&gt;4,$R29&lt;&gt;INT($R29)),0,$R29))+IF($S29="Passed",1,0)),IF(AND($F29&lt;&gt;Scales!$B$24,OR($F29=Scales!$B$27,$G29=Scales!$B$33)),3,4)))</f>
        <v>2</v>
      </c>
      <c r="U29" s="13" t="str">
        <f>IF($O29="",IF(AND($B29&lt;&gt;"",$B29&lt;&gt;"Duplicate ID"),IF($J29="Config error","Config error","Incomplete assessment"),""),IF($T29&gt;=$O29,IF(LEFT($P29,4)="More","Own choice","None"),MID(IF(AND($O29&gt;MATCH($J29,Scales!$B$6:$B$10,0)-1,$N29&lt;&gt;"Yes",$T29=MATCH($J29,Scales!$B$6:$B$10,0)-1)," + Exception not approved","")&amp;IF(AND($F29&lt;&gt;Scales!$B$24,OR($F29=Scales!$B$27,$G29=Scales!$B$33),$T29=3)," + Human-signature guardrail","")&amp;IF($T29=$L29," + Model confidence","")&amp;IF($T29=IF($F29=Scales!$B$24,IF($S29="Passed",4,IF(NOT(ISNUMBER($R29)),0,IF(OR($R29&lt;0,$R29&gt;4,$R29&lt;&gt;INT($R29)),0,$R29))),IF(NOT(ISNUMBER($R29)),0,IF(OR($R29&lt;0,$R29&gt;4,$R29&lt;&gt;INT($R29)),0,$R29))+IF($S29="Passed",1,0))," + "&amp;IF($S29&lt;&gt;"Passed","Readiness gate","Readiness gate (one level per gate)"),""),4,200)))</f>
        <v>Readiness gate (one level per gate)</v>
      </c>
      <c r="V29" s="23"/>
    </row>
    <row r="30" spans="1:22" x14ac:dyDescent="0.25">
      <c r="A30" s="8" t="s">
        <v>151</v>
      </c>
      <c r="B30" s="11" t="str">
        <f>IF($A30="","",IF(COUNTIF('Use cases'!$A$5:$A$34,$A30)&gt;1,"Duplicate ID",IFERROR(IF(VLOOKUP($A30,'Use cases'!$A$5:$B$34,2,FALSE())=0,"",VLOOKUP($A30,'Use cases'!$A$5:$B$34,2,FALSE())),"")))</f>
        <v>Privileged account anomaly</v>
      </c>
      <c r="C30" s="12" t="str">
        <f>IF(OR($B30="",$B30="Duplicate ID"),"",IFERROR(VLOOKUP($A30,'Use cases'!$A$5:$C$34,3,FALSE()),""))</f>
        <v>Identity</v>
      </c>
      <c r="D30" s="13" t="s">
        <v>112</v>
      </c>
      <c r="E30" s="23" t="s">
        <v>152</v>
      </c>
      <c r="F30" s="23" t="s">
        <v>114</v>
      </c>
      <c r="G30" s="24" t="s">
        <v>115</v>
      </c>
      <c r="H30" s="24" t="s">
        <v>122</v>
      </c>
      <c r="I30" s="13" t="str">
        <f>IF(OR($B30="",$B30="Duplicate ID"),"",IFERROR(VLOOKUP($A30,'Use cases'!$A$5:$E$34,5,FALSE()),""))</f>
        <v>Progressive</v>
      </c>
      <c r="J30" s="11" t="str">
        <f>IF(OR($B30="",$B30="Duplicate ID"),"",IF(OR($F30="",$G30=""),"",IF(Policy!$B$24&lt;&gt;"OK","Config error",IFERROR(INDEX(Scales!$B$6:$B$10,1+INDEX(Policy!$C$5:$E$16,MATCH($F30&amp;"|"&amp;$G30,Policy!$G$5:$G$16,0),MATCH($I30,Policy!$C$4:$E$4,0))),"Config error"))))</f>
        <v>L4 Autonomous</v>
      </c>
      <c r="K30" s="13" t="str">
        <f>IF($H30="","",IF($F30=Scales!$B$24,"exempt",IFERROR(IF(VLOOKUP($H30,Conf_Check,3,FALSE())="valid",VLOOKUP($H30,Conf_Adjust,2,FALSE()),"n/a"),"n/a")))</f>
        <v>exempt</v>
      </c>
      <c r="L30" s="13">
        <f>IF(OR($J30="",$J30="Config error"),"",IF(OR($F30=Scales!$B$24,AND(ISNUMBER($K30),$K30=0)),4,IF(ISNUMBER($K30),MAX(1,MATCH($J30,Scales!$B$6:$B$10,0)-1+$K30),1)))</f>
        <v>4</v>
      </c>
      <c r="M30" s="5"/>
      <c r="N30" s="5"/>
      <c r="O30" s="8">
        <f>IF(OR($J30="",$J30="Config error",$E30="",$F30="",$G30="",$H30="",$R30=""),"",IF($M30="",MATCH($J30,Scales!$B$6:$B$10,0),IFERROR(MATCH($M30,Scales!$B$6:$B$10,0),MATCH($J30,Scales!$B$6:$B$10,0)))-1)</f>
        <v>4</v>
      </c>
      <c r="P30" s="12" t="str">
        <f>IF($J30="",IF(AND($B30&lt;&gt;"",$B30&lt;&gt;"Duplicate ID"),"Incomplete assessment",""),IF($J30="Config error","Config error",IF($O30="","Incomplete assessment",IF($M30="","As recommended",IF(ISERROR(MATCH($M30,Scales!$B$6:$B$10,0)),"Invalid choice",IF(MATCH($M30,Scales!$B$6:$B$10,0)&gt;MATCH($J30,Scales!$B$6:$B$10,0),"Above policy: needs sign-off",IF(MATCH($M30,Scales!$B$6:$B$10,0)&lt;MATCH($J30,Scales!$B$6:$B$10,0),"More cautious than policy","As recommended")))))))</f>
        <v>As recommended</v>
      </c>
      <c r="Q30" s="13">
        <f>IF(OR($O30="",Policy!$B$24&lt;&gt;"OK"),"",IFERROR(MIN($O30,INDEX(Policy!$C$5:$E$16,MATCH($F30&amp;"|"&amp;Scales!$B$33,Policy!$G$5:$G$16,0),MATCH($I30,Policy!$C$4:$E$4,0))),""))</f>
        <v>4</v>
      </c>
      <c r="R30" s="5">
        <v>1</v>
      </c>
      <c r="S30" s="13" t="str">
        <f>IF($B30="","",IF(COUNTIF('Readiness gate'!$A$7:$A$36,$A30)&lt;&gt;1,"Incomplete",IFERROR(IF(VLOOKUP($A30,GateTab,IF($F30=Scales!$B$24,11,9),FALSE())="","Incomplete",VLOOKUP($A30,GateTab,IF($F30=Scales!$B$24,11,9),FALSE())),"Incomplete")))</f>
        <v>Not passed</v>
      </c>
      <c r="T30" s="8">
        <f>IF($O30="","",MIN(IF(AND($O30&gt;MATCH($J30,Scales!$B$6:$B$10,0)-1,$N30&lt;&gt;"Yes"),MATCH($J30,Scales!$B$6:$B$10,0)-1,$O30),$L30,IF($F30=Scales!$B$24,IF($S30="Passed",4,IF(NOT(ISNUMBER($R30)),0,IF(OR($R30&lt;0,$R30&gt;4,$R30&lt;&gt;INT($R30)),0,$R30))),IF(NOT(ISNUMBER($R30)),0,IF(OR($R30&lt;0,$R30&gt;4,$R30&lt;&gt;INT($R30)),0,$R30))+IF($S30="Passed",1,0)),IF(AND($F30&lt;&gt;Scales!$B$24,OR($F30=Scales!$B$27,$G30=Scales!$B$33)),3,4)))</f>
        <v>1</v>
      </c>
      <c r="U30" s="13" t="str">
        <f>IF($O30="",IF(AND($B30&lt;&gt;"",$B30&lt;&gt;"Duplicate ID"),IF($J30="Config error","Config error","Incomplete assessment"),""),IF($T30&gt;=$O30,IF(LEFT($P30,4)="More","Own choice","None"),MID(IF(AND($O30&gt;MATCH($J30,Scales!$B$6:$B$10,0)-1,$N30&lt;&gt;"Yes",$T30=MATCH($J30,Scales!$B$6:$B$10,0)-1)," + Exception not approved","")&amp;IF(AND($F30&lt;&gt;Scales!$B$24,OR($F30=Scales!$B$27,$G30=Scales!$B$33),$T30=3)," + Human-signature guardrail","")&amp;IF($T30=$L30," + Model confidence","")&amp;IF($T30=IF($F30=Scales!$B$24,IF($S30="Passed",4,IF(NOT(ISNUMBER($R30)),0,IF(OR($R30&lt;0,$R30&gt;4,$R30&lt;&gt;INT($R30)),0,$R30))),IF(NOT(ISNUMBER($R30)),0,IF(OR($R30&lt;0,$R30&gt;4,$R30&lt;&gt;INT($R30)),0,$R30))+IF($S30="Passed",1,0))," + "&amp;IF($S30&lt;&gt;"Passed","Readiness gate","Readiness gate (one level per gate)"),""),4,200)))</f>
        <v>Readiness gate</v>
      </c>
      <c r="V30" s="23"/>
    </row>
    <row r="31" spans="1:22" x14ac:dyDescent="0.25">
      <c r="A31" s="8" t="s">
        <v>151</v>
      </c>
      <c r="B31" s="11" t="str">
        <f>IF($A31="","",IF(COUNTIF('Use cases'!$A$5:$A$34,$A31)&gt;1,"Duplicate ID",IFERROR(IF(VLOOKUP($A31,'Use cases'!$A$5:$B$34,2,FALSE())=0,"",VLOOKUP($A31,'Use cases'!$A$5:$B$34,2,FALSE())),"")))</f>
        <v>Privileged account anomaly</v>
      </c>
      <c r="C31" s="12" t="str">
        <f>IF(OR($B31="",$B31="Duplicate ID"),"",IFERROR(VLOOKUP($A31,'Use cases'!$A$5:$C$34,3,FALSE()),""))</f>
        <v>Identity</v>
      </c>
      <c r="D31" s="13" t="s">
        <v>117</v>
      </c>
      <c r="E31" s="23" t="s">
        <v>153</v>
      </c>
      <c r="F31" s="23" t="s">
        <v>119</v>
      </c>
      <c r="G31" s="24" t="s">
        <v>122</v>
      </c>
      <c r="H31" s="24" t="s">
        <v>122</v>
      </c>
      <c r="I31" s="13" t="str">
        <f>IF(OR($B31="",$B31="Duplicate ID"),"",IFERROR(VLOOKUP($A31,'Use cases'!$A$5:$E$34,5,FALSE()),""))</f>
        <v>Progressive</v>
      </c>
      <c r="J31" s="11" t="str">
        <f>IF(OR($B31="",$B31="Duplicate ID"),"",IF(OR($F31="",$G31=""),"",IF(Policy!$B$24&lt;&gt;"OK","Config error",IFERROR(INDEX(Scales!$B$6:$B$10,1+INDEX(Policy!$C$5:$E$16,MATCH($F31&amp;"|"&amp;$G31,Policy!$G$5:$G$16,0),MATCH($I31,Policy!$C$4:$E$4,0))),"Config error"))))</f>
        <v>L4 Autonomous</v>
      </c>
      <c r="K31" s="13">
        <f>IF($H31="","",IF($F31=Scales!$B$24,"exempt",IFERROR(IF(VLOOKUP($H31,Conf_Check,3,FALSE())="valid",VLOOKUP($H31,Conf_Adjust,2,FALSE()),"n/a"),"n/a")))</f>
        <v>-1</v>
      </c>
      <c r="L31" s="13">
        <f>IF(OR($J31="",$J31="Config error"),"",IF(OR($F31=Scales!$B$24,AND(ISNUMBER($K31),$K31=0)),4,IF(ISNUMBER($K31),MAX(1,MATCH($J31,Scales!$B$6:$B$10,0)-1+$K31),1)))</f>
        <v>3</v>
      </c>
      <c r="M31" s="5"/>
      <c r="N31" s="5"/>
      <c r="O31" s="8">
        <f>IF(OR($J31="",$J31="Config error",$E31="",$F31="",$G31="",$H31="",$R31=""),"",IF($M31="",MATCH($J31,Scales!$B$6:$B$10,0),IFERROR(MATCH($M31,Scales!$B$6:$B$10,0),MATCH($J31,Scales!$B$6:$B$10,0)))-1)</f>
        <v>4</v>
      </c>
      <c r="P31" s="12" t="str">
        <f>IF($J31="",IF(AND($B31&lt;&gt;"",$B31&lt;&gt;"Duplicate ID"),"Incomplete assessment",""),IF($J31="Config error","Config error",IF($O31="","Incomplete assessment",IF($M31="","As recommended",IF(ISERROR(MATCH($M31,Scales!$B$6:$B$10,0)),"Invalid choice",IF(MATCH($M31,Scales!$B$6:$B$10,0)&gt;MATCH($J31,Scales!$B$6:$B$10,0),"Above policy: needs sign-off",IF(MATCH($M31,Scales!$B$6:$B$10,0)&lt;MATCH($J31,Scales!$B$6:$B$10,0),"More cautious than policy","As recommended")))))))</f>
        <v>As recommended</v>
      </c>
      <c r="Q31" s="13">
        <f>IF(OR($O31="",Policy!$B$24&lt;&gt;"OK"),"",IFERROR(MIN($O31,INDEX(Policy!$C$5:$E$16,MATCH($F31&amp;"|"&amp;Scales!$B$33,Policy!$G$5:$G$16,0),MATCH($I31,Policy!$C$4:$E$4,0))),""))</f>
        <v>3</v>
      </c>
      <c r="R31" s="5">
        <v>1</v>
      </c>
      <c r="S31" s="13" t="str">
        <f>IF($B31="","",IF(COUNTIF('Readiness gate'!$A$7:$A$36,$A31)&lt;&gt;1,"Incomplete",IFERROR(IF(VLOOKUP($A31,GateTab,IF($F31=Scales!$B$24,11,9),FALSE())="","Incomplete",VLOOKUP($A31,GateTab,IF($F31=Scales!$B$24,11,9),FALSE())),"Incomplete")))</f>
        <v>Not passed</v>
      </c>
      <c r="T31" s="8">
        <f>IF($O31="","",MIN(IF(AND($O31&gt;MATCH($J31,Scales!$B$6:$B$10,0)-1,$N31&lt;&gt;"Yes"),MATCH($J31,Scales!$B$6:$B$10,0)-1,$O31),$L31,IF($F31=Scales!$B$24,IF($S31="Passed",4,IF(NOT(ISNUMBER($R31)),0,IF(OR($R31&lt;0,$R31&gt;4,$R31&lt;&gt;INT($R31)),0,$R31))),IF(NOT(ISNUMBER($R31)),0,IF(OR($R31&lt;0,$R31&gt;4,$R31&lt;&gt;INT($R31)),0,$R31))+IF($S31="Passed",1,0)),IF(AND($F31&lt;&gt;Scales!$B$24,OR($F31=Scales!$B$27,$G31=Scales!$B$33)),3,4)))</f>
        <v>1</v>
      </c>
      <c r="U31" s="13" t="str">
        <f>IF($O31="",IF(AND($B31&lt;&gt;"",$B31&lt;&gt;"Duplicate ID"),IF($J31="Config error","Config error","Incomplete assessment"),""),IF($T31&gt;=$O31,IF(LEFT($P31,4)="More","Own choice","None"),MID(IF(AND($O31&gt;MATCH($J31,Scales!$B$6:$B$10,0)-1,$N31&lt;&gt;"Yes",$T31=MATCH($J31,Scales!$B$6:$B$10,0)-1)," + Exception not approved","")&amp;IF(AND($F31&lt;&gt;Scales!$B$24,OR($F31=Scales!$B$27,$G31=Scales!$B$33),$T31=3)," + Human-signature guardrail","")&amp;IF($T31=$L31," + Model confidence","")&amp;IF($T31=IF($F31=Scales!$B$24,IF($S31="Passed",4,IF(NOT(ISNUMBER($R31)),0,IF(OR($R31&lt;0,$R31&gt;4,$R31&lt;&gt;INT($R31)),0,$R31))),IF(NOT(ISNUMBER($R31)),0,IF(OR($R31&lt;0,$R31&gt;4,$R31&lt;&gt;INT($R31)),0,$R31))+IF($S31="Passed",1,0))," + "&amp;IF($S31&lt;&gt;"Passed","Readiness gate","Readiness gate (one level per gate)"),""),4,200)))</f>
        <v>Readiness gate</v>
      </c>
      <c r="V31" s="23"/>
    </row>
    <row r="32" spans="1:22" x14ac:dyDescent="0.25">
      <c r="A32" s="8" t="s">
        <v>151</v>
      </c>
      <c r="B32" s="11" t="str">
        <f>IF($A32="","",IF(COUNTIF('Use cases'!$A$5:$A$34,$A32)&gt;1,"Duplicate ID",IFERROR(IF(VLOOKUP($A32,'Use cases'!$A$5:$B$34,2,FALSE())=0,"",VLOOKUP($A32,'Use cases'!$A$5:$B$34,2,FALSE())),"")))</f>
        <v>Privileged account anomaly</v>
      </c>
      <c r="C32" s="12" t="str">
        <f>IF(OR($B32="",$B32="Duplicate ID"),"",IFERROR(VLOOKUP($A32,'Use cases'!$A$5:$C$34,3,FALSE()),""))</f>
        <v>Identity</v>
      </c>
      <c r="D32" s="13" t="s">
        <v>120</v>
      </c>
      <c r="E32" s="23" t="s">
        <v>154</v>
      </c>
      <c r="F32" s="23" t="s">
        <v>119</v>
      </c>
      <c r="G32" s="24" t="s">
        <v>122</v>
      </c>
      <c r="H32" s="24" t="s">
        <v>122</v>
      </c>
      <c r="I32" s="13" t="str">
        <f>IF(OR($B32="",$B32="Duplicate ID"),"",IFERROR(VLOOKUP($A32,'Use cases'!$A$5:$E$34,5,FALSE()),""))</f>
        <v>Progressive</v>
      </c>
      <c r="J32" s="11" t="str">
        <f>IF(OR($B32="",$B32="Duplicate ID"),"",IF(OR($F32="",$G32=""),"",IF(Policy!$B$24&lt;&gt;"OK","Config error",IFERROR(INDEX(Scales!$B$6:$B$10,1+INDEX(Policy!$C$5:$E$16,MATCH($F32&amp;"|"&amp;$G32,Policy!$G$5:$G$16,0),MATCH($I32,Policy!$C$4:$E$4,0))),"Config error"))))</f>
        <v>L4 Autonomous</v>
      </c>
      <c r="K32" s="13">
        <f>IF($H32="","",IF($F32=Scales!$B$24,"exempt",IFERROR(IF(VLOOKUP($H32,Conf_Check,3,FALSE())="valid",VLOOKUP($H32,Conf_Adjust,2,FALSE()),"n/a"),"n/a")))</f>
        <v>-1</v>
      </c>
      <c r="L32" s="13">
        <f>IF(OR($J32="",$J32="Config error"),"",IF(OR($F32=Scales!$B$24,AND(ISNUMBER($K32),$K32=0)),4,IF(ISNUMBER($K32),MAX(1,MATCH($J32,Scales!$B$6:$B$10,0)-1+$K32),1)))</f>
        <v>3</v>
      </c>
      <c r="M32" s="5"/>
      <c r="N32" s="5"/>
      <c r="O32" s="8">
        <f>IF(OR($J32="",$J32="Config error",$E32="",$F32="",$G32="",$H32="",$R32=""),"",IF($M32="",MATCH($J32,Scales!$B$6:$B$10,0),IFERROR(MATCH($M32,Scales!$B$6:$B$10,0),MATCH($J32,Scales!$B$6:$B$10,0)))-1)</f>
        <v>4</v>
      </c>
      <c r="P32" s="12" t="str">
        <f>IF($J32="",IF(AND($B32&lt;&gt;"",$B32&lt;&gt;"Duplicate ID"),"Incomplete assessment",""),IF($J32="Config error","Config error",IF($O32="","Incomplete assessment",IF($M32="","As recommended",IF(ISERROR(MATCH($M32,Scales!$B$6:$B$10,0)),"Invalid choice",IF(MATCH($M32,Scales!$B$6:$B$10,0)&gt;MATCH($J32,Scales!$B$6:$B$10,0),"Above policy: needs sign-off",IF(MATCH($M32,Scales!$B$6:$B$10,0)&lt;MATCH($J32,Scales!$B$6:$B$10,0),"More cautious than policy","As recommended")))))))</f>
        <v>As recommended</v>
      </c>
      <c r="Q32" s="13">
        <f>IF(OR($O32="",Policy!$B$24&lt;&gt;"OK"),"",IFERROR(MIN($O32,INDEX(Policy!$C$5:$E$16,MATCH($F32&amp;"|"&amp;Scales!$B$33,Policy!$G$5:$G$16,0),MATCH($I32,Policy!$C$4:$E$4,0))),""))</f>
        <v>3</v>
      </c>
      <c r="R32" s="5">
        <v>2</v>
      </c>
      <c r="S32" s="13" t="str">
        <f>IF($B32="","",IF(COUNTIF('Readiness gate'!$A$7:$A$36,$A32)&lt;&gt;1,"Incomplete",IFERROR(IF(VLOOKUP($A32,GateTab,IF($F32=Scales!$B$24,11,9),FALSE())="","Incomplete",VLOOKUP($A32,GateTab,IF($F32=Scales!$B$24,11,9),FALSE())),"Incomplete")))</f>
        <v>Not passed</v>
      </c>
      <c r="T32" s="8">
        <f>IF($O32="","",MIN(IF(AND($O32&gt;MATCH($J32,Scales!$B$6:$B$10,0)-1,$N32&lt;&gt;"Yes"),MATCH($J32,Scales!$B$6:$B$10,0)-1,$O32),$L32,IF($F32=Scales!$B$24,IF($S32="Passed",4,IF(NOT(ISNUMBER($R32)),0,IF(OR($R32&lt;0,$R32&gt;4,$R32&lt;&gt;INT($R32)),0,$R32))),IF(NOT(ISNUMBER($R32)),0,IF(OR($R32&lt;0,$R32&gt;4,$R32&lt;&gt;INT($R32)),0,$R32))+IF($S32="Passed",1,0)),IF(AND($F32&lt;&gt;Scales!$B$24,OR($F32=Scales!$B$27,$G32=Scales!$B$33)),3,4)))</f>
        <v>2</v>
      </c>
      <c r="U32" s="13" t="str">
        <f>IF($O32="",IF(AND($B32&lt;&gt;"",$B32&lt;&gt;"Duplicate ID"),IF($J32="Config error","Config error","Incomplete assessment"),""),IF($T32&gt;=$O32,IF(LEFT($P32,4)="More","Own choice","None"),MID(IF(AND($O32&gt;MATCH($J32,Scales!$B$6:$B$10,0)-1,$N32&lt;&gt;"Yes",$T32=MATCH($J32,Scales!$B$6:$B$10,0)-1)," + Exception not approved","")&amp;IF(AND($F32&lt;&gt;Scales!$B$24,OR($F32=Scales!$B$27,$G32=Scales!$B$33),$T32=3)," + Human-signature guardrail","")&amp;IF($T32=$L32," + Model confidence","")&amp;IF($T32=IF($F32=Scales!$B$24,IF($S32="Passed",4,IF(NOT(ISNUMBER($R32)),0,IF(OR($R32&lt;0,$R32&gt;4,$R32&lt;&gt;INT($R32)),0,$R32))),IF(NOT(ISNUMBER($R32)),0,IF(OR($R32&lt;0,$R32&gt;4,$R32&lt;&gt;INT($R32)),0,$R32))+IF($S32="Passed",1,0))," + "&amp;IF($S32&lt;&gt;"Passed","Readiness gate","Readiness gate (one level per gate)"),""),4,200)))</f>
        <v>Readiness gate</v>
      </c>
      <c r="V32" s="23"/>
    </row>
    <row r="33" spans="1:22" x14ac:dyDescent="0.25">
      <c r="A33" s="8" t="s">
        <v>151</v>
      </c>
      <c r="B33" s="11" t="str">
        <f>IF($A33="","",IF(COUNTIF('Use cases'!$A$5:$A$34,$A33)&gt;1,"Duplicate ID",IFERROR(IF(VLOOKUP($A33,'Use cases'!$A$5:$B$34,2,FALSE())=0,"",VLOOKUP($A33,'Use cases'!$A$5:$B$34,2,FALSE())),"")))</f>
        <v>Privileged account anomaly</v>
      </c>
      <c r="C33" s="12" t="str">
        <f>IF(OR($B33="",$B33="Duplicate ID"),"",IFERROR(VLOOKUP($A33,'Use cases'!$A$5:$C$34,3,FALSE()),""))</f>
        <v>Identity</v>
      </c>
      <c r="D33" s="13" t="s">
        <v>123</v>
      </c>
      <c r="E33" s="23" t="s">
        <v>155</v>
      </c>
      <c r="F33" s="23" t="s">
        <v>134</v>
      </c>
      <c r="G33" s="24" t="s">
        <v>116</v>
      </c>
      <c r="H33" s="24" t="s">
        <v>115</v>
      </c>
      <c r="I33" s="13" t="str">
        <f>IF(OR($B33="",$B33="Duplicate ID"),"",IFERROR(VLOOKUP($A33,'Use cases'!$A$5:$E$34,5,FALSE()),""))</f>
        <v>Progressive</v>
      </c>
      <c r="J33" s="11" t="str">
        <f>IF(OR($B33="",$B33="Duplicate ID"),"",IF(OR($F33="",$G33=""),"",IF(Policy!$B$24&lt;&gt;"OK","Config error",IFERROR(INDEX(Scales!$B$6:$B$10,1+INDEX(Policy!$C$5:$E$16,MATCH($F33&amp;"|"&amp;$G33,Policy!$G$5:$G$16,0),MATCH($I33,Policy!$C$4:$E$4,0))),"Config error"))))</f>
        <v>L3 Human-approved</v>
      </c>
      <c r="K33" s="13">
        <f>IF($H33="","",IF($F33=Scales!$B$24,"exempt",IFERROR(IF(VLOOKUP($H33,Conf_Check,3,FALSE())="valid",VLOOKUP($H33,Conf_Adjust,2,FALSE()),"n/a"),"n/a")))</f>
        <v>-2</v>
      </c>
      <c r="L33" s="13">
        <f>IF(OR($J33="",$J33="Config error"),"",IF(OR($F33=Scales!$B$24,AND(ISNUMBER($K33),$K33=0)),4,IF(ISNUMBER($K33),MAX(1,MATCH($J33,Scales!$B$6:$B$10,0)-1+$K33),1)))</f>
        <v>1</v>
      </c>
      <c r="M33" s="5"/>
      <c r="N33" s="5"/>
      <c r="O33" s="8">
        <f>IF(OR($J33="",$J33="Config error",$E33="",$F33="",$G33="",$H33="",$R33=""),"",IF($M33="",MATCH($J33,Scales!$B$6:$B$10,0),IFERROR(MATCH($M33,Scales!$B$6:$B$10,0),MATCH($J33,Scales!$B$6:$B$10,0)))-1)</f>
        <v>3</v>
      </c>
      <c r="P33" s="12" t="str">
        <f>IF($J33="",IF(AND($B33&lt;&gt;"",$B33&lt;&gt;"Duplicate ID"),"Incomplete assessment",""),IF($J33="Config error","Config error",IF($O33="","Incomplete assessment",IF($M33="","As recommended",IF(ISERROR(MATCH($M33,Scales!$B$6:$B$10,0)),"Invalid choice",IF(MATCH($M33,Scales!$B$6:$B$10,0)&gt;MATCH($J33,Scales!$B$6:$B$10,0),"Above policy: needs sign-off",IF(MATCH($M33,Scales!$B$6:$B$10,0)&lt;MATCH($J33,Scales!$B$6:$B$10,0),"More cautious than policy","As recommended")))))))</f>
        <v>As recommended</v>
      </c>
      <c r="Q33" s="13">
        <f>IF(OR($O33="",Policy!$B$24&lt;&gt;"OK"),"",IFERROR(MIN($O33,INDEX(Policy!$C$5:$E$16,MATCH($F33&amp;"|"&amp;Scales!$B$33,Policy!$G$5:$G$16,0),MATCH($I33,Policy!$C$4:$E$4,0))),""))</f>
        <v>3</v>
      </c>
      <c r="R33" s="5">
        <v>1</v>
      </c>
      <c r="S33" s="13" t="str">
        <f>IF($B33="","",IF(COUNTIF('Readiness gate'!$A$7:$A$36,$A33)&lt;&gt;1,"Incomplete",IFERROR(IF(VLOOKUP($A33,GateTab,IF($F33=Scales!$B$24,11,9),FALSE())="","Incomplete",VLOOKUP($A33,GateTab,IF($F33=Scales!$B$24,11,9),FALSE())),"Incomplete")))</f>
        <v>Not passed</v>
      </c>
      <c r="T33" s="8">
        <f>IF($O33="","",MIN(IF(AND($O33&gt;MATCH($J33,Scales!$B$6:$B$10,0)-1,$N33&lt;&gt;"Yes"),MATCH($J33,Scales!$B$6:$B$10,0)-1,$O33),$L33,IF($F33=Scales!$B$24,IF($S33="Passed",4,IF(NOT(ISNUMBER($R33)),0,IF(OR($R33&lt;0,$R33&gt;4,$R33&lt;&gt;INT($R33)),0,$R33))),IF(NOT(ISNUMBER($R33)),0,IF(OR($R33&lt;0,$R33&gt;4,$R33&lt;&gt;INT($R33)),0,$R33))+IF($S33="Passed",1,0)),IF(AND($F33&lt;&gt;Scales!$B$24,OR($F33=Scales!$B$27,$G33=Scales!$B$33)),3,4)))</f>
        <v>1</v>
      </c>
      <c r="U33" s="13" t="str">
        <f>IF($O33="",IF(AND($B33&lt;&gt;"",$B33&lt;&gt;"Duplicate ID"),IF($J33="Config error","Config error","Incomplete assessment"),""),IF($T33&gt;=$O33,IF(LEFT($P33,4)="More","Own choice","None"),MID(IF(AND($O33&gt;MATCH($J33,Scales!$B$6:$B$10,0)-1,$N33&lt;&gt;"Yes",$T33=MATCH($J33,Scales!$B$6:$B$10,0)-1)," + Exception not approved","")&amp;IF(AND($F33&lt;&gt;Scales!$B$24,OR($F33=Scales!$B$27,$G33=Scales!$B$33),$T33=3)," + Human-signature guardrail","")&amp;IF($T33=$L33," + Model confidence","")&amp;IF($T33=IF($F33=Scales!$B$24,IF($S33="Passed",4,IF(NOT(ISNUMBER($R33)),0,IF(OR($R33&lt;0,$R33&gt;4,$R33&lt;&gt;INT($R33)),0,$R33))),IF(NOT(ISNUMBER($R33)),0,IF(OR($R33&lt;0,$R33&gt;4,$R33&lt;&gt;INT($R33)),0,$R33))+IF($S33="Passed",1,0))," + "&amp;IF($S33&lt;&gt;"Passed","Readiness gate","Readiness gate (one level per gate)"),""),4,200)))</f>
        <v>Model confidence + Readiness gate</v>
      </c>
      <c r="V33" s="23"/>
    </row>
    <row r="34" spans="1:22" x14ac:dyDescent="0.25">
      <c r="A34" s="8" t="s">
        <v>151</v>
      </c>
      <c r="B34" s="11" t="str">
        <f>IF($A34="","",IF(COUNTIF('Use cases'!$A$5:$A$34,$A34)&gt;1,"Duplicate ID",IFERROR(IF(VLOOKUP($A34,'Use cases'!$A$5:$B$34,2,FALSE())=0,"",VLOOKUP($A34,'Use cases'!$A$5:$B$34,2,FALSE())),"")))</f>
        <v>Privileged account anomaly</v>
      </c>
      <c r="C34" s="12" t="str">
        <f>IF(OR($B34="",$B34="Duplicate ID"),"",IFERROR(VLOOKUP($A34,'Use cases'!$A$5:$C$34,3,FALSE()),""))</f>
        <v>Identity</v>
      </c>
      <c r="D34" s="13" t="s">
        <v>125</v>
      </c>
      <c r="E34" s="23" t="s">
        <v>156</v>
      </c>
      <c r="F34" s="23" t="s">
        <v>119</v>
      </c>
      <c r="G34" s="24" t="s">
        <v>122</v>
      </c>
      <c r="H34" s="24" t="s">
        <v>122</v>
      </c>
      <c r="I34" s="13" t="str">
        <f>IF(OR($B34="",$B34="Duplicate ID"),"",IFERROR(VLOOKUP($A34,'Use cases'!$A$5:$E$34,5,FALSE()),""))</f>
        <v>Progressive</v>
      </c>
      <c r="J34" s="11" t="str">
        <f>IF(OR($B34="",$B34="Duplicate ID"),"",IF(OR($F34="",$G34=""),"",IF(Policy!$B$24&lt;&gt;"OK","Config error",IFERROR(INDEX(Scales!$B$6:$B$10,1+INDEX(Policy!$C$5:$E$16,MATCH($F34&amp;"|"&amp;$G34,Policy!$G$5:$G$16,0),MATCH($I34,Policy!$C$4:$E$4,0))),"Config error"))))</f>
        <v>L4 Autonomous</v>
      </c>
      <c r="K34" s="13">
        <f>IF($H34="","",IF($F34=Scales!$B$24,"exempt",IFERROR(IF(VLOOKUP($H34,Conf_Check,3,FALSE())="valid",VLOOKUP($H34,Conf_Adjust,2,FALSE()),"n/a"),"n/a")))</f>
        <v>-1</v>
      </c>
      <c r="L34" s="13">
        <f>IF(OR($J34="",$J34="Config error"),"",IF(OR($F34=Scales!$B$24,AND(ISNUMBER($K34),$K34=0)),4,IF(ISNUMBER($K34),MAX(1,MATCH($J34,Scales!$B$6:$B$10,0)-1+$K34),1)))</f>
        <v>3</v>
      </c>
      <c r="M34" s="5"/>
      <c r="N34" s="5"/>
      <c r="O34" s="8">
        <f>IF(OR($J34="",$J34="Config error",$E34="",$F34="",$G34="",$H34="",$R34=""),"",IF($M34="",MATCH($J34,Scales!$B$6:$B$10,0),IFERROR(MATCH($M34,Scales!$B$6:$B$10,0),MATCH($J34,Scales!$B$6:$B$10,0)))-1)</f>
        <v>4</v>
      </c>
      <c r="P34" s="12" t="str">
        <f>IF($J34="",IF(AND($B34&lt;&gt;"",$B34&lt;&gt;"Duplicate ID"),"Incomplete assessment",""),IF($J34="Config error","Config error",IF($O34="","Incomplete assessment",IF($M34="","As recommended",IF(ISERROR(MATCH($M34,Scales!$B$6:$B$10,0)),"Invalid choice",IF(MATCH($M34,Scales!$B$6:$B$10,0)&gt;MATCH($J34,Scales!$B$6:$B$10,0),"Above policy: needs sign-off",IF(MATCH($M34,Scales!$B$6:$B$10,0)&lt;MATCH($J34,Scales!$B$6:$B$10,0),"More cautious than policy","As recommended")))))))</f>
        <v>As recommended</v>
      </c>
      <c r="Q34" s="13">
        <f>IF(OR($O34="",Policy!$B$24&lt;&gt;"OK"),"",IFERROR(MIN($O34,INDEX(Policy!$C$5:$E$16,MATCH($F34&amp;"|"&amp;Scales!$B$33,Policy!$G$5:$G$16,0),MATCH($I34,Policy!$C$4:$E$4,0))),""))</f>
        <v>3</v>
      </c>
      <c r="R34" s="5">
        <v>1</v>
      </c>
      <c r="S34" s="13" t="str">
        <f>IF($B34="","",IF(COUNTIF('Readiness gate'!$A$7:$A$36,$A34)&lt;&gt;1,"Incomplete",IFERROR(IF(VLOOKUP($A34,GateTab,IF($F34=Scales!$B$24,11,9),FALSE())="","Incomplete",VLOOKUP($A34,GateTab,IF($F34=Scales!$B$24,11,9),FALSE())),"Incomplete")))</f>
        <v>Not passed</v>
      </c>
      <c r="T34" s="8">
        <f>IF($O34="","",MIN(IF(AND($O34&gt;MATCH($J34,Scales!$B$6:$B$10,0)-1,$N34&lt;&gt;"Yes"),MATCH($J34,Scales!$B$6:$B$10,0)-1,$O34),$L34,IF($F34=Scales!$B$24,IF($S34="Passed",4,IF(NOT(ISNUMBER($R34)),0,IF(OR($R34&lt;0,$R34&gt;4,$R34&lt;&gt;INT($R34)),0,$R34))),IF(NOT(ISNUMBER($R34)),0,IF(OR($R34&lt;0,$R34&gt;4,$R34&lt;&gt;INT($R34)),0,$R34))+IF($S34="Passed",1,0)),IF(AND($F34&lt;&gt;Scales!$B$24,OR($F34=Scales!$B$27,$G34=Scales!$B$33)),3,4)))</f>
        <v>1</v>
      </c>
      <c r="U34" s="13" t="str">
        <f>IF($O34="",IF(AND($B34&lt;&gt;"",$B34&lt;&gt;"Duplicate ID"),IF($J34="Config error","Config error","Incomplete assessment"),""),IF($T34&gt;=$O34,IF(LEFT($P34,4)="More","Own choice","None"),MID(IF(AND($O34&gt;MATCH($J34,Scales!$B$6:$B$10,0)-1,$N34&lt;&gt;"Yes",$T34=MATCH($J34,Scales!$B$6:$B$10,0)-1)," + Exception not approved","")&amp;IF(AND($F34&lt;&gt;Scales!$B$24,OR($F34=Scales!$B$27,$G34=Scales!$B$33),$T34=3)," + Human-signature guardrail","")&amp;IF($T34=$L34," + Model confidence","")&amp;IF($T34=IF($F34=Scales!$B$24,IF($S34="Passed",4,IF(NOT(ISNUMBER($R34)),0,IF(OR($R34&lt;0,$R34&gt;4,$R34&lt;&gt;INT($R34)),0,$R34))),IF(NOT(ISNUMBER($R34)),0,IF(OR($R34&lt;0,$R34&gt;4,$R34&lt;&gt;INT($R34)),0,$R34))+IF($S34="Passed",1,0))," + "&amp;IF($S34&lt;&gt;"Passed","Readiness gate","Readiness gate (one level per gate)"),""),4,200)))</f>
        <v>Readiness gate</v>
      </c>
      <c r="V34" s="23"/>
    </row>
    <row r="35" spans="1:22" x14ac:dyDescent="0.25">
      <c r="A35" s="8" t="s">
        <v>151</v>
      </c>
      <c r="B35" s="11" t="str">
        <f>IF($A35="","",IF(COUNTIF('Use cases'!$A$5:$A$34,$A35)&gt;1,"Duplicate ID",IFERROR(IF(VLOOKUP($A35,'Use cases'!$A$5:$B$34,2,FALSE())=0,"",VLOOKUP($A35,'Use cases'!$A$5:$B$34,2,FALSE())),"")))</f>
        <v>Privileged account anomaly</v>
      </c>
      <c r="C35" s="12" t="str">
        <f>IF(OR($B35="",$B35="Duplicate ID"),"",IFERROR(VLOOKUP($A35,'Use cases'!$A$5:$C$34,3,FALSE()),""))</f>
        <v>Identity</v>
      </c>
      <c r="D35" s="13" t="s">
        <v>127</v>
      </c>
      <c r="E35" s="23" t="s">
        <v>157</v>
      </c>
      <c r="F35" s="23" t="s">
        <v>119</v>
      </c>
      <c r="G35" s="24" t="s">
        <v>122</v>
      </c>
      <c r="H35" s="24" t="s">
        <v>122</v>
      </c>
      <c r="I35" s="13" t="str">
        <f>IF(OR($B35="",$B35="Duplicate ID"),"",IFERROR(VLOOKUP($A35,'Use cases'!$A$5:$E$34,5,FALSE()),""))</f>
        <v>Progressive</v>
      </c>
      <c r="J35" s="11" t="str">
        <f>IF(OR($B35="",$B35="Duplicate ID"),"",IF(OR($F35="",$G35=""),"",IF(Policy!$B$24&lt;&gt;"OK","Config error",IFERROR(INDEX(Scales!$B$6:$B$10,1+INDEX(Policy!$C$5:$E$16,MATCH($F35&amp;"|"&amp;$G35,Policy!$G$5:$G$16,0),MATCH($I35,Policy!$C$4:$E$4,0))),"Config error"))))</f>
        <v>L4 Autonomous</v>
      </c>
      <c r="K35" s="13">
        <f>IF($H35="","",IF($F35=Scales!$B$24,"exempt",IFERROR(IF(VLOOKUP($H35,Conf_Check,3,FALSE())="valid",VLOOKUP($H35,Conf_Adjust,2,FALSE()),"n/a"),"n/a")))</f>
        <v>-1</v>
      </c>
      <c r="L35" s="13">
        <f>IF(OR($J35="",$J35="Config error"),"",IF(OR($F35=Scales!$B$24,AND(ISNUMBER($K35),$K35=0)),4,IF(ISNUMBER($K35),MAX(1,MATCH($J35,Scales!$B$6:$B$10,0)-1+$K35),1)))</f>
        <v>3</v>
      </c>
      <c r="M35" s="5"/>
      <c r="N35" s="5"/>
      <c r="O35" s="8">
        <f>IF(OR($J35="",$J35="Config error",$E35="",$F35="",$G35="",$H35="",$R35=""),"",IF($M35="",MATCH($J35,Scales!$B$6:$B$10,0),IFERROR(MATCH($M35,Scales!$B$6:$B$10,0),MATCH($J35,Scales!$B$6:$B$10,0)))-1)</f>
        <v>4</v>
      </c>
      <c r="P35" s="12" t="str">
        <f>IF($J35="",IF(AND($B35&lt;&gt;"",$B35&lt;&gt;"Duplicate ID"),"Incomplete assessment",""),IF($J35="Config error","Config error",IF($O35="","Incomplete assessment",IF($M35="","As recommended",IF(ISERROR(MATCH($M35,Scales!$B$6:$B$10,0)),"Invalid choice",IF(MATCH($M35,Scales!$B$6:$B$10,0)&gt;MATCH($J35,Scales!$B$6:$B$10,0),"Above policy: needs sign-off",IF(MATCH($M35,Scales!$B$6:$B$10,0)&lt;MATCH($J35,Scales!$B$6:$B$10,0),"More cautious than policy","As recommended")))))))</f>
        <v>As recommended</v>
      </c>
      <c r="Q35" s="13">
        <f>IF(OR($O35="",Policy!$B$24&lt;&gt;"OK"),"",IFERROR(MIN($O35,INDEX(Policy!$C$5:$E$16,MATCH($F35&amp;"|"&amp;Scales!$B$33,Policy!$G$5:$G$16,0),MATCH($I35,Policy!$C$4:$E$4,0))),""))</f>
        <v>3</v>
      </c>
      <c r="R35" s="5">
        <v>1</v>
      </c>
      <c r="S35" s="13" t="str">
        <f>IF($B35="","",IF(COUNTIF('Readiness gate'!$A$7:$A$36,$A35)&lt;&gt;1,"Incomplete",IFERROR(IF(VLOOKUP($A35,GateTab,IF($F35=Scales!$B$24,11,9),FALSE())="","Incomplete",VLOOKUP($A35,GateTab,IF($F35=Scales!$B$24,11,9),FALSE())),"Incomplete")))</f>
        <v>Not passed</v>
      </c>
      <c r="T35" s="8">
        <f>IF($O35="","",MIN(IF(AND($O35&gt;MATCH($J35,Scales!$B$6:$B$10,0)-1,$N35&lt;&gt;"Yes"),MATCH($J35,Scales!$B$6:$B$10,0)-1,$O35),$L35,IF($F35=Scales!$B$24,IF($S35="Passed",4,IF(NOT(ISNUMBER($R35)),0,IF(OR($R35&lt;0,$R35&gt;4,$R35&lt;&gt;INT($R35)),0,$R35))),IF(NOT(ISNUMBER($R35)),0,IF(OR($R35&lt;0,$R35&gt;4,$R35&lt;&gt;INT($R35)),0,$R35))+IF($S35="Passed",1,0)),IF(AND($F35&lt;&gt;Scales!$B$24,OR($F35=Scales!$B$27,$G35=Scales!$B$33)),3,4)))</f>
        <v>1</v>
      </c>
      <c r="U35" s="13" t="str">
        <f>IF($O35="",IF(AND($B35&lt;&gt;"",$B35&lt;&gt;"Duplicate ID"),IF($J35="Config error","Config error","Incomplete assessment"),""),IF($T35&gt;=$O35,IF(LEFT($P35,4)="More","Own choice","None"),MID(IF(AND($O35&gt;MATCH($J35,Scales!$B$6:$B$10,0)-1,$N35&lt;&gt;"Yes",$T35=MATCH($J35,Scales!$B$6:$B$10,0)-1)," + Exception not approved","")&amp;IF(AND($F35&lt;&gt;Scales!$B$24,OR($F35=Scales!$B$27,$G35=Scales!$B$33),$T35=3)," + Human-signature guardrail","")&amp;IF($T35=$L35," + Model confidence","")&amp;IF($T35=IF($F35=Scales!$B$24,IF($S35="Passed",4,IF(NOT(ISNUMBER($R35)),0,IF(OR($R35&lt;0,$R35&gt;4,$R35&lt;&gt;INT($R35)),0,$R35))),IF(NOT(ISNUMBER($R35)),0,IF(OR($R35&lt;0,$R35&gt;4,$R35&lt;&gt;INT($R35)),0,$R35))+IF($S35="Passed",1,0))," + "&amp;IF($S35&lt;&gt;"Passed","Readiness gate","Readiness gate (one level per gate)"),""),4,200)))</f>
        <v>Readiness gate</v>
      </c>
      <c r="V35" s="23"/>
    </row>
    <row r="36" spans="1:22" x14ac:dyDescent="0.25">
      <c r="A36" s="8" t="s">
        <v>158</v>
      </c>
      <c r="B36" s="11" t="str">
        <f>IF($A36="","",IF(COUNTIF('Use cases'!$A$5:$A$34,$A36)&gt;1,"Duplicate ID",IFERROR(IF(VLOOKUP($A36,'Use cases'!$A$5:$B$34,2,FALSE())=0,"",VLOOKUP($A36,'Use cases'!$A$5:$B$34,2,FALSE())),"")))</f>
        <v>Token theft and replay</v>
      </c>
      <c r="C36" s="12" t="str">
        <f>IF(OR($B36="",$B36="Duplicate ID"),"",IFERROR(VLOOKUP($A36,'Use cases'!$A$5:$C$34,3,FALSE()),""))</f>
        <v>Identity</v>
      </c>
      <c r="D36" s="13" t="s">
        <v>112</v>
      </c>
      <c r="E36" s="23" t="s">
        <v>159</v>
      </c>
      <c r="F36" s="23" t="s">
        <v>114</v>
      </c>
      <c r="G36" s="24" t="s">
        <v>115</v>
      </c>
      <c r="H36" s="24" t="s">
        <v>122</v>
      </c>
      <c r="I36" s="13" t="str">
        <f>IF(OR($B36="",$B36="Duplicate ID"),"",IFERROR(VLOOKUP($A36,'Use cases'!$A$5:$E$34,5,FALSE()),""))</f>
        <v>Progressive</v>
      </c>
      <c r="J36" s="11" t="str">
        <f>IF(OR($B36="",$B36="Duplicate ID"),"",IF(OR($F36="",$G36=""),"",IF(Policy!$B$24&lt;&gt;"OK","Config error",IFERROR(INDEX(Scales!$B$6:$B$10,1+INDEX(Policy!$C$5:$E$16,MATCH($F36&amp;"|"&amp;$G36,Policy!$G$5:$G$16,0),MATCH($I36,Policy!$C$4:$E$4,0))),"Config error"))))</f>
        <v>L4 Autonomous</v>
      </c>
      <c r="K36" s="13" t="str">
        <f>IF($H36="","",IF($F36=Scales!$B$24,"exempt",IFERROR(IF(VLOOKUP($H36,Conf_Check,3,FALSE())="valid",VLOOKUP($H36,Conf_Adjust,2,FALSE()),"n/a"),"n/a")))</f>
        <v>exempt</v>
      </c>
      <c r="L36" s="13">
        <f>IF(OR($J36="",$J36="Config error"),"",IF(OR($F36=Scales!$B$24,AND(ISNUMBER($K36),$K36=0)),4,IF(ISNUMBER($K36),MAX(1,MATCH($J36,Scales!$B$6:$B$10,0)-1+$K36),1)))</f>
        <v>4</v>
      </c>
      <c r="M36" s="5"/>
      <c r="N36" s="5"/>
      <c r="O36" s="8">
        <f>IF(OR($J36="",$J36="Config error",$E36="",$F36="",$G36="",$H36="",$R36=""),"",IF($M36="",MATCH($J36,Scales!$B$6:$B$10,0),IFERROR(MATCH($M36,Scales!$B$6:$B$10,0),MATCH($J36,Scales!$B$6:$B$10,0)))-1)</f>
        <v>4</v>
      </c>
      <c r="P36" s="12" t="str">
        <f>IF($J36="",IF(AND($B36&lt;&gt;"",$B36&lt;&gt;"Duplicate ID"),"Incomplete assessment",""),IF($J36="Config error","Config error",IF($O36="","Incomplete assessment",IF($M36="","As recommended",IF(ISERROR(MATCH($M36,Scales!$B$6:$B$10,0)),"Invalid choice",IF(MATCH($M36,Scales!$B$6:$B$10,0)&gt;MATCH($J36,Scales!$B$6:$B$10,0),"Above policy: needs sign-off",IF(MATCH($M36,Scales!$B$6:$B$10,0)&lt;MATCH($J36,Scales!$B$6:$B$10,0),"More cautious than policy","As recommended")))))))</f>
        <v>As recommended</v>
      </c>
      <c r="Q36" s="13">
        <f>IF(OR($O36="",Policy!$B$24&lt;&gt;"OK"),"",IFERROR(MIN($O36,INDEX(Policy!$C$5:$E$16,MATCH($F36&amp;"|"&amp;Scales!$B$33,Policy!$G$5:$G$16,0),MATCH($I36,Policy!$C$4:$E$4,0))),""))</f>
        <v>4</v>
      </c>
      <c r="R36" s="5">
        <v>1</v>
      </c>
      <c r="S36" s="13" t="str">
        <f>IF($B36="","",IF(COUNTIF('Readiness gate'!$A$7:$A$36,$A36)&lt;&gt;1,"Incomplete",IFERROR(IF(VLOOKUP($A36,GateTab,IF($F36=Scales!$B$24,11,9),FALSE())="","Incomplete",VLOOKUP($A36,GateTab,IF($F36=Scales!$B$24,11,9),FALSE())),"Incomplete")))</f>
        <v>Passed</v>
      </c>
      <c r="T36" s="8">
        <f>IF($O36="","",MIN(IF(AND($O36&gt;MATCH($J36,Scales!$B$6:$B$10,0)-1,$N36&lt;&gt;"Yes"),MATCH($J36,Scales!$B$6:$B$10,0)-1,$O36),$L36,IF($F36=Scales!$B$24,IF($S36="Passed",4,IF(NOT(ISNUMBER($R36)),0,IF(OR($R36&lt;0,$R36&gt;4,$R36&lt;&gt;INT($R36)),0,$R36))),IF(NOT(ISNUMBER($R36)),0,IF(OR($R36&lt;0,$R36&gt;4,$R36&lt;&gt;INT($R36)),0,$R36))+IF($S36="Passed",1,0)),IF(AND($F36&lt;&gt;Scales!$B$24,OR($F36=Scales!$B$27,$G36=Scales!$B$33)),3,4)))</f>
        <v>4</v>
      </c>
      <c r="U36" s="13" t="str">
        <f>IF($O36="",IF(AND($B36&lt;&gt;"",$B36&lt;&gt;"Duplicate ID"),IF($J36="Config error","Config error","Incomplete assessment"),""),IF($T36&gt;=$O36,IF(LEFT($P36,4)="More","Own choice","None"),MID(IF(AND($O36&gt;MATCH($J36,Scales!$B$6:$B$10,0)-1,$N36&lt;&gt;"Yes",$T36=MATCH($J36,Scales!$B$6:$B$10,0)-1)," + Exception not approved","")&amp;IF(AND($F36&lt;&gt;Scales!$B$24,OR($F36=Scales!$B$27,$G36=Scales!$B$33),$T36=3)," + Human-signature guardrail","")&amp;IF($T36=$L36," + Model confidence","")&amp;IF($T36=IF($F36=Scales!$B$24,IF($S36="Passed",4,IF(NOT(ISNUMBER($R36)),0,IF(OR($R36&lt;0,$R36&gt;4,$R36&lt;&gt;INT($R36)),0,$R36))),IF(NOT(ISNUMBER($R36)),0,IF(OR($R36&lt;0,$R36&gt;4,$R36&lt;&gt;INT($R36)),0,$R36))+IF($S36="Passed",1,0))," + "&amp;IF($S36&lt;&gt;"Passed","Readiness gate","Readiness gate (one level per gate)"),""),4,200)))</f>
        <v>None</v>
      </c>
      <c r="V36" s="23"/>
    </row>
    <row r="37" spans="1:22" x14ac:dyDescent="0.25">
      <c r="A37" s="8" t="s">
        <v>158</v>
      </c>
      <c r="B37" s="11" t="str">
        <f>IF($A37="","",IF(COUNTIF('Use cases'!$A$5:$A$34,$A37)&gt;1,"Duplicate ID",IFERROR(IF(VLOOKUP($A37,'Use cases'!$A$5:$B$34,2,FALSE())=0,"",VLOOKUP($A37,'Use cases'!$A$5:$B$34,2,FALSE())),"")))</f>
        <v>Token theft and replay</v>
      </c>
      <c r="C37" s="12" t="str">
        <f>IF(OR($B37="",$B37="Duplicate ID"),"",IFERROR(VLOOKUP($A37,'Use cases'!$A$5:$C$34,3,FALSE()),""))</f>
        <v>Identity</v>
      </c>
      <c r="D37" s="13" t="s">
        <v>117</v>
      </c>
      <c r="E37" s="23" t="s">
        <v>160</v>
      </c>
      <c r="F37" s="23" t="s">
        <v>119</v>
      </c>
      <c r="G37" s="24" t="s">
        <v>115</v>
      </c>
      <c r="H37" s="24" t="s">
        <v>122</v>
      </c>
      <c r="I37" s="13" t="str">
        <f>IF(OR($B37="",$B37="Duplicate ID"),"",IFERROR(VLOOKUP($A37,'Use cases'!$A$5:$E$34,5,FALSE()),""))</f>
        <v>Progressive</v>
      </c>
      <c r="J37" s="11" t="str">
        <f>IF(OR($B37="",$B37="Duplicate ID"),"",IF(OR($F37="",$G37=""),"",IF(Policy!$B$24&lt;&gt;"OK","Config error",IFERROR(INDEX(Scales!$B$6:$B$10,1+INDEX(Policy!$C$5:$E$16,MATCH($F37&amp;"|"&amp;$G37,Policy!$G$5:$G$16,0),MATCH($I37,Policy!$C$4:$E$4,0))),"Config error"))))</f>
        <v>L4 Autonomous</v>
      </c>
      <c r="K37" s="13">
        <f>IF($H37="","",IF($F37=Scales!$B$24,"exempt",IFERROR(IF(VLOOKUP($H37,Conf_Check,3,FALSE())="valid",VLOOKUP($H37,Conf_Adjust,2,FALSE()),"n/a"),"n/a")))</f>
        <v>-1</v>
      </c>
      <c r="L37" s="13">
        <f>IF(OR($J37="",$J37="Config error"),"",IF(OR($F37=Scales!$B$24,AND(ISNUMBER($K37),$K37=0)),4,IF(ISNUMBER($K37),MAX(1,MATCH($J37,Scales!$B$6:$B$10,0)-1+$K37),1)))</f>
        <v>3</v>
      </c>
      <c r="M37" s="5"/>
      <c r="N37" s="5"/>
      <c r="O37" s="8">
        <f>IF(OR($J37="",$J37="Config error",$E37="",$F37="",$G37="",$H37="",$R37=""),"",IF($M37="",MATCH($J37,Scales!$B$6:$B$10,0),IFERROR(MATCH($M37,Scales!$B$6:$B$10,0),MATCH($J37,Scales!$B$6:$B$10,0)))-1)</f>
        <v>4</v>
      </c>
      <c r="P37" s="12" t="str">
        <f>IF($J37="",IF(AND($B37&lt;&gt;"",$B37&lt;&gt;"Duplicate ID"),"Incomplete assessment",""),IF($J37="Config error","Config error",IF($O37="","Incomplete assessment",IF($M37="","As recommended",IF(ISERROR(MATCH($M37,Scales!$B$6:$B$10,0)),"Invalid choice",IF(MATCH($M37,Scales!$B$6:$B$10,0)&gt;MATCH($J37,Scales!$B$6:$B$10,0),"Above policy: needs sign-off",IF(MATCH($M37,Scales!$B$6:$B$10,0)&lt;MATCH($J37,Scales!$B$6:$B$10,0),"More cautious than policy","As recommended")))))))</f>
        <v>As recommended</v>
      </c>
      <c r="Q37" s="13">
        <f>IF(OR($O37="",Policy!$B$24&lt;&gt;"OK"),"",IFERROR(MIN($O37,INDEX(Policy!$C$5:$E$16,MATCH($F37&amp;"|"&amp;Scales!$B$33,Policy!$G$5:$G$16,0),MATCH($I37,Policy!$C$4:$E$4,0))),""))</f>
        <v>3</v>
      </c>
      <c r="R37" s="5">
        <v>1</v>
      </c>
      <c r="S37" s="13" t="str">
        <f>IF($B37="","",IF(COUNTIF('Readiness gate'!$A$7:$A$36,$A37)&lt;&gt;1,"Incomplete",IFERROR(IF(VLOOKUP($A37,GateTab,IF($F37=Scales!$B$24,11,9),FALSE())="","Incomplete",VLOOKUP($A37,GateTab,IF($F37=Scales!$B$24,11,9),FALSE())),"Incomplete")))</f>
        <v>Passed</v>
      </c>
      <c r="T37" s="8">
        <f>IF($O37="","",MIN(IF(AND($O37&gt;MATCH($J37,Scales!$B$6:$B$10,0)-1,$N37&lt;&gt;"Yes"),MATCH($J37,Scales!$B$6:$B$10,0)-1,$O37),$L37,IF($F37=Scales!$B$24,IF($S37="Passed",4,IF(NOT(ISNUMBER($R37)),0,IF(OR($R37&lt;0,$R37&gt;4,$R37&lt;&gt;INT($R37)),0,$R37))),IF(NOT(ISNUMBER($R37)),0,IF(OR($R37&lt;0,$R37&gt;4,$R37&lt;&gt;INT($R37)),0,$R37))+IF($S37="Passed",1,0)),IF(AND($F37&lt;&gt;Scales!$B$24,OR($F37=Scales!$B$27,$G37=Scales!$B$33)),3,4)))</f>
        <v>2</v>
      </c>
      <c r="U37" s="13" t="str">
        <f>IF($O37="",IF(AND($B37&lt;&gt;"",$B37&lt;&gt;"Duplicate ID"),IF($J37="Config error","Config error","Incomplete assessment"),""),IF($T37&gt;=$O37,IF(LEFT($P37,4)="More","Own choice","None"),MID(IF(AND($O37&gt;MATCH($J37,Scales!$B$6:$B$10,0)-1,$N37&lt;&gt;"Yes",$T37=MATCH($J37,Scales!$B$6:$B$10,0)-1)," + Exception not approved","")&amp;IF(AND($F37&lt;&gt;Scales!$B$24,OR($F37=Scales!$B$27,$G37=Scales!$B$33),$T37=3)," + Human-signature guardrail","")&amp;IF($T37=$L37," + Model confidence","")&amp;IF($T37=IF($F37=Scales!$B$24,IF($S37="Passed",4,IF(NOT(ISNUMBER($R37)),0,IF(OR($R37&lt;0,$R37&gt;4,$R37&lt;&gt;INT($R37)),0,$R37))),IF(NOT(ISNUMBER($R37)),0,IF(OR($R37&lt;0,$R37&gt;4,$R37&lt;&gt;INT($R37)),0,$R37))+IF($S37="Passed",1,0))," + "&amp;IF($S37&lt;&gt;"Passed","Readiness gate","Readiness gate (one level per gate)"),""),4,200)))</f>
        <v>Readiness gate (one level per gate)</v>
      </c>
      <c r="V37" s="23"/>
    </row>
    <row r="38" spans="1:22" x14ac:dyDescent="0.25">
      <c r="A38" s="8" t="s">
        <v>158</v>
      </c>
      <c r="B38" s="11" t="str">
        <f>IF($A38="","",IF(COUNTIF('Use cases'!$A$5:$A$34,$A38)&gt;1,"Duplicate ID",IFERROR(IF(VLOOKUP($A38,'Use cases'!$A$5:$B$34,2,FALSE())=0,"",VLOOKUP($A38,'Use cases'!$A$5:$B$34,2,FALSE())),"")))</f>
        <v>Token theft and replay</v>
      </c>
      <c r="C38" s="12" t="str">
        <f>IF(OR($B38="",$B38="Duplicate ID"),"",IFERROR(VLOOKUP($A38,'Use cases'!$A$5:$C$34,3,FALSE()),""))</f>
        <v>Identity</v>
      </c>
      <c r="D38" s="13" t="s">
        <v>120</v>
      </c>
      <c r="E38" s="23" t="s">
        <v>161</v>
      </c>
      <c r="F38" s="23" t="s">
        <v>119</v>
      </c>
      <c r="G38" s="24" t="s">
        <v>115</v>
      </c>
      <c r="H38" s="24" t="s">
        <v>116</v>
      </c>
      <c r="I38" s="13" t="str">
        <f>IF(OR($B38="",$B38="Duplicate ID"),"",IFERROR(VLOOKUP($A38,'Use cases'!$A$5:$E$34,5,FALSE()),""))</f>
        <v>Progressive</v>
      </c>
      <c r="J38" s="11" t="str">
        <f>IF(OR($B38="",$B38="Duplicate ID"),"",IF(OR($F38="",$G38=""),"",IF(Policy!$B$24&lt;&gt;"OK","Config error",IFERROR(INDEX(Scales!$B$6:$B$10,1+INDEX(Policy!$C$5:$E$16,MATCH($F38&amp;"|"&amp;$G38,Policy!$G$5:$G$16,0),MATCH($I38,Policy!$C$4:$E$4,0))),"Config error"))))</f>
        <v>L4 Autonomous</v>
      </c>
      <c r="K38" s="13">
        <f>IF($H38="","",IF($F38=Scales!$B$24,"exempt",IFERROR(IF(VLOOKUP($H38,Conf_Check,3,FALSE())="valid",VLOOKUP($H38,Conf_Adjust,2,FALSE()),"n/a"),"n/a")))</f>
        <v>0</v>
      </c>
      <c r="L38" s="13">
        <f>IF(OR($J38="",$J38="Config error"),"",IF(OR($F38=Scales!$B$24,AND(ISNUMBER($K38),$K38=0)),4,IF(ISNUMBER($K38),MAX(1,MATCH($J38,Scales!$B$6:$B$10,0)-1+$K38),1)))</f>
        <v>4</v>
      </c>
      <c r="M38" s="5"/>
      <c r="N38" s="5"/>
      <c r="O38" s="8">
        <f>IF(OR($J38="",$J38="Config error",$E38="",$F38="",$G38="",$H38="",$R38=""),"",IF($M38="",MATCH($J38,Scales!$B$6:$B$10,0),IFERROR(MATCH($M38,Scales!$B$6:$B$10,0),MATCH($J38,Scales!$B$6:$B$10,0)))-1)</f>
        <v>4</v>
      </c>
      <c r="P38" s="12" t="str">
        <f>IF($J38="",IF(AND($B38&lt;&gt;"",$B38&lt;&gt;"Duplicate ID"),"Incomplete assessment",""),IF($J38="Config error","Config error",IF($O38="","Incomplete assessment",IF($M38="","As recommended",IF(ISERROR(MATCH($M38,Scales!$B$6:$B$10,0)),"Invalid choice",IF(MATCH($M38,Scales!$B$6:$B$10,0)&gt;MATCH($J38,Scales!$B$6:$B$10,0),"Above policy: needs sign-off",IF(MATCH($M38,Scales!$B$6:$B$10,0)&lt;MATCH($J38,Scales!$B$6:$B$10,0),"More cautious than policy","As recommended")))))))</f>
        <v>As recommended</v>
      </c>
      <c r="Q38" s="13">
        <f>IF(OR($O38="",Policy!$B$24&lt;&gt;"OK"),"",IFERROR(MIN($O38,INDEX(Policy!$C$5:$E$16,MATCH($F38&amp;"|"&amp;Scales!$B$33,Policy!$G$5:$G$16,0),MATCH($I38,Policy!$C$4:$E$4,0))),""))</f>
        <v>3</v>
      </c>
      <c r="R38" s="5">
        <v>2</v>
      </c>
      <c r="S38" s="13" t="str">
        <f>IF($B38="","",IF(COUNTIF('Readiness gate'!$A$7:$A$36,$A38)&lt;&gt;1,"Incomplete",IFERROR(IF(VLOOKUP($A38,GateTab,IF($F38=Scales!$B$24,11,9),FALSE())="","Incomplete",VLOOKUP($A38,GateTab,IF($F38=Scales!$B$24,11,9),FALSE())),"Incomplete")))</f>
        <v>Passed</v>
      </c>
      <c r="T38" s="8">
        <f>IF($O38="","",MIN(IF(AND($O38&gt;MATCH($J38,Scales!$B$6:$B$10,0)-1,$N38&lt;&gt;"Yes"),MATCH($J38,Scales!$B$6:$B$10,0)-1,$O38),$L38,IF($F38=Scales!$B$24,IF($S38="Passed",4,IF(NOT(ISNUMBER($R38)),0,IF(OR($R38&lt;0,$R38&gt;4,$R38&lt;&gt;INT($R38)),0,$R38))),IF(NOT(ISNUMBER($R38)),0,IF(OR($R38&lt;0,$R38&gt;4,$R38&lt;&gt;INT($R38)),0,$R38))+IF($S38="Passed",1,0)),IF(AND($F38&lt;&gt;Scales!$B$24,OR($F38=Scales!$B$27,$G38=Scales!$B$33)),3,4)))</f>
        <v>3</v>
      </c>
      <c r="U38" s="13" t="str">
        <f>IF($O38="",IF(AND($B38&lt;&gt;"",$B38&lt;&gt;"Duplicate ID"),IF($J38="Config error","Config error","Incomplete assessment"),""),IF($T38&gt;=$O38,IF(LEFT($P38,4)="More","Own choice","None"),MID(IF(AND($O38&gt;MATCH($J38,Scales!$B$6:$B$10,0)-1,$N38&lt;&gt;"Yes",$T38=MATCH($J38,Scales!$B$6:$B$10,0)-1)," + Exception not approved","")&amp;IF(AND($F38&lt;&gt;Scales!$B$24,OR($F38=Scales!$B$27,$G38=Scales!$B$33),$T38=3)," + Human-signature guardrail","")&amp;IF($T38=$L38," + Model confidence","")&amp;IF($T38=IF($F38=Scales!$B$24,IF($S38="Passed",4,IF(NOT(ISNUMBER($R38)),0,IF(OR($R38&lt;0,$R38&gt;4,$R38&lt;&gt;INT($R38)),0,$R38))),IF(NOT(ISNUMBER($R38)),0,IF(OR($R38&lt;0,$R38&gt;4,$R38&lt;&gt;INT($R38)),0,$R38))+IF($S38="Passed",1,0))," + "&amp;IF($S38&lt;&gt;"Passed","Readiness gate","Readiness gate (one level per gate)"),""),4,200)))</f>
        <v>Readiness gate (one level per gate)</v>
      </c>
      <c r="V38" s="23"/>
    </row>
    <row r="39" spans="1:22" x14ac:dyDescent="0.25">
      <c r="A39" s="8" t="s">
        <v>158</v>
      </c>
      <c r="B39" s="11" t="str">
        <f>IF($A39="","",IF(COUNTIF('Use cases'!$A$5:$A$34,$A39)&gt;1,"Duplicate ID",IFERROR(IF(VLOOKUP($A39,'Use cases'!$A$5:$B$34,2,FALSE())=0,"",VLOOKUP($A39,'Use cases'!$A$5:$B$34,2,FALSE())),"")))</f>
        <v>Token theft and replay</v>
      </c>
      <c r="C39" s="12" t="str">
        <f>IF(OR($B39="",$B39="Duplicate ID"),"",IFERROR(VLOOKUP($A39,'Use cases'!$A$5:$C$34,3,FALSE()),""))</f>
        <v>Identity</v>
      </c>
      <c r="D39" s="13" t="s">
        <v>123</v>
      </c>
      <c r="E39" s="23" t="s">
        <v>162</v>
      </c>
      <c r="F39" s="23" t="s">
        <v>134</v>
      </c>
      <c r="G39" s="24" t="s">
        <v>115</v>
      </c>
      <c r="H39" s="24" t="s">
        <v>122</v>
      </c>
      <c r="I39" s="13" t="str">
        <f>IF(OR($B39="",$B39="Duplicate ID"),"",IFERROR(VLOOKUP($A39,'Use cases'!$A$5:$E$34,5,FALSE()),""))</f>
        <v>Progressive</v>
      </c>
      <c r="J39" s="11" t="str">
        <f>IF(OR($B39="",$B39="Duplicate ID"),"",IF(OR($F39="",$G39=""),"",IF(Policy!$B$24&lt;&gt;"OK","Config error",IFERROR(INDEX(Scales!$B$6:$B$10,1+INDEX(Policy!$C$5:$E$16,MATCH($F39&amp;"|"&amp;$G39,Policy!$G$5:$G$16,0),MATCH($I39,Policy!$C$4:$E$4,0))),"Config error"))))</f>
        <v>L4 Autonomous</v>
      </c>
      <c r="K39" s="13">
        <f>IF($H39="","",IF($F39=Scales!$B$24,"exempt",IFERROR(IF(VLOOKUP($H39,Conf_Check,3,FALSE())="valid",VLOOKUP($H39,Conf_Adjust,2,FALSE()),"n/a"),"n/a")))</f>
        <v>-1</v>
      </c>
      <c r="L39" s="13">
        <f>IF(OR($J39="",$J39="Config error"),"",IF(OR($F39=Scales!$B$24,AND(ISNUMBER($K39),$K39=0)),4,IF(ISNUMBER($K39),MAX(1,MATCH($J39,Scales!$B$6:$B$10,0)-1+$K39),1)))</f>
        <v>3</v>
      </c>
      <c r="M39" s="5"/>
      <c r="N39" s="5"/>
      <c r="O39" s="8">
        <f>IF(OR($J39="",$J39="Config error",$E39="",$F39="",$G39="",$H39="",$R39=""),"",IF($M39="",MATCH($J39,Scales!$B$6:$B$10,0),IFERROR(MATCH($M39,Scales!$B$6:$B$10,0),MATCH($J39,Scales!$B$6:$B$10,0)))-1)</f>
        <v>4</v>
      </c>
      <c r="P39" s="12" t="str">
        <f>IF($J39="",IF(AND($B39&lt;&gt;"",$B39&lt;&gt;"Duplicate ID"),"Incomplete assessment",""),IF($J39="Config error","Config error",IF($O39="","Incomplete assessment",IF($M39="","As recommended",IF(ISERROR(MATCH($M39,Scales!$B$6:$B$10,0)),"Invalid choice",IF(MATCH($M39,Scales!$B$6:$B$10,0)&gt;MATCH($J39,Scales!$B$6:$B$10,0),"Above policy: needs sign-off",IF(MATCH($M39,Scales!$B$6:$B$10,0)&lt;MATCH($J39,Scales!$B$6:$B$10,0),"More cautious than policy","As recommended")))))))</f>
        <v>As recommended</v>
      </c>
      <c r="Q39" s="13">
        <f>IF(OR($O39="",Policy!$B$24&lt;&gt;"OK"),"",IFERROR(MIN($O39,INDEX(Policy!$C$5:$E$16,MATCH($F39&amp;"|"&amp;Scales!$B$33,Policy!$G$5:$G$16,0),MATCH($I39,Policy!$C$4:$E$4,0))),""))</f>
        <v>3</v>
      </c>
      <c r="R39" s="5">
        <v>1</v>
      </c>
      <c r="S39" s="13" t="str">
        <f>IF($B39="","",IF(COUNTIF('Readiness gate'!$A$7:$A$36,$A39)&lt;&gt;1,"Incomplete",IFERROR(IF(VLOOKUP($A39,GateTab,IF($F39=Scales!$B$24,11,9),FALSE())="","Incomplete",VLOOKUP($A39,GateTab,IF($F39=Scales!$B$24,11,9),FALSE())),"Incomplete")))</f>
        <v>Passed</v>
      </c>
      <c r="T39" s="8">
        <f>IF($O39="","",MIN(IF(AND($O39&gt;MATCH($J39,Scales!$B$6:$B$10,0)-1,$N39&lt;&gt;"Yes"),MATCH($J39,Scales!$B$6:$B$10,0)-1,$O39),$L39,IF($F39=Scales!$B$24,IF($S39="Passed",4,IF(NOT(ISNUMBER($R39)),0,IF(OR($R39&lt;0,$R39&gt;4,$R39&lt;&gt;INT($R39)),0,$R39))),IF(NOT(ISNUMBER($R39)),0,IF(OR($R39&lt;0,$R39&gt;4,$R39&lt;&gt;INT($R39)),0,$R39))+IF($S39="Passed",1,0)),IF(AND($F39&lt;&gt;Scales!$B$24,OR($F39=Scales!$B$27,$G39=Scales!$B$33)),3,4)))</f>
        <v>2</v>
      </c>
      <c r="U39" s="13" t="str">
        <f>IF($O39="",IF(AND($B39&lt;&gt;"",$B39&lt;&gt;"Duplicate ID"),IF($J39="Config error","Config error","Incomplete assessment"),""),IF($T39&gt;=$O39,IF(LEFT($P39,4)="More","Own choice","None"),MID(IF(AND($O39&gt;MATCH($J39,Scales!$B$6:$B$10,0)-1,$N39&lt;&gt;"Yes",$T39=MATCH($J39,Scales!$B$6:$B$10,0)-1)," + Exception not approved","")&amp;IF(AND($F39&lt;&gt;Scales!$B$24,OR($F39=Scales!$B$27,$G39=Scales!$B$33),$T39=3)," + Human-signature guardrail","")&amp;IF($T39=$L39," + Model confidence","")&amp;IF($T39=IF($F39=Scales!$B$24,IF($S39="Passed",4,IF(NOT(ISNUMBER($R39)),0,IF(OR($R39&lt;0,$R39&gt;4,$R39&lt;&gt;INT($R39)),0,$R39))),IF(NOT(ISNUMBER($R39)),0,IF(OR($R39&lt;0,$R39&gt;4,$R39&lt;&gt;INT($R39)),0,$R39))+IF($S39="Passed",1,0))," + "&amp;IF($S39&lt;&gt;"Passed","Readiness gate","Readiness gate (one level per gate)"),""),4,200)))</f>
        <v>Readiness gate (one level per gate)</v>
      </c>
      <c r="V39" s="23"/>
    </row>
    <row r="40" spans="1:22" x14ac:dyDescent="0.25">
      <c r="A40" s="8" t="s">
        <v>158</v>
      </c>
      <c r="B40" s="11" t="str">
        <f>IF($A40="","",IF(COUNTIF('Use cases'!$A$5:$A$34,$A40)&gt;1,"Duplicate ID",IFERROR(IF(VLOOKUP($A40,'Use cases'!$A$5:$B$34,2,FALSE())=0,"",VLOOKUP($A40,'Use cases'!$A$5:$B$34,2,FALSE())),"")))</f>
        <v>Token theft and replay</v>
      </c>
      <c r="C40" s="12" t="str">
        <f>IF(OR($B40="",$B40="Duplicate ID"),"",IFERROR(VLOOKUP($A40,'Use cases'!$A$5:$C$34,3,FALSE()),""))</f>
        <v>Identity</v>
      </c>
      <c r="D40" s="13" t="s">
        <v>125</v>
      </c>
      <c r="E40" s="23" t="s">
        <v>163</v>
      </c>
      <c r="F40" s="23" t="s">
        <v>119</v>
      </c>
      <c r="G40" s="24" t="s">
        <v>115</v>
      </c>
      <c r="H40" s="24" t="s">
        <v>122</v>
      </c>
      <c r="I40" s="13" t="str">
        <f>IF(OR($B40="",$B40="Duplicate ID"),"",IFERROR(VLOOKUP($A40,'Use cases'!$A$5:$E$34,5,FALSE()),""))</f>
        <v>Progressive</v>
      </c>
      <c r="J40" s="11" t="str">
        <f>IF(OR($B40="",$B40="Duplicate ID"),"",IF(OR($F40="",$G40=""),"",IF(Policy!$B$24&lt;&gt;"OK","Config error",IFERROR(INDEX(Scales!$B$6:$B$10,1+INDEX(Policy!$C$5:$E$16,MATCH($F40&amp;"|"&amp;$G40,Policy!$G$5:$G$16,0),MATCH($I40,Policy!$C$4:$E$4,0))),"Config error"))))</f>
        <v>L4 Autonomous</v>
      </c>
      <c r="K40" s="13">
        <f>IF($H40="","",IF($F40=Scales!$B$24,"exempt",IFERROR(IF(VLOOKUP($H40,Conf_Check,3,FALSE())="valid",VLOOKUP($H40,Conf_Adjust,2,FALSE()),"n/a"),"n/a")))</f>
        <v>-1</v>
      </c>
      <c r="L40" s="13">
        <f>IF(OR($J40="",$J40="Config error"),"",IF(OR($F40=Scales!$B$24,AND(ISNUMBER($K40),$K40=0)),4,IF(ISNUMBER($K40),MAX(1,MATCH($J40,Scales!$B$6:$B$10,0)-1+$K40),1)))</f>
        <v>3</v>
      </c>
      <c r="M40" s="5"/>
      <c r="N40" s="5"/>
      <c r="O40" s="8">
        <f>IF(OR($J40="",$J40="Config error",$E40="",$F40="",$G40="",$H40="",$R40=""),"",IF($M40="",MATCH($J40,Scales!$B$6:$B$10,0),IFERROR(MATCH($M40,Scales!$B$6:$B$10,0),MATCH($J40,Scales!$B$6:$B$10,0)))-1)</f>
        <v>4</v>
      </c>
      <c r="P40" s="12" t="str">
        <f>IF($J40="",IF(AND($B40&lt;&gt;"",$B40&lt;&gt;"Duplicate ID"),"Incomplete assessment",""),IF($J40="Config error","Config error",IF($O40="","Incomplete assessment",IF($M40="","As recommended",IF(ISERROR(MATCH($M40,Scales!$B$6:$B$10,0)),"Invalid choice",IF(MATCH($M40,Scales!$B$6:$B$10,0)&gt;MATCH($J40,Scales!$B$6:$B$10,0),"Above policy: needs sign-off",IF(MATCH($M40,Scales!$B$6:$B$10,0)&lt;MATCH($J40,Scales!$B$6:$B$10,0),"More cautious than policy","As recommended")))))))</f>
        <v>As recommended</v>
      </c>
      <c r="Q40" s="13">
        <f>IF(OR($O40="",Policy!$B$24&lt;&gt;"OK"),"",IFERROR(MIN($O40,INDEX(Policy!$C$5:$E$16,MATCH($F40&amp;"|"&amp;Scales!$B$33,Policy!$G$5:$G$16,0),MATCH($I40,Policy!$C$4:$E$4,0))),""))</f>
        <v>3</v>
      </c>
      <c r="R40" s="5">
        <v>1</v>
      </c>
      <c r="S40" s="13" t="str">
        <f>IF($B40="","",IF(COUNTIF('Readiness gate'!$A$7:$A$36,$A40)&lt;&gt;1,"Incomplete",IFERROR(IF(VLOOKUP($A40,GateTab,IF($F40=Scales!$B$24,11,9),FALSE())="","Incomplete",VLOOKUP($A40,GateTab,IF($F40=Scales!$B$24,11,9),FALSE())),"Incomplete")))</f>
        <v>Passed</v>
      </c>
      <c r="T40" s="8">
        <f>IF($O40="","",MIN(IF(AND($O40&gt;MATCH($J40,Scales!$B$6:$B$10,0)-1,$N40&lt;&gt;"Yes"),MATCH($J40,Scales!$B$6:$B$10,0)-1,$O40),$L40,IF($F40=Scales!$B$24,IF($S40="Passed",4,IF(NOT(ISNUMBER($R40)),0,IF(OR($R40&lt;0,$R40&gt;4,$R40&lt;&gt;INT($R40)),0,$R40))),IF(NOT(ISNUMBER($R40)),0,IF(OR($R40&lt;0,$R40&gt;4,$R40&lt;&gt;INT($R40)),0,$R40))+IF($S40="Passed",1,0)),IF(AND($F40&lt;&gt;Scales!$B$24,OR($F40=Scales!$B$27,$G40=Scales!$B$33)),3,4)))</f>
        <v>2</v>
      </c>
      <c r="U40" s="13" t="str">
        <f>IF($O40="",IF(AND($B40&lt;&gt;"",$B40&lt;&gt;"Duplicate ID"),IF($J40="Config error","Config error","Incomplete assessment"),""),IF($T40&gt;=$O40,IF(LEFT($P40,4)="More","Own choice","None"),MID(IF(AND($O40&gt;MATCH($J40,Scales!$B$6:$B$10,0)-1,$N40&lt;&gt;"Yes",$T40=MATCH($J40,Scales!$B$6:$B$10,0)-1)," + Exception not approved","")&amp;IF(AND($F40&lt;&gt;Scales!$B$24,OR($F40=Scales!$B$27,$G40=Scales!$B$33),$T40=3)," + Human-signature guardrail","")&amp;IF($T40=$L40," + Model confidence","")&amp;IF($T40=IF($F40=Scales!$B$24,IF($S40="Passed",4,IF(NOT(ISNUMBER($R40)),0,IF(OR($R40&lt;0,$R40&gt;4,$R40&lt;&gt;INT($R40)),0,$R40))),IF(NOT(ISNUMBER($R40)),0,IF(OR($R40&lt;0,$R40&gt;4,$R40&lt;&gt;INT($R40)),0,$R40))+IF($S40="Passed",1,0))," + "&amp;IF($S40&lt;&gt;"Passed","Readiness gate","Readiness gate (one level per gate)"),""),4,200)))</f>
        <v>Readiness gate (one level per gate)</v>
      </c>
      <c r="V40" s="23"/>
    </row>
    <row r="41" spans="1:22" x14ac:dyDescent="0.25">
      <c r="A41" s="8" t="s">
        <v>158</v>
      </c>
      <c r="B41" s="11" t="str">
        <f>IF($A41="","",IF(COUNTIF('Use cases'!$A$5:$A$34,$A41)&gt;1,"Duplicate ID",IFERROR(IF(VLOOKUP($A41,'Use cases'!$A$5:$B$34,2,FALSE())=0,"",VLOOKUP($A41,'Use cases'!$A$5:$B$34,2,FALSE())),"")))</f>
        <v>Token theft and replay</v>
      </c>
      <c r="C41" s="12" t="str">
        <f>IF(OR($B41="",$B41="Duplicate ID"),"",IFERROR(VLOOKUP($A41,'Use cases'!$A$5:$C$34,3,FALSE()),""))</f>
        <v>Identity</v>
      </c>
      <c r="D41" s="13" t="s">
        <v>127</v>
      </c>
      <c r="E41" s="23" t="s">
        <v>164</v>
      </c>
      <c r="F41" s="23" t="s">
        <v>119</v>
      </c>
      <c r="G41" s="24" t="s">
        <v>115</v>
      </c>
      <c r="H41" s="24" t="s">
        <v>122</v>
      </c>
      <c r="I41" s="13" t="str">
        <f>IF(OR($B41="",$B41="Duplicate ID"),"",IFERROR(VLOOKUP($A41,'Use cases'!$A$5:$E$34,5,FALSE()),""))</f>
        <v>Progressive</v>
      </c>
      <c r="J41" s="11" t="str">
        <f>IF(OR($B41="",$B41="Duplicate ID"),"",IF(OR($F41="",$G41=""),"",IF(Policy!$B$24&lt;&gt;"OK","Config error",IFERROR(INDEX(Scales!$B$6:$B$10,1+INDEX(Policy!$C$5:$E$16,MATCH($F41&amp;"|"&amp;$G41,Policy!$G$5:$G$16,0),MATCH($I41,Policy!$C$4:$E$4,0))),"Config error"))))</f>
        <v>L4 Autonomous</v>
      </c>
      <c r="K41" s="13">
        <f>IF($H41="","",IF($F41=Scales!$B$24,"exempt",IFERROR(IF(VLOOKUP($H41,Conf_Check,3,FALSE())="valid",VLOOKUP($H41,Conf_Adjust,2,FALSE()),"n/a"),"n/a")))</f>
        <v>-1</v>
      </c>
      <c r="L41" s="13">
        <f>IF(OR($J41="",$J41="Config error"),"",IF(OR($F41=Scales!$B$24,AND(ISNUMBER($K41),$K41=0)),4,IF(ISNUMBER($K41),MAX(1,MATCH($J41,Scales!$B$6:$B$10,0)-1+$K41),1)))</f>
        <v>3</v>
      </c>
      <c r="M41" s="5"/>
      <c r="N41" s="5"/>
      <c r="O41" s="8">
        <f>IF(OR($J41="",$J41="Config error",$E41="",$F41="",$G41="",$H41="",$R41=""),"",IF($M41="",MATCH($J41,Scales!$B$6:$B$10,0),IFERROR(MATCH($M41,Scales!$B$6:$B$10,0),MATCH($J41,Scales!$B$6:$B$10,0)))-1)</f>
        <v>4</v>
      </c>
      <c r="P41" s="12" t="str">
        <f>IF($J41="",IF(AND($B41&lt;&gt;"",$B41&lt;&gt;"Duplicate ID"),"Incomplete assessment",""),IF($J41="Config error","Config error",IF($O41="","Incomplete assessment",IF($M41="","As recommended",IF(ISERROR(MATCH($M41,Scales!$B$6:$B$10,0)),"Invalid choice",IF(MATCH($M41,Scales!$B$6:$B$10,0)&gt;MATCH($J41,Scales!$B$6:$B$10,0),"Above policy: needs sign-off",IF(MATCH($M41,Scales!$B$6:$B$10,0)&lt;MATCH($J41,Scales!$B$6:$B$10,0),"More cautious than policy","As recommended")))))))</f>
        <v>As recommended</v>
      </c>
      <c r="Q41" s="13">
        <f>IF(OR($O41="",Policy!$B$24&lt;&gt;"OK"),"",IFERROR(MIN($O41,INDEX(Policy!$C$5:$E$16,MATCH($F41&amp;"|"&amp;Scales!$B$33,Policy!$G$5:$G$16,0),MATCH($I41,Policy!$C$4:$E$4,0))),""))</f>
        <v>3</v>
      </c>
      <c r="R41" s="5">
        <v>1</v>
      </c>
      <c r="S41" s="13" t="str">
        <f>IF($B41="","",IF(COUNTIF('Readiness gate'!$A$7:$A$36,$A41)&lt;&gt;1,"Incomplete",IFERROR(IF(VLOOKUP($A41,GateTab,IF($F41=Scales!$B$24,11,9),FALSE())="","Incomplete",VLOOKUP($A41,GateTab,IF($F41=Scales!$B$24,11,9),FALSE())),"Incomplete")))</f>
        <v>Passed</v>
      </c>
      <c r="T41" s="8">
        <f>IF($O41="","",MIN(IF(AND($O41&gt;MATCH($J41,Scales!$B$6:$B$10,0)-1,$N41&lt;&gt;"Yes"),MATCH($J41,Scales!$B$6:$B$10,0)-1,$O41),$L41,IF($F41=Scales!$B$24,IF($S41="Passed",4,IF(NOT(ISNUMBER($R41)),0,IF(OR($R41&lt;0,$R41&gt;4,$R41&lt;&gt;INT($R41)),0,$R41))),IF(NOT(ISNUMBER($R41)),0,IF(OR($R41&lt;0,$R41&gt;4,$R41&lt;&gt;INT($R41)),0,$R41))+IF($S41="Passed",1,0)),IF(AND($F41&lt;&gt;Scales!$B$24,OR($F41=Scales!$B$27,$G41=Scales!$B$33)),3,4)))</f>
        <v>2</v>
      </c>
      <c r="U41" s="13" t="str">
        <f>IF($O41="",IF(AND($B41&lt;&gt;"",$B41&lt;&gt;"Duplicate ID"),IF($J41="Config error","Config error","Incomplete assessment"),""),IF($T41&gt;=$O41,IF(LEFT($P41,4)="More","Own choice","None"),MID(IF(AND($O41&gt;MATCH($J41,Scales!$B$6:$B$10,0)-1,$N41&lt;&gt;"Yes",$T41=MATCH($J41,Scales!$B$6:$B$10,0)-1)," + Exception not approved","")&amp;IF(AND($F41&lt;&gt;Scales!$B$24,OR($F41=Scales!$B$27,$G41=Scales!$B$33),$T41=3)," + Human-signature guardrail","")&amp;IF($T41=$L41," + Model confidence","")&amp;IF($T41=IF($F41=Scales!$B$24,IF($S41="Passed",4,IF(NOT(ISNUMBER($R41)),0,IF(OR($R41&lt;0,$R41&gt;4,$R41&lt;&gt;INT($R41)),0,$R41))),IF(NOT(ISNUMBER($R41)),0,IF(OR($R41&lt;0,$R41&gt;4,$R41&lt;&gt;INT($R41)),0,$R41))+IF($S41="Passed",1,0))," + "&amp;IF($S41&lt;&gt;"Passed","Readiness gate","Readiness gate (one level per gate)"),""),4,200)))</f>
        <v>Readiness gate (one level per gate)</v>
      </c>
      <c r="V41" s="23"/>
    </row>
    <row r="42" spans="1:22" x14ac:dyDescent="0.25">
      <c r="A42" s="8" t="s">
        <v>165</v>
      </c>
      <c r="B42" s="11" t="str">
        <f>IF($A42="","",IF(COUNTIF('Use cases'!$A$5:$A$34,$A42)&gt;1,"Duplicate ID",IFERROR(IF(VLOOKUP($A42,'Use cases'!$A$5:$B$34,2,FALSE())=0,"",VLOOKUP($A42,'Use cases'!$A$5:$B$34,2,FALSE())),"")))</f>
        <v>Endpoint malware containment</v>
      </c>
      <c r="C42" s="12" t="str">
        <f>IF(OR($B42="",$B42="Duplicate ID"),"",IFERROR(VLOOKUP($A42,'Use cases'!$A$5:$C$34,3,FALSE()),""))</f>
        <v>Endpoint</v>
      </c>
      <c r="D42" s="13" t="s">
        <v>112</v>
      </c>
      <c r="E42" s="23" t="s">
        <v>166</v>
      </c>
      <c r="F42" s="23" t="s">
        <v>114</v>
      </c>
      <c r="G42" s="24" t="s">
        <v>115</v>
      </c>
      <c r="H42" s="24" t="s">
        <v>116</v>
      </c>
      <c r="I42" s="13" t="str">
        <f>IF(OR($B42="",$B42="Duplicate ID"),"",IFERROR(VLOOKUP($A42,'Use cases'!$A$5:$E$34,5,FALSE()),""))</f>
        <v>Progressive</v>
      </c>
      <c r="J42" s="11" t="str">
        <f>IF(OR($B42="",$B42="Duplicate ID"),"",IF(OR($F42="",$G42=""),"",IF(Policy!$B$24&lt;&gt;"OK","Config error",IFERROR(INDEX(Scales!$B$6:$B$10,1+INDEX(Policy!$C$5:$E$16,MATCH($F42&amp;"|"&amp;$G42,Policy!$G$5:$G$16,0),MATCH($I42,Policy!$C$4:$E$4,0))),"Config error"))))</f>
        <v>L4 Autonomous</v>
      </c>
      <c r="K42" s="13" t="str">
        <f>IF($H42="","",IF($F42=Scales!$B$24,"exempt",IFERROR(IF(VLOOKUP($H42,Conf_Check,3,FALSE())="valid",VLOOKUP($H42,Conf_Adjust,2,FALSE()),"n/a"),"n/a")))</f>
        <v>exempt</v>
      </c>
      <c r="L42" s="13">
        <f>IF(OR($J42="",$J42="Config error"),"",IF(OR($F42=Scales!$B$24,AND(ISNUMBER($K42),$K42=0)),4,IF(ISNUMBER($K42),MAX(1,MATCH($J42,Scales!$B$6:$B$10,0)-1+$K42),1)))</f>
        <v>4</v>
      </c>
      <c r="M42" s="5"/>
      <c r="N42" s="5"/>
      <c r="O42" s="8">
        <f>IF(OR($J42="",$J42="Config error",$E42="",$F42="",$G42="",$H42="",$R42=""),"",IF($M42="",MATCH($J42,Scales!$B$6:$B$10,0),IFERROR(MATCH($M42,Scales!$B$6:$B$10,0),MATCH($J42,Scales!$B$6:$B$10,0)))-1)</f>
        <v>4</v>
      </c>
      <c r="P42" s="12" t="str">
        <f>IF($J42="",IF(AND($B42&lt;&gt;"",$B42&lt;&gt;"Duplicate ID"),"Incomplete assessment",""),IF($J42="Config error","Config error",IF($O42="","Incomplete assessment",IF($M42="","As recommended",IF(ISERROR(MATCH($M42,Scales!$B$6:$B$10,0)),"Invalid choice",IF(MATCH($M42,Scales!$B$6:$B$10,0)&gt;MATCH($J42,Scales!$B$6:$B$10,0),"Above policy: needs sign-off",IF(MATCH($M42,Scales!$B$6:$B$10,0)&lt;MATCH($J42,Scales!$B$6:$B$10,0),"More cautious than policy","As recommended")))))))</f>
        <v>As recommended</v>
      </c>
      <c r="Q42" s="13">
        <f>IF(OR($O42="",Policy!$B$24&lt;&gt;"OK"),"",IFERROR(MIN($O42,INDEX(Policy!$C$5:$E$16,MATCH($F42&amp;"|"&amp;Scales!$B$33,Policy!$G$5:$G$16,0),MATCH($I42,Policy!$C$4:$E$4,0))),""))</f>
        <v>4</v>
      </c>
      <c r="R42" s="5">
        <v>1</v>
      </c>
      <c r="S42" s="13" t="str">
        <f>IF($B42="","",IF(COUNTIF('Readiness gate'!$A$7:$A$36,$A42)&lt;&gt;1,"Incomplete",IFERROR(IF(VLOOKUP($A42,GateTab,IF($F42=Scales!$B$24,11,9),FALSE())="","Incomplete",VLOOKUP($A42,GateTab,IF($F42=Scales!$B$24,11,9),FALSE())),"Incomplete")))</f>
        <v>Passed</v>
      </c>
      <c r="T42" s="8">
        <f>IF($O42="","",MIN(IF(AND($O42&gt;MATCH($J42,Scales!$B$6:$B$10,0)-1,$N42&lt;&gt;"Yes"),MATCH($J42,Scales!$B$6:$B$10,0)-1,$O42),$L42,IF($F42=Scales!$B$24,IF($S42="Passed",4,IF(NOT(ISNUMBER($R42)),0,IF(OR($R42&lt;0,$R42&gt;4,$R42&lt;&gt;INT($R42)),0,$R42))),IF(NOT(ISNUMBER($R42)),0,IF(OR($R42&lt;0,$R42&gt;4,$R42&lt;&gt;INT($R42)),0,$R42))+IF($S42="Passed",1,0)),IF(AND($F42&lt;&gt;Scales!$B$24,OR($F42=Scales!$B$27,$G42=Scales!$B$33)),3,4)))</f>
        <v>4</v>
      </c>
      <c r="U42" s="13" t="str">
        <f>IF($O42="",IF(AND($B42&lt;&gt;"",$B42&lt;&gt;"Duplicate ID"),IF($J42="Config error","Config error","Incomplete assessment"),""),IF($T42&gt;=$O42,IF(LEFT($P42,4)="More","Own choice","None"),MID(IF(AND($O42&gt;MATCH($J42,Scales!$B$6:$B$10,0)-1,$N42&lt;&gt;"Yes",$T42=MATCH($J42,Scales!$B$6:$B$10,0)-1)," + Exception not approved","")&amp;IF(AND($F42&lt;&gt;Scales!$B$24,OR($F42=Scales!$B$27,$G42=Scales!$B$33),$T42=3)," + Human-signature guardrail","")&amp;IF($T42=$L42," + Model confidence","")&amp;IF($T42=IF($F42=Scales!$B$24,IF($S42="Passed",4,IF(NOT(ISNUMBER($R42)),0,IF(OR($R42&lt;0,$R42&gt;4,$R42&lt;&gt;INT($R42)),0,$R42))),IF(NOT(ISNUMBER($R42)),0,IF(OR($R42&lt;0,$R42&gt;4,$R42&lt;&gt;INT($R42)),0,$R42))+IF($S42="Passed",1,0))," + "&amp;IF($S42&lt;&gt;"Passed","Readiness gate","Readiness gate (one level per gate)"),""),4,200)))</f>
        <v>None</v>
      </c>
      <c r="V42" s="23"/>
    </row>
    <row r="43" spans="1:22" x14ac:dyDescent="0.25">
      <c r="A43" s="8" t="s">
        <v>165</v>
      </c>
      <c r="B43" s="11" t="str">
        <f>IF($A43="","",IF(COUNTIF('Use cases'!$A$5:$A$34,$A43)&gt;1,"Duplicate ID",IFERROR(IF(VLOOKUP($A43,'Use cases'!$A$5:$B$34,2,FALSE())=0,"",VLOOKUP($A43,'Use cases'!$A$5:$B$34,2,FALSE())),"")))</f>
        <v>Endpoint malware containment</v>
      </c>
      <c r="C43" s="12" t="str">
        <f>IF(OR($B43="",$B43="Duplicate ID"),"",IFERROR(VLOOKUP($A43,'Use cases'!$A$5:$C$34,3,FALSE()),""))</f>
        <v>Endpoint</v>
      </c>
      <c r="D43" s="13" t="s">
        <v>117</v>
      </c>
      <c r="E43" s="23" t="s">
        <v>167</v>
      </c>
      <c r="F43" s="23" t="s">
        <v>119</v>
      </c>
      <c r="G43" s="24" t="s">
        <v>115</v>
      </c>
      <c r="H43" s="24" t="s">
        <v>116</v>
      </c>
      <c r="I43" s="13" t="str">
        <f>IF(OR($B43="",$B43="Duplicate ID"),"",IFERROR(VLOOKUP($A43,'Use cases'!$A$5:$E$34,5,FALSE()),""))</f>
        <v>Progressive</v>
      </c>
      <c r="J43" s="11" t="str">
        <f>IF(OR($B43="",$B43="Duplicate ID"),"",IF(OR($F43="",$G43=""),"",IF(Policy!$B$24&lt;&gt;"OK","Config error",IFERROR(INDEX(Scales!$B$6:$B$10,1+INDEX(Policy!$C$5:$E$16,MATCH($F43&amp;"|"&amp;$G43,Policy!$G$5:$G$16,0),MATCH($I43,Policy!$C$4:$E$4,0))),"Config error"))))</f>
        <v>L4 Autonomous</v>
      </c>
      <c r="K43" s="13">
        <f>IF($H43="","",IF($F43=Scales!$B$24,"exempt",IFERROR(IF(VLOOKUP($H43,Conf_Check,3,FALSE())="valid",VLOOKUP($H43,Conf_Adjust,2,FALSE()),"n/a"),"n/a")))</f>
        <v>0</v>
      </c>
      <c r="L43" s="13">
        <f>IF(OR($J43="",$J43="Config error"),"",IF(OR($F43=Scales!$B$24,AND(ISNUMBER($K43),$K43=0)),4,IF(ISNUMBER($K43),MAX(1,MATCH($J43,Scales!$B$6:$B$10,0)-1+$K43),1)))</f>
        <v>4</v>
      </c>
      <c r="M43" s="5"/>
      <c r="N43" s="5"/>
      <c r="O43" s="8">
        <f>IF(OR($J43="",$J43="Config error",$E43="",$F43="",$G43="",$H43="",$R43=""),"",IF($M43="",MATCH($J43,Scales!$B$6:$B$10,0),IFERROR(MATCH($M43,Scales!$B$6:$B$10,0),MATCH($J43,Scales!$B$6:$B$10,0)))-1)</f>
        <v>4</v>
      </c>
      <c r="P43" s="12" t="str">
        <f>IF($J43="",IF(AND($B43&lt;&gt;"",$B43&lt;&gt;"Duplicate ID"),"Incomplete assessment",""),IF($J43="Config error","Config error",IF($O43="","Incomplete assessment",IF($M43="","As recommended",IF(ISERROR(MATCH($M43,Scales!$B$6:$B$10,0)),"Invalid choice",IF(MATCH($M43,Scales!$B$6:$B$10,0)&gt;MATCH($J43,Scales!$B$6:$B$10,0),"Above policy: needs sign-off",IF(MATCH($M43,Scales!$B$6:$B$10,0)&lt;MATCH($J43,Scales!$B$6:$B$10,0),"More cautious than policy","As recommended")))))))</f>
        <v>As recommended</v>
      </c>
      <c r="Q43" s="13">
        <f>IF(OR($O43="",Policy!$B$24&lt;&gt;"OK"),"",IFERROR(MIN($O43,INDEX(Policy!$C$5:$E$16,MATCH($F43&amp;"|"&amp;Scales!$B$33,Policy!$G$5:$G$16,0),MATCH($I43,Policy!$C$4:$E$4,0))),""))</f>
        <v>3</v>
      </c>
      <c r="R43" s="5">
        <v>1</v>
      </c>
      <c r="S43" s="13" t="str">
        <f>IF($B43="","",IF(COUNTIF('Readiness gate'!$A$7:$A$36,$A43)&lt;&gt;1,"Incomplete",IFERROR(IF(VLOOKUP($A43,GateTab,IF($F43=Scales!$B$24,11,9),FALSE())="","Incomplete",VLOOKUP($A43,GateTab,IF($F43=Scales!$B$24,11,9),FALSE())),"Incomplete")))</f>
        <v>Passed</v>
      </c>
      <c r="T43" s="8">
        <f>IF($O43="","",MIN(IF(AND($O43&gt;MATCH($J43,Scales!$B$6:$B$10,0)-1,$N43&lt;&gt;"Yes"),MATCH($J43,Scales!$B$6:$B$10,0)-1,$O43),$L43,IF($F43=Scales!$B$24,IF($S43="Passed",4,IF(NOT(ISNUMBER($R43)),0,IF(OR($R43&lt;0,$R43&gt;4,$R43&lt;&gt;INT($R43)),0,$R43))),IF(NOT(ISNUMBER($R43)),0,IF(OR($R43&lt;0,$R43&gt;4,$R43&lt;&gt;INT($R43)),0,$R43))+IF($S43="Passed",1,0)),IF(AND($F43&lt;&gt;Scales!$B$24,OR($F43=Scales!$B$27,$G43=Scales!$B$33)),3,4)))</f>
        <v>2</v>
      </c>
      <c r="U43" s="13" t="str">
        <f>IF($O43="",IF(AND($B43&lt;&gt;"",$B43&lt;&gt;"Duplicate ID"),IF($J43="Config error","Config error","Incomplete assessment"),""),IF($T43&gt;=$O43,IF(LEFT($P43,4)="More","Own choice","None"),MID(IF(AND($O43&gt;MATCH($J43,Scales!$B$6:$B$10,0)-1,$N43&lt;&gt;"Yes",$T43=MATCH($J43,Scales!$B$6:$B$10,0)-1)," + Exception not approved","")&amp;IF(AND($F43&lt;&gt;Scales!$B$24,OR($F43=Scales!$B$27,$G43=Scales!$B$33),$T43=3)," + Human-signature guardrail","")&amp;IF($T43=$L43," + Model confidence","")&amp;IF($T43=IF($F43=Scales!$B$24,IF($S43="Passed",4,IF(NOT(ISNUMBER($R43)),0,IF(OR($R43&lt;0,$R43&gt;4,$R43&lt;&gt;INT($R43)),0,$R43))),IF(NOT(ISNUMBER($R43)),0,IF(OR($R43&lt;0,$R43&gt;4,$R43&lt;&gt;INT($R43)),0,$R43))+IF($S43="Passed",1,0))," + "&amp;IF($S43&lt;&gt;"Passed","Readiness gate","Readiness gate (one level per gate)"),""),4,200)))</f>
        <v>Readiness gate (one level per gate)</v>
      </c>
      <c r="V43" s="23"/>
    </row>
    <row r="44" spans="1:22" x14ac:dyDescent="0.25">
      <c r="A44" s="8" t="s">
        <v>165</v>
      </c>
      <c r="B44" s="11" t="str">
        <f>IF($A44="","",IF(COUNTIF('Use cases'!$A$5:$A$34,$A44)&gt;1,"Duplicate ID",IFERROR(IF(VLOOKUP($A44,'Use cases'!$A$5:$B$34,2,FALSE())=0,"",VLOOKUP($A44,'Use cases'!$A$5:$B$34,2,FALSE())),"")))</f>
        <v>Endpoint malware containment</v>
      </c>
      <c r="C44" s="12" t="str">
        <f>IF(OR($B44="",$B44="Duplicate ID"),"",IFERROR(VLOOKUP($A44,'Use cases'!$A$5:$C$34,3,FALSE()),""))</f>
        <v>Endpoint</v>
      </c>
      <c r="D44" s="13" t="s">
        <v>120</v>
      </c>
      <c r="E44" s="23" t="s">
        <v>168</v>
      </c>
      <c r="F44" s="23" t="s">
        <v>119</v>
      </c>
      <c r="G44" s="24" t="s">
        <v>115</v>
      </c>
      <c r="H44" s="24" t="s">
        <v>116</v>
      </c>
      <c r="I44" s="13" t="str">
        <f>IF(OR($B44="",$B44="Duplicate ID"),"",IFERROR(VLOOKUP($A44,'Use cases'!$A$5:$E$34,5,FALSE()),""))</f>
        <v>Progressive</v>
      </c>
      <c r="J44" s="11" t="str">
        <f>IF(OR($B44="",$B44="Duplicate ID"),"",IF(OR($F44="",$G44=""),"",IF(Policy!$B$24&lt;&gt;"OK","Config error",IFERROR(INDEX(Scales!$B$6:$B$10,1+INDEX(Policy!$C$5:$E$16,MATCH($F44&amp;"|"&amp;$G44,Policy!$G$5:$G$16,0),MATCH($I44,Policy!$C$4:$E$4,0))),"Config error"))))</f>
        <v>L4 Autonomous</v>
      </c>
      <c r="K44" s="13">
        <f>IF($H44="","",IF($F44=Scales!$B$24,"exempt",IFERROR(IF(VLOOKUP($H44,Conf_Check,3,FALSE())="valid",VLOOKUP($H44,Conf_Adjust,2,FALSE()),"n/a"),"n/a")))</f>
        <v>0</v>
      </c>
      <c r="L44" s="13">
        <f>IF(OR($J44="",$J44="Config error"),"",IF(OR($F44=Scales!$B$24,AND(ISNUMBER($K44),$K44=0)),4,IF(ISNUMBER($K44),MAX(1,MATCH($J44,Scales!$B$6:$B$10,0)-1+$K44),1)))</f>
        <v>4</v>
      </c>
      <c r="M44" s="5"/>
      <c r="N44" s="5"/>
      <c r="O44" s="8">
        <f>IF(OR($J44="",$J44="Config error",$E44="",$F44="",$G44="",$H44="",$R44=""),"",IF($M44="",MATCH($J44,Scales!$B$6:$B$10,0),IFERROR(MATCH($M44,Scales!$B$6:$B$10,0),MATCH($J44,Scales!$B$6:$B$10,0)))-1)</f>
        <v>4</v>
      </c>
      <c r="P44" s="12" t="str">
        <f>IF($J44="",IF(AND($B44&lt;&gt;"",$B44&lt;&gt;"Duplicate ID"),"Incomplete assessment",""),IF($J44="Config error","Config error",IF($O44="","Incomplete assessment",IF($M44="","As recommended",IF(ISERROR(MATCH($M44,Scales!$B$6:$B$10,0)),"Invalid choice",IF(MATCH($M44,Scales!$B$6:$B$10,0)&gt;MATCH($J44,Scales!$B$6:$B$10,0),"Above policy: needs sign-off",IF(MATCH($M44,Scales!$B$6:$B$10,0)&lt;MATCH($J44,Scales!$B$6:$B$10,0),"More cautious than policy","As recommended")))))))</f>
        <v>As recommended</v>
      </c>
      <c r="Q44" s="13">
        <f>IF(OR($O44="",Policy!$B$24&lt;&gt;"OK"),"",IFERROR(MIN($O44,INDEX(Policy!$C$5:$E$16,MATCH($F44&amp;"|"&amp;Scales!$B$33,Policy!$G$5:$G$16,0),MATCH($I44,Policy!$C$4:$E$4,0))),""))</f>
        <v>3</v>
      </c>
      <c r="R44" s="5">
        <v>3</v>
      </c>
      <c r="S44" s="13" t="str">
        <f>IF($B44="","",IF(COUNTIF('Readiness gate'!$A$7:$A$36,$A44)&lt;&gt;1,"Incomplete",IFERROR(IF(VLOOKUP($A44,GateTab,IF($F44=Scales!$B$24,11,9),FALSE())="","Incomplete",VLOOKUP($A44,GateTab,IF($F44=Scales!$B$24,11,9),FALSE())),"Incomplete")))</f>
        <v>Passed</v>
      </c>
      <c r="T44" s="8">
        <f>IF($O44="","",MIN(IF(AND($O44&gt;MATCH($J44,Scales!$B$6:$B$10,0)-1,$N44&lt;&gt;"Yes"),MATCH($J44,Scales!$B$6:$B$10,0)-1,$O44),$L44,IF($F44=Scales!$B$24,IF($S44="Passed",4,IF(NOT(ISNUMBER($R44)),0,IF(OR($R44&lt;0,$R44&gt;4,$R44&lt;&gt;INT($R44)),0,$R44))),IF(NOT(ISNUMBER($R44)),0,IF(OR($R44&lt;0,$R44&gt;4,$R44&lt;&gt;INT($R44)),0,$R44))+IF($S44="Passed",1,0)),IF(AND($F44&lt;&gt;Scales!$B$24,OR($F44=Scales!$B$27,$G44=Scales!$B$33)),3,4)))</f>
        <v>4</v>
      </c>
      <c r="U44" s="13" t="str">
        <f>IF($O44="",IF(AND($B44&lt;&gt;"",$B44&lt;&gt;"Duplicate ID"),IF($J44="Config error","Config error","Incomplete assessment"),""),IF($T44&gt;=$O44,IF(LEFT($P44,4)="More","Own choice","None"),MID(IF(AND($O44&gt;MATCH($J44,Scales!$B$6:$B$10,0)-1,$N44&lt;&gt;"Yes",$T44=MATCH($J44,Scales!$B$6:$B$10,0)-1)," + Exception not approved","")&amp;IF(AND($F44&lt;&gt;Scales!$B$24,OR($F44=Scales!$B$27,$G44=Scales!$B$33),$T44=3)," + Human-signature guardrail","")&amp;IF($T44=$L44," + Model confidence","")&amp;IF($T44=IF($F44=Scales!$B$24,IF($S44="Passed",4,IF(NOT(ISNUMBER($R44)),0,IF(OR($R44&lt;0,$R44&gt;4,$R44&lt;&gt;INT($R44)),0,$R44))),IF(NOT(ISNUMBER($R44)),0,IF(OR($R44&lt;0,$R44&gt;4,$R44&lt;&gt;INT($R44)),0,$R44))+IF($S44="Passed",1,0))," + "&amp;IF($S44&lt;&gt;"Passed","Readiness gate","Readiness gate (one level per gate)"),""),4,200)))</f>
        <v>None</v>
      </c>
      <c r="V44" s="23"/>
    </row>
    <row r="45" spans="1:22" x14ac:dyDescent="0.25">
      <c r="A45" s="8" t="s">
        <v>165</v>
      </c>
      <c r="B45" s="11" t="str">
        <f>IF($A45="","",IF(COUNTIF('Use cases'!$A$5:$A$34,$A45)&gt;1,"Duplicate ID",IFERROR(IF(VLOOKUP($A45,'Use cases'!$A$5:$B$34,2,FALSE())=0,"",VLOOKUP($A45,'Use cases'!$A$5:$B$34,2,FALSE())),"")))</f>
        <v>Endpoint malware containment</v>
      </c>
      <c r="C45" s="12" t="str">
        <f>IF(OR($B45="",$B45="Duplicate ID"),"",IFERROR(VLOOKUP($A45,'Use cases'!$A$5:$C$34,3,FALSE()),""))</f>
        <v>Endpoint</v>
      </c>
      <c r="D45" s="13" t="s">
        <v>123</v>
      </c>
      <c r="E45" s="23" t="s">
        <v>430</v>
      </c>
      <c r="F45" s="23" t="s">
        <v>134</v>
      </c>
      <c r="G45" s="24" t="s">
        <v>115</v>
      </c>
      <c r="H45" s="24" t="s">
        <v>122</v>
      </c>
      <c r="I45" s="13" t="str">
        <f>IF(OR($B45="",$B45="Duplicate ID"),"",IFERROR(VLOOKUP($A45,'Use cases'!$A$5:$E$34,5,FALSE()),""))</f>
        <v>Progressive</v>
      </c>
      <c r="J45" s="11" t="str">
        <f>IF(OR($B45="",$B45="Duplicate ID"),"",IF(OR($F45="",$G45=""),"",IF(Policy!$B$24&lt;&gt;"OK","Config error",IFERROR(INDEX(Scales!$B$6:$B$10,1+INDEX(Policy!$C$5:$E$16,MATCH($F45&amp;"|"&amp;$G45,Policy!$G$5:$G$16,0),MATCH($I45,Policy!$C$4:$E$4,0))),"Config error"))))</f>
        <v>L4 Autonomous</v>
      </c>
      <c r="K45" s="13">
        <f>IF($H45="","",IF($F45=Scales!$B$24,"exempt",IFERROR(IF(VLOOKUP($H45,Conf_Check,3,FALSE())="valid",VLOOKUP($H45,Conf_Adjust,2,FALSE()),"n/a"),"n/a")))</f>
        <v>-1</v>
      </c>
      <c r="L45" s="13">
        <f>IF(OR($J45="",$J45="Config error"),"",IF(OR($F45=Scales!$B$24,AND(ISNUMBER($K45),$K45=0)),4,IF(ISNUMBER($K45),MAX(1,MATCH($J45,Scales!$B$6:$B$10,0)-1+$K45),1)))</f>
        <v>3</v>
      </c>
      <c r="M45" s="5"/>
      <c r="N45" s="5"/>
      <c r="O45" s="8">
        <f>IF(OR($J45="",$J45="Config error",$E45="",$F45="",$G45="",$H45="",$R45=""),"",IF($M45="",MATCH($J45,Scales!$B$6:$B$10,0),IFERROR(MATCH($M45,Scales!$B$6:$B$10,0),MATCH($J45,Scales!$B$6:$B$10,0)))-1)</f>
        <v>4</v>
      </c>
      <c r="P45" s="12" t="str">
        <f>IF($J45="",IF(AND($B45&lt;&gt;"",$B45&lt;&gt;"Duplicate ID"),"Incomplete assessment",""),IF($J45="Config error","Config error",IF($O45="","Incomplete assessment",IF($M45="","As recommended",IF(ISERROR(MATCH($M45,Scales!$B$6:$B$10,0)),"Invalid choice",IF(MATCH($M45,Scales!$B$6:$B$10,0)&gt;MATCH($J45,Scales!$B$6:$B$10,0),"Above policy: needs sign-off",IF(MATCH($M45,Scales!$B$6:$B$10,0)&lt;MATCH($J45,Scales!$B$6:$B$10,0),"More cautious than policy","As recommended")))))))</f>
        <v>As recommended</v>
      </c>
      <c r="Q45" s="13">
        <f>IF(OR($O45="",Policy!$B$24&lt;&gt;"OK"),"",IFERROR(MIN($O45,INDEX(Policy!$C$5:$E$16,MATCH($F45&amp;"|"&amp;Scales!$B$33,Policy!$G$5:$G$16,0),MATCH($I45,Policy!$C$4:$E$4,0))),""))</f>
        <v>3</v>
      </c>
      <c r="R45" s="5">
        <v>1</v>
      </c>
      <c r="S45" s="13" t="str">
        <f>IF($B45="","",IF(COUNTIF('Readiness gate'!$A$7:$A$36,$A45)&lt;&gt;1,"Incomplete",IFERROR(IF(VLOOKUP($A45,GateTab,IF($F45=Scales!$B$24,11,9),FALSE())="","Incomplete",VLOOKUP($A45,GateTab,IF($F45=Scales!$B$24,11,9),FALSE())),"Incomplete")))</f>
        <v>Passed</v>
      </c>
      <c r="T45" s="8">
        <f>IF($O45="","",MIN(IF(AND($O45&gt;MATCH($J45,Scales!$B$6:$B$10,0)-1,$N45&lt;&gt;"Yes"),MATCH($J45,Scales!$B$6:$B$10,0)-1,$O45),$L45,IF($F45=Scales!$B$24,IF($S45="Passed",4,IF(NOT(ISNUMBER($R45)),0,IF(OR($R45&lt;0,$R45&gt;4,$R45&lt;&gt;INT($R45)),0,$R45))),IF(NOT(ISNUMBER($R45)),0,IF(OR($R45&lt;0,$R45&gt;4,$R45&lt;&gt;INT($R45)),0,$R45))+IF($S45="Passed",1,0)),IF(AND($F45&lt;&gt;Scales!$B$24,OR($F45=Scales!$B$27,$G45=Scales!$B$33)),3,4)))</f>
        <v>2</v>
      </c>
      <c r="U45" s="13" t="str">
        <f>IF($O45="",IF(AND($B45&lt;&gt;"",$B45&lt;&gt;"Duplicate ID"),IF($J45="Config error","Config error","Incomplete assessment"),""),IF($T45&gt;=$O45,IF(LEFT($P45,4)="More","Own choice","None"),MID(IF(AND($O45&gt;MATCH($J45,Scales!$B$6:$B$10,0)-1,$N45&lt;&gt;"Yes",$T45=MATCH($J45,Scales!$B$6:$B$10,0)-1)," + Exception not approved","")&amp;IF(AND($F45&lt;&gt;Scales!$B$24,OR($F45=Scales!$B$27,$G45=Scales!$B$33),$T45=3)," + Human-signature guardrail","")&amp;IF($T45=$L45," + Model confidence","")&amp;IF($T45=IF($F45=Scales!$B$24,IF($S45="Passed",4,IF(NOT(ISNUMBER($R45)),0,IF(OR($R45&lt;0,$R45&gt;4,$R45&lt;&gt;INT($R45)),0,$R45))),IF(NOT(ISNUMBER($R45)),0,IF(OR($R45&lt;0,$R45&gt;4,$R45&lt;&gt;INT($R45)),0,$R45))+IF($S45="Passed",1,0))," + "&amp;IF($S45&lt;&gt;"Passed","Readiness gate","Readiness gate (one level per gate)"),""),4,200)))</f>
        <v>Readiness gate (one level per gate)</v>
      </c>
      <c r="V45" s="23" t="s">
        <v>431</v>
      </c>
    </row>
    <row r="46" spans="1:22" x14ac:dyDescent="0.25">
      <c r="A46" s="8" t="s">
        <v>165</v>
      </c>
      <c r="B46" s="11" t="str">
        <f>IF($A46="","",IF(COUNTIF('Use cases'!$A$5:$A$34,$A46)&gt;1,"Duplicate ID",IFERROR(IF(VLOOKUP($A46,'Use cases'!$A$5:$B$34,2,FALSE())=0,"",VLOOKUP($A46,'Use cases'!$A$5:$B$34,2,FALSE())),"")))</f>
        <v>Endpoint malware containment</v>
      </c>
      <c r="C46" s="12" t="str">
        <f>IF(OR($B46="",$B46="Duplicate ID"),"",IFERROR(VLOOKUP($A46,'Use cases'!$A$5:$C$34,3,FALSE()),""))</f>
        <v>Endpoint</v>
      </c>
      <c r="D46" s="13" t="s">
        <v>125</v>
      </c>
      <c r="E46" s="23" t="s">
        <v>170</v>
      </c>
      <c r="F46" s="23" t="s">
        <v>119</v>
      </c>
      <c r="G46" s="24" t="s">
        <v>115</v>
      </c>
      <c r="H46" s="24" t="s">
        <v>122</v>
      </c>
      <c r="I46" s="13" t="str">
        <f>IF(OR($B46="",$B46="Duplicate ID"),"",IFERROR(VLOOKUP($A46,'Use cases'!$A$5:$E$34,5,FALSE()),""))</f>
        <v>Progressive</v>
      </c>
      <c r="J46" s="11" t="str">
        <f>IF(OR($B46="",$B46="Duplicate ID"),"",IF(OR($F46="",$G46=""),"",IF(Policy!$B$24&lt;&gt;"OK","Config error",IFERROR(INDEX(Scales!$B$6:$B$10,1+INDEX(Policy!$C$5:$E$16,MATCH($F46&amp;"|"&amp;$G46,Policy!$G$5:$G$16,0),MATCH($I46,Policy!$C$4:$E$4,0))),"Config error"))))</f>
        <v>L4 Autonomous</v>
      </c>
      <c r="K46" s="13">
        <f>IF($H46="","",IF($F46=Scales!$B$24,"exempt",IFERROR(IF(VLOOKUP($H46,Conf_Check,3,FALSE())="valid",VLOOKUP($H46,Conf_Adjust,2,FALSE()),"n/a"),"n/a")))</f>
        <v>-1</v>
      </c>
      <c r="L46" s="13">
        <f>IF(OR($J46="",$J46="Config error"),"",IF(OR($F46=Scales!$B$24,AND(ISNUMBER($K46),$K46=0)),4,IF(ISNUMBER($K46),MAX(1,MATCH($J46,Scales!$B$6:$B$10,0)-1+$K46),1)))</f>
        <v>3</v>
      </c>
      <c r="M46" s="5"/>
      <c r="N46" s="5"/>
      <c r="O46" s="8">
        <f>IF(OR($J46="",$J46="Config error",$E46="",$F46="",$G46="",$H46="",$R46=""),"",IF($M46="",MATCH($J46,Scales!$B$6:$B$10,0),IFERROR(MATCH($M46,Scales!$B$6:$B$10,0),MATCH($J46,Scales!$B$6:$B$10,0)))-1)</f>
        <v>4</v>
      </c>
      <c r="P46" s="12" t="str">
        <f>IF($J46="",IF(AND($B46&lt;&gt;"",$B46&lt;&gt;"Duplicate ID"),"Incomplete assessment",""),IF($J46="Config error","Config error",IF($O46="","Incomplete assessment",IF($M46="","As recommended",IF(ISERROR(MATCH($M46,Scales!$B$6:$B$10,0)),"Invalid choice",IF(MATCH($M46,Scales!$B$6:$B$10,0)&gt;MATCH($J46,Scales!$B$6:$B$10,0),"Above policy: needs sign-off",IF(MATCH($M46,Scales!$B$6:$B$10,0)&lt;MATCH($J46,Scales!$B$6:$B$10,0),"More cautious than policy","As recommended")))))))</f>
        <v>As recommended</v>
      </c>
      <c r="Q46" s="13">
        <f>IF(OR($O46="",Policy!$B$24&lt;&gt;"OK"),"",IFERROR(MIN($O46,INDEX(Policy!$C$5:$E$16,MATCH($F46&amp;"|"&amp;Scales!$B$33,Policy!$G$5:$G$16,0),MATCH($I46,Policy!$C$4:$E$4,0))),""))</f>
        <v>3</v>
      </c>
      <c r="R46" s="5">
        <v>1</v>
      </c>
      <c r="S46" s="13" t="str">
        <f>IF($B46="","",IF(COUNTIF('Readiness gate'!$A$7:$A$36,$A46)&lt;&gt;1,"Incomplete",IFERROR(IF(VLOOKUP($A46,GateTab,IF($F46=Scales!$B$24,11,9),FALSE())="","Incomplete",VLOOKUP($A46,GateTab,IF($F46=Scales!$B$24,11,9),FALSE())),"Incomplete")))</f>
        <v>Passed</v>
      </c>
      <c r="T46" s="8">
        <f>IF($O46="","",MIN(IF(AND($O46&gt;MATCH($J46,Scales!$B$6:$B$10,0)-1,$N46&lt;&gt;"Yes"),MATCH($J46,Scales!$B$6:$B$10,0)-1,$O46),$L46,IF($F46=Scales!$B$24,IF($S46="Passed",4,IF(NOT(ISNUMBER($R46)),0,IF(OR($R46&lt;0,$R46&gt;4,$R46&lt;&gt;INT($R46)),0,$R46))),IF(NOT(ISNUMBER($R46)),0,IF(OR($R46&lt;0,$R46&gt;4,$R46&lt;&gt;INT($R46)),0,$R46))+IF($S46="Passed",1,0)),IF(AND($F46&lt;&gt;Scales!$B$24,OR($F46=Scales!$B$27,$G46=Scales!$B$33)),3,4)))</f>
        <v>2</v>
      </c>
      <c r="U46" s="13" t="str">
        <f>IF($O46="",IF(AND($B46&lt;&gt;"",$B46&lt;&gt;"Duplicate ID"),IF($J46="Config error","Config error","Incomplete assessment"),""),IF($T46&gt;=$O46,IF(LEFT($P46,4)="More","Own choice","None"),MID(IF(AND($O46&gt;MATCH($J46,Scales!$B$6:$B$10,0)-1,$N46&lt;&gt;"Yes",$T46=MATCH($J46,Scales!$B$6:$B$10,0)-1)," + Exception not approved","")&amp;IF(AND($F46&lt;&gt;Scales!$B$24,OR($F46=Scales!$B$27,$G46=Scales!$B$33),$T46=3)," + Human-signature guardrail","")&amp;IF($T46=$L46," + Model confidence","")&amp;IF($T46=IF($F46=Scales!$B$24,IF($S46="Passed",4,IF(NOT(ISNUMBER($R46)),0,IF(OR($R46&lt;0,$R46&gt;4,$R46&lt;&gt;INT($R46)),0,$R46))),IF(NOT(ISNUMBER($R46)),0,IF(OR($R46&lt;0,$R46&gt;4,$R46&lt;&gt;INT($R46)),0,$R46))+IF($S46="Passed",1,0))," + "&amp;IF($S46&lt;&gt;"Passed","Readiness gate","Readiness gate (one level per gate)"),""),4,200)))</f>
        <v>Readiness gate (one level per gate)</v>
      </c>
      <c r="V46" s="23"/>
    </row>
    <row r="47" spans="1:22" x14ac:dyDescent="0.25">
      <c r="A47" s="8" t="s">
        <v>165</v>
      </c>
      <c r="B47" s="11" t="str">
        <f>IF($A47="","",IF(COUNTIF('Use cases'!$A$5:$A$34,$A47)&gt;1,"Duplicate ID",IFERROR(IF(VLOOKUP($A47,'Use cases'!$A$5:$B$34,2,FALSE())=0,"",VLOOKUP($A47,'Use cases'!$A$5:$B$34,2,FALSE())),"")))</f>
        <v>Endpoint malware containment</v>
      </c>
      <c r="C47" s="12" t="str">
        <f>IF(OR($B47="",$B47="Duplicate ID"),"",IFERROR(VLOOKUP($A47,'Use cases'!$A$5:$C$34,3,FALSE()),""))</f>
        <v>Endpoint</v>
      </c>
      <c r="D47" s="13" t="s">
        <v>127</v>
      </c>
      <c r="E47" s="23" t="s">
        <v>171</v>
      </c>
      <c r="F47" s="23" t="s">
        <v>119</v>
      </c>
      <c r="G47" s="24" t="s">
        <v>115</v>
      </c>
      <c r="H47" s="24" t="s">
        <v>116</v>
      </c>
      <c r="I47" s="13" t="str">
        <f>IF(OR($B47="",$B47="Duplicate ID"),"",IFERROR(VLOOKUP($A47,'Use cases'!$A$5:$E$34,5,FALSE()),""))</f>
        <v>Progressive</v>
      </c>
      <c r="J47" s="11" t="str">
        <f>IF(OR($B47="",$B47="Duplicate ID"),"",IF(OR($F47="",$G47=""),"",IF(Policy!$B$24&lt;&gt;"OK","Config error",IFERROR(INDEX(Scales!$B$6:$B$10,1+INDEX(Policy!$C$5:$E$16,MATCH($F47&amp;"|"&amp;$G47,Policy!$G$5:$G$16,0),MATCH($I47,Policy!$C$4:$E$4,0))),"Config error"))))</f>
        <v>L4 Autonomous</v>
      </c>
      <c r="K47" s="13">
        <f>IF($H47="","",IF($F47=Scales!$B$24,"exempt",IFERROR(IF(VLOOKUP($H47,Conf_Check,3,FALSE())="valid",VLOOKUP($H47,Conf_Adjust,2,FALSE()),"n/a"),"n/a")))</f>
        <v>0</v>
      </c>
      <c r="L47" s="13">
        <f>IF(OR($J47="",$J47="Config error"),"",IF(OR($F47=Scales!$B$24,AND(ISNUMBER($K47),$K47=0)),4,IF(ISNUMBER($K47),MAX(1,MATCH($J47,Scales!$B$6:$B$10,0)-1+$K47),1)))</f>
        <v>4</v>
      </c>
      <c r="M47" s="5"/>
      <c r="N47" s="5"/>
      <c r="O47" s="8">
        <f>IF(OR($J47="",$J47="Config error",$E47="",$F47="",$G47="",$H47="",$R47=""),"",IF($M47="",MATCH($J47,Scales!$B$6:$B$10,0),IFERROR(MATCH($M47,Scales!$B$6:$B$10,0),MATCH($J47,Scales!$B$6:$B$10,0)))-1)</f>
        <v>4</v>
      </c>
      <c r="P47" s="12" t="str">
        <f>IF($J47="",IF(AND($B47&lt;&gt;"",$B47&lt;&gt;"Duplicate ID"),"Incomplete assessment",""),IF($J47="Config error","Config error",IF($O47="","Incomplete assessment",IF($M47="","As recommended",IF(ISERROR(MATCH($M47,Scales!$B$6:$B$10,0)),"Invalid choice",IF(MATCH($M47,Scales!$B$6:$B$10,0)&gt;MATCH($J47,Scales!$B$6:$B$10,0),"Above policy: needs sign-off",IF(MATCH($M47,Scales!$B$6:$B$10,0)&lt;MATCH($J47,Scales!$B$6:$B$10,0),"More cautious than policy","As recommended")))))))</f>
        <v>As recommended</v>
      </c>
      <c r="Q47" s="13">
        <f>IF(OR($O47="",Policy!$B$24&lt;&gt;"OK"),"",IFERROR(MIN($O47,INDEX(Policy!$C$5:$E$16,MATCH($F47&amp;"|"&amp;Scales!$B$33,Policy!$G$5:$G$16,0),MATCH($I47,Policy!$C$4:$E$4,0))),""))</f>
        <v>3</v>
      </c>
      <c r="R47" s="5">
        <v>1</v>
      </c>
      <c r="S47" s="13" t="str">
        <f>IF($B47="","",IF(COUNTIF('Readiness gate'!$A$7:$A$36,$A47)&lt;&gt;1,"Incomplete",IFERROR(IF(VLOOKUP($A47,GateTab,IF($F47=Scales!$B$24,11,9),FALSE())="","Incomplete",VLOOKUP($A47,GateTab,IF($F47=Scales!$B$24,11,9),FALSE())),"Incomplete")))</f>
        <v>Passed</v>
      </c>
      <c r="T47" s="8">
        <f>IF($O47="","",MIN(IF(AND($O47&gt;MATCH($J47,Scales!$B$6:$B$10,0)-1,$N47&lt;&gt;"Yes"),MATCH($J47,Scales!$B$6:$B$10,0)-1,$O47),$L47,IF($F47=Scales!$B$24,IF($S47="Passed",4,IF(NOT(ISNUMBER($R47)),0,IF(OR($R47&lt;0,$R47&gt;4,$R47&lt;&gt;INT($R47)),0,$R47))),IF(NOT(ISNUMBER($R47)),0,IF(OR($R47&lt;0,$R47&gt;4,$R47&lt;&gt;INT($R47)),0,$R47))+IF($S47="Passed",1,0)),IF(AND($F47&lt;&gt;Scales!$B$24,OR($F47=Scales!$B$27,$G47=Scales!$B$33)),3,4)))</f>
        <v>2</v>
      </c>
      <c r="U47" s="13" t="str">
        <f>IF($O47="",IF(AND($B47&lt;&gt;"",$B47&lt;&gt;"Duplicate ID"),IF($J47="Config error","Config error","Incomplete assessment"),""),IF($T47&gt;=$O47,IF(LEFT($P47,4)="More","Own choice","None"),MID(IF(AND($O47&gt;MATCH($J47,Scales!$B$6:$B$10,0)-1,$N47&lt;&gt;"Yes",$T47=MATCH($J47,Scales!$B$6:$B$10,0)-1)," + Exception not approved","")&amp;IF(AND($F47&lt;&gt;Scales!$B$24,OR($F47=Scales!$B$27,$G47=Scales!$B$33),$T47=3)," + Human-signature guardrail","")&amp;IF($T47=$L47," + Model confidence","")&amp;IF($T47=IF($F47=Scales!$B$24,IF($S47="Passed",4,IF(NOT(ISNUMBER($R47)),0,IF(OR($R47&lt;0,$R47&gt;4,$R47&lt;&gt;INT($R47)),0,$R47))),IF(NOT(ISNUMBER($R47)),0,IF(OR($R47&lt;0,$R47&gt;4,$R47&lt;&gt;INT($R47)),0,$R47))+IF($S47="Passed",1,0))," + "&amp;IF($S47&lt;&gt;"Passed","Readiness gate","Readiness gate (one level per gate)"),""),4,200)))</f>
        <v>Readiness gate (one level per gate)</v>
      </c>
      <c r="V47" s="23"/>
    </row>
    <row r="48" spans="1:22" x14ac:dyDescent="0.25">
      <c r="A48" s="8" t="s">
        <v>172</v>
      </c>
      <c r="B48" s="11" t="str">
        <f>IF($A48="","",IF(COUNTIF('Use cases'!$A$5:$A$34,$A48)&gt;1,"Duplicate ID",IFERROR(IF(VLOOKUP($A48,'Use cases'!$A$5:$B$34,2,FALSE())=0,"",VLOOKUP($A48,'Use cases'!$A$5:$B$34,2,FALSE())),"")))</f>
        <v>Early ransomware indicators</v>
      </c>
      <c r="C48" s="12" t="str">
        <f>IF(OR($B48="",$B48="Duplicate ID"),"",IFERROR(VLOOKUP($A48,'Use cases'!$A$5:$C$34,3,FALSE()),""))</f>
        <v>Endpoint</v>
      </c>
      <c r="D48" s="13" t="s">
        <v>112</v>
      </c>
      <c r="E48" s="23" t="s">
        <v>173</v>
      </c>
      <c r="F48" s="23" t="s">
        <v>114</v>
      </c>
      <c r="G48" s="24" t="s">
        <v>115</v>
      </c>
      <c r="H48" s="24" t="s">
        <v>122</v>
      </c>
      <c r="I48" s="13" t="str">
        <f>IF(OR($B48="",$B48="Duplicate ID"),"",IFERROR(VLOOKUP($A48,'Use cases'!$A$5:$E$34,5,FALSE()),""))</f>
        <v>Progressive</v>
      </c>
      <c r="J48" s="11" t="str">
        <f>IF(OR($B48="",$B48="Duplicate ID"),"",IF(OR($F48="",$G48=""),"",IF(Policy!$B$24&lt;&gt;"OK","Config error",IFERROR(INDEX(Scales!$B$6:$B$10,1+INDEX(Policy!$C$5:$E$16,MATCH($F48&amp;"|"&amp;$G48,Policy!$G$5:$G$16,0),MATCH($I48,Policy!$C$4:$E$4,0))),"Config error"))))</f>
        <v>L4 Autonomous</v>
      </c>
      <c r="K48" s="13" t="str">
        <f>IF($H48="","",IF($F48=Scales!$B$24,"exempt",IFERROR(IF(VLOOKUP($H48,Conf_Check,3,FALSE())="valid",VLOOKUP($H48,Conf_Adjust,2,FALSE()),"n/a"),"n/a")))</f>
        <v>exempt</v>
      </c>
      <c r="L48" s="13">
        <f>IF(OR($J48="",$J48="Config error"),"",IF(OR($F48=Scales!$B$24,AND(ISNUMBER($K48),$K48=0)),4,IF(ISNUMBER($K48),MAX(1,MATCH($J48,Scales!$B$6:$B$10,0)-1+$K48),1)))</f>
        <v>4</v>
      </c>
      <c r="M48" s="5"/>
      <c r="N48" s="5"/>
      <c r="O48" s="8">
        <f>IF(OR($J48="",$J48="Config error",$E48="",$F48="",$G48="",$H48="",$R48=""),"",IF($M48="",MATCH($J48,Scales!$B$6:$B$10,0),IFERROR(MATCH($M48,Scales!$B$6:$B$10,0),MATCH($J48,Scales!$B$6:$B$10,0)))-1)</f>
        <v>4</v>
      </c>
      <c r="P48" s="12" t="str">
        <f>IF($J48="",IF(AND($B48&lt;&gt;"",$B48&lt;&gt;"Duplicate ID"),"Incomplete assessment",""),IF($J48="Config error","Config error",IF($O48="","Incomplete assessment",IF($M48="","As recommended",IF(ISERROR(MATCH($M48,Scales!$B$6:$B$10,0)),"Invalid choice",IF(MATCH($M48,Scales!$B$6:$B$10,0)&gt;MATCH($J48,Scales!$B$6:$B$10,0),"Above policy: needs sign-off",IF(MATCH($M48,Scales!$B$6:$B$10,0)&lt;MATCH($J48,Scales!$B$6:$B$10,0),"More cautious than policy","As recommended")))))))</f>
        <v>As recommended</v>
      </c>
      <c r="Q48" s="13">
        <f>IF(OR($O48="",Policy!$B$24&lt;&gt;"OK"),"",IFERROR(MIN($O48,INDEX(Policy!$C$5:$E$16,MATCH($F48&amp;"|"&amp;Scales!$B$33,Policy!$G$5:$G$16,0),MATCH($I48,Policy!$C$4:$E$4,0))),""))</f>
        <v>4</v>
      </c>
      <c r="R48" s="5">
        <v>1</v>
      </c>
      <c r="S48" s="13" t="str">
        <f>IF($B48="","",IF(COUNTIF('Readiness gate'!$A$7:$A$36,$A48)&lt;&gt;1,"Incomplete",IFERROR(IF(VLOOKUP($A48,GateTab,IF($F48=Scales!$B$24,11,9),FALSE())="","Incomplete",VLOOKUP($A48,GateTab,IF($F48=Scales!$B$24,11,9),FALSE())),"Incomplete")))</f>
        <v>Not passed</v>
      </c>
      <c r="T48" s="8">
        <f>IF($O48="","",MIN(IF(AND($O48&gt;MATCH($J48,Scales!$B$6:$B$10,0)-1,$N48&lt;&gt;"Yes"),MATCH($J48,Scales!$B$6:$B$10,0)-1,$O48),$L48,IF($F48=Scales!$B$24,IF($S48="Passed",4,IF(NOT(ISNUMBER($R48)),0,IF(OR($R48&lt;0,$R48&gt;4,$R48&lt;&gt;INT($R48)),0,$R48))),IF(NOT(ISNUMBER($R48)),0,IF(OR($R48&lt;0,$R48&gt;4,$R48&lt;&gt;INT($R48)),0,$R48))+IF($S48="Passed",1,0)),IF(AND($F48&lt;&gt;Scales!$B$24,OR($F48=Scales!$B$27,$G48=Scales!$B$33)),3,4)))</f>
        <v>1</v>
      </c>
      <c r="U48" s="13" t="str">
        <f>IF($O48="",IF(AND($B48&lt;&gt;"",$B48&lt;&gt;"Duplicate ID"),IF($J48="Config error","Config error","Incomplete assessment"),""),IF($T48&gt;=$O48,IF(LEFT($P48,4)="More","Own choice","None"),MID(IF(AND($O48&gt;MATCH($J48,Scales!$B$6:$B$10,0)-1,$N48&lt;&gt;"Yes",$T48=MATCH($J48,Scales!$B$6:$B$10,0)-1)," + Exception not approved","")&amp;IF(AND($F48&lt;&gt;Scales!$B$24,OR($F48=Scales!$B$27,$G48=Scales!$B$33),$T48=3)," + Human-signature guardrail","")&amp;IF($T48=$L48," + Model confidence","")&amp;IF($T48=IF($F48=Scales!$B$24,IF($S48="Passed",4,IF(NOT(ISNUMBER($R48)),0,IF(OR($R48&lt;0,$R48&gt;4,$R48&lt;&gt;INT($R48)),0,$R48))),IF(NOT(ISNUMBER($R48)),0,IF(OR($R48&lt;0,$R48&gt;4,$R48&lt;&gt;INT($R48)),0,$R48))+IF($S48="Passed",1,0))," + "&amp;IF($S48&lt;&gt;"Passed","Readiness gate","Readiness gate (one level per gate)"),""),4,200)))</f>
        <v>Readiness gate</v>
      </c>
      <c r="V48" s="23"/>
    </row>
    <row r="49" spans="1:22" x14ac:dyDescent="0.25">
      <c r="A49" s="8" t="s">
        <v>172</v>
      </c>
      <c r="B49" s="11" t="str">
        <f>IF($A49="","",IF(COUNTIF('Use cases'!$A$5:$A$34,$A49)&gt;1,"Duplicate ID",IFERROR(IF(VLOOKUP($A49,'Use cases'!$A$5:$B$34,2,FALSE())=0,"",VLOOKUP($A49,'Use cases'!$A$5:$B$34,2,FALSE())),"")))</f>
        <v>Early ransomware indicators</v>
      </c>
      <c r="C49" s="12" t="str">
        <f>IF(OR($B49="",$B49="Duplicate ID"),"",IFERROR(VLOOKUP($A49,'Use cases'!$A$5:$C$34,3,FALSE()),""))</f>
        <v>Endpoint</v>
      </c>
      <c r="D49" s="13" t="s">
        <v>117</v>
      </c>
      <c r="E49" s="23" t="s">
        <v>174</v>
      </c>
      <c r="F49" s="23" t="s">
        <v>119</v>
      </c>
      <c r="G49" s="24" t="s">
        <v>115</v>
      </c>
      <c r="H49" s="24" t="s">
        <v>122</v>
      </c>
      <c r="I49" s="13" t="str">
        <f>IF(OR($B49="",$B49="Duplicate ID"),"",IFERROR(VLOOKUP($A49,'Use cases'!$A$5:$E$34,5,FALSE()),""))</f>
        <v>Progressive</v>
      </c>
      <c r="J49" s="11" t="str">
        <f>IF(OR($B49="",$B49="Duplicate ID"),"",IF(OR($F49="",$G49=""),"",IF(Policy!$B$24&lt;&gt;"OK","Config error",IFERROR(INDEX(Scales!$B$6:$B$10,1+INDEX(Policy!$C$5:$E$16,MATCH($F49&amp;"|"&amp;$G49,Policy!$G$5:$G$16,0),MATCH($I49,Policy!$C$4:$E$4,0))),"Config error"))))</f>
        <v>L4 Autonomous</v>
      </c>
      <c r="K49" s="13">
        <f>IF($H49="","",IF($F49=Scales!$B$24,"exempt",IFERROR(IF(VLOOKUP($H49,Conf_Check,3,FALSE())="valid",VLOOKUP($H49,Conf_Adjust,2,FALSE()),"n/a"),"n/a")))</f>
        <v>-1</v>
      </c>
      <c r="L49" s="13">
        <f>IF(OR($J49="",$J49="Config error"),"",IF(OR($F49=Scales!$B$24,AND(ISNUMBER($K49),$K49=0)),4,IF(ISNUMBER($K49),MAX(1,MATCH($J49,Scales!$B$6:$B$10,0)-1+$K49),1)))</f>
        <v>3</v>
      </c>
      <c r="M49" s="5"/>
      <c r="N49" s="5"/>
      <c r="O49" s="8">
        <f>IF(OR($J49="",$J49="Config error",$E49="",$F49="",$G49="",$H49="",$R49=""),"",IF($M49="",MATCH($J49,Scales!$B$6:$B$10,0),IFERROR(MATCH($M49,Scales!$B$6:$B$10,0),MATCH($J49,Scales!$B$6:$B$10,0)))-1)</f>
        <v>4</v>
      </c>
      <c r="P49" s="12" t="str">
        <f>IF($J49="",IF(AND($B49&lt;&gt;"",$B49&lt;&gt;"Duplicate ID"),"Incomplete assessment",""),IF($J49="Config error","Config error",IF($O49="","Incomplete assessment",IF($M49="","As recommended",IF(ISERROR(MATCH($M49,Scales!$B$6:$B$10,0)),"Invalid choice",IF(MATCH($M49,Scales!$B$6:$B$10,0)&gt;MATCH($J49,Scales!$B$6:$B$10,0),"Above policy: needs sign-off",IF(MATCH($M49,Scales!$B$6:$B$10,0)&lt;MATCH($J49,Scales!$B$6:$B$10,0),"More cautious than policy","As recommended")))))))</f>
        <v>As recommended</v>
      </c>
      <c r="Q49" s="13">
        <f>IF(OR($O49="",Policy!$B$24&lt;&gt;"OK"),"",IFERROR(MIN($O49,INDEX(Policy!$C$5:$E$16,MATCH($F49&amp;"|"&amp;Scales!$B$33,Policy!$G$5:$G$16,0),MATCH($I49,Policy!$C$4:$E$4,0))),""))</f>
        <v>3</v>
      </c>
      <c r="R49" s="5">
        <v>1</v>
      </c>
      <c r="S49" s="13" t="str">
        <f>IF($B49="","",IF(COUNTIF('Readiness gate'!$A$7:$A$36,$A49)&lt;&gt;1,"Incomplete",IFERROR(IF(VLOOKUP($A49,GateTab,IF($F49=Scales!$B$24,11,9),FALSE())="","Incomplete",VLOOKUP($A49,GateTab,IF($F49=Scales!$B$24,11,9),FALSE())),"Incomplete")))</f>
        <v>Not passed</v>
      </c>
      <c r="T49" s="8">
        <f>IF($O49="","",MIN(IF(AND($O49&gt;MATCH($J49,Scales!$B$6:$B$10,0)-1,$N49&lt;&gt;"Yes"),MATCH($J49,Scales!$B$6:$B$10,0)-1,$O49),$L49,IF($F49=Scales!$B$24,IF($S49="Passed",4,IF(NOT(ISNUMBER($R49)),0,IF(OR($R49&lt;0,$R49&gt;4,$R49&lt;&gt;INT($R49)),0,$R49))),IF(NOT(ISNUMBER($R49)),0,IF(OR($R49&lt;0,$R49&gt;4,$R49&lt;&gt;INT($R49)),0,$R49))+IF($S49="Passed",1,0)),IF(AND($F49&lt;&gt;Scales!$B$24,OR($F49=Scales!$B$27,$G49=Scales!$B$33)),3,4)))</f>
        <v>1</v>
      </c>
      <c r="U49" s="13" t="str">
        <f>IF($O49="",IF(AND($B49&lt;&gt;"",$B49&lt;&gt;"Duplicate ID"),IF($J49="Config error","Config error","Incomplete assessment"),""),IF($T49&gt;=$O49,IF(LEFT($P49,4)="More","Own choice","None"),MID(IF(AND($O49&gt;MATCH($J49,Scales!$B$6:$B$10,0)-1,$N49&lt;&gt;"Yes",$T49=MATCH($J49,Scales!$B$6:$B$10,0)-1)," + Exception not approved","")&amp;IF(AND($F49&lt;&gt;Scales!$B$24,OR($F49=Scales!$B$27,$G49=Scales!$B$33),$T49=3)," + Human-signature guardrail","")&amp;IF($T49=$L49," + Model confidence","")&amp;IF($T49=IF($F49=Scales!$B$24,IF($S49="Passed",4,IF(NOT(ISNUMBER($R49)),0,IF(OR($R49&lt;0,$R49&gt;4,$R49&lt;&gt;INT($R49)),0,$R49))),IF(NOT(ISNUMBER($R49)),0,IF(OR($R49&lt;0,$R49&gt;4,$R49&lt;&gt;INT($R49)),0,$R49))+IF($S49="Passed",1,0))," + "&amp;IF($S49&lt;&gt;"Passed","Readiness gate","Readiness gate (one level per gate)"),""),4,200)))</f>
        <v>Readiness gate</v>
      </c>
      <c r="V49" s="23"/>
    </row>
    <row r="50" spans="1:22" x14ac:dyDescent="0.25">
      <c r="A50" s="8" t="s">
        <v>172</v>
      </c>
      <c r="B50" s="11" t="str">
        <f>IF($A50="","",IF(COUNTIF('Use cases'!$A$5:$A$34,$A50)&gt;1,"Duplicate ID",IFERROR(IF(VLOOKUP($A50,'Use cases'!$A$5:$B$34,2,FALSE())=0,"",VLOOKUP($A50,'Use cases'!$A$5:$B$34,2,FALSE())),"")))</f>
        <v>Early ransomware indicators</v>
      </c>
      <c r="C50" s="12" t="str">
        <f>IF(OR($B50="",$B50="Duplicate ID"),"",IFERROR(VLOOKUP($A50,'Use cases'!$A$5:$C$34,3,FALSE()),""))</f>
        <v>Endpoint</v>
      </c>
      <c r="D50" s="13" t="s">
        <v>120</v>
      </c>
      <c r="E50" s="23" t="s">
        <v>175</v>
      </c>
      <c r="F50" s="23" t="s">
        <v>119</v>
      </c>
      <c r="G50" s="24" t="s">
        <v>115</v>
      </c>
      <c r="H50" s="24" t="s">
        <v>122</v>
      </c>
      <c r="I50" s="13" t="str">
        <f>IF(OR($B50="",$B50="Duplicate ID"),"",IFERROR(VLOOKUP($A50,'Use cases'!$A$5:$E$34,5,FALSE()),""))</f>
        <v>Progressive</v>
      </c>
      <c r="J50" s="11" t="str">
        <f>IF(OR($B50="",$B50="Duplicate ID"),"",IF(OR($F50="",$G50=""),"",IF(Policy!$B$24&lt;&gt;"OK","Config error",IFERROR(INDEX(Scales!$B$6:$B$10,1+INDEX(Policy!$C$5:$E$16,MATCH($F50&amp;"|"&amp;$G50,Policy!$G$5:$G$16,0),MATCH($I50,Policy!$C$4:$E$4,0))),"Config error"))))</f>
        <v>L4 Autonomous</v>
      </c>
      <c r="K50" s="13">
        <f>IF($H50="","",IF($F50=Scales!$B$24,"exempt",IFERROR(IF(VLOOKUP($H50,Conf_Check,3,FALSE())="valid",VLOOKUP($H50,Conf_Adjust,2,FALSE()),"n/a"),"n/a")))</f>
        <v>-1</v>
      </c>
      <c r="L50" s="13">
        <f>IF(OR($J50="",$J50="Config error"),"",IF(OR($F50=Scales!$B$24,AND(ISNUMBER($K50),$K50=0)),4,IF(ISNUMBER($K50),MAX(1,MATCH($J50,Scales!$B$6:$B$10,0)-1+$K50),1)))</f>
        <v>3</v>
      </c>
      <c r="M50" s="5"/>
      <c r="N50" s="5"/>
      <c r="O50" s="8">
        <f>IF(OR($J50="",$J50="Config error",$E50="",$F50="",$G50="",$H50="",$R50=""),"",IF($M50="",MATCH($J50,Scales!$B$6:$B$10,0),IFERROR(MATCH($M50,Scales!$B$6:$B$10,0),MATCH($J50,Scales!$B$6:$B$10,0)))-1)</f>
        <v>4</v>
      </c>
      <c r="P50" s="12" t="str">
        <f>IF($J50="",IF(AND($B50&lt;&gt;"",$B50&lt;&gt;"Duplicate ID"),"Incomplete assessment",""),IF($J50="Config error","Config error",IF($O50="","Incomplete assessment",IF($M50="","As recommended",IF(ISERROR(MATCH($M50,Scales!$B$6:$B$10,0)),"Invalid choice",IF(MATCH($M50,Scales!$B$6:$B$10,0)&gt;MATCH($J50,Scales!$B$6:$B$10,0),"Above policy: needs sign-off",IF(MATCH($M50,Scales!$B$6:$B$10,0)&lt;MATCH($J50,Scales!$B$6:$B$10,0),"More cautious than policy","As recommended")))))))</f>
        <v>As recommended</v>
      </c>
      <c r="Q50" s="13">
        <f>IF(OR($O50="",Policy!$B$24&lt;&gt;"OK"),"",IFERROR(MIN($O50,INDEX(Policy!$C$5:$E$16,MATCH($F50&amp;"|"&amp;Scales!$B$33,Policy!$G$5:$G$16,0),MATCH($I50,Policy!$C$4:$E$4,0))),""))</f>
        <v>3</v>
      </c>
      <c r="R50" s="5">
        <v>2</v>
      </c>
      <c r="S50" s="13" t="str">
        <f>IF($B50="","",IF(COUNTIF('Readiness gate'!$A$7:$A$36,$A50)&lt;&gt;1,"Incomplete",IFERROR(IF(VLOOKUP($A50,GateTab,IF($F50=Scales!$B$24,11,9),FALSE())="","Incomplete",VLOOKUP($A50,GateTab,IF($F50=Scales!$B$24,11,9),FALSE())),"Incomplete")))</f>
        <v>Not passed</v>
      </c>
      <c r="T50" s="8">
        <f>IF($O50="","",MIN(IF(AND($O50&gt;MATCH($J50,Scales!$B$6:$B$10,0)-1,$N50&lt;&gt;"Yes"),MATCH($J50,Scales!$B$6:$B$10,0)-1,$O50),$L50,IF($F50=Scales!$B$24,IF($S50="Passed",4,IF(NOT(ISNUMBER($R50)),0,IF(OR($R50&lt;0,$R50&gt;4,$R50&lt;&gt;INT($R50)),0,$R50))),IF(NOT(ISNUMBER($R50)),0,IF(OR($R50&lt;0,$R50&gt;4,$R50&lt;&gt;INT($R50)),0,$R50))+IF($S50="Passed",1,0)),IF(AND($F50&lt;&gt;Scales!$B$24,OR($F50=Scales!$B$27,$G50=Scales!$B$33)),3,4)))</f>
        <v>2</v>
      </c>
      <c r="U50" s="13" t="str">
        <f>IF($O50="",IF(AND($B50&lt;&gt;"",$B50&lt;&gt;"Duplicate ID"),IF($J50="Config error","Config error","Incomplete assessment"),""),IF($T50&gt;=$O50,IF(LEFT($P50,4)="More","Own choice","None"),MID(IF(AND($O50&gt;MATCH($J50,Scales!$B$6:$B$10,0)-1,$N50&lt;&gt;"Yes",$T50=MATCH($J50,Scales!$B$6:$B$10,0)-1)," + Exception not approved","")&amp;IF(AND($F50&lt;&gt;Scales!$B$24,OR($F50=Scales!$B$27,$G50=Scales!$B$33),$T50=3)," + Human-signature guardrail","")&amp;IF($T50=$L50," + Model confidence","")&amp;IF($T50=IF($F50=Scales!$B$24,IF($S50="Passed",4,IF(NOT(ISNUMBER($R50)),0,IF(OR($R50&lt;0,$R50&gt;4,$R50&lt;&gt;INT($R50)),0,$R50))),IF(NOT(ISNUMBER($R50)),0,IF(OR($R50&lt;0,$R50&gt;4,$R50&lt;&gt;INT($R50)),0,$R50))+IF($S50="Passed",1,0))," + "&amp;IF($S50&lt;&gt;"Passed","Readiness gate","Readiness gate (one level per gate)"),""),4,200)))</f>
        <v>Readiness gate</v>
      </c>
      <c r="V50" s="23"/>
    </row>
    <row r="51" spans="1:22" x14ac:dyDescent="0.25">
      <c r="A51" s="8" t="s">
        <v>172</v>
      </c>
      <c r="B51" s="11" t="str">
        <f>IF($A51="","",IF(COUNTIF('Use cases'!$A$5:$A$34,$A51)&gt;1,"Duplicate ID",IFERROR(IF(VLOOKUP($A51,'Use cases'!$A$5:$B$34,2,FALSE())=0,"",VLOOKUP($A51,'Use cases'!$A$5:$B$34,2,FALSE())),"")))</f>
        <v>Early ransomware indicators</v>
      </c>
      <c r="C51" s="12" t="str">
        <f>IF(OR($B51="",$B51="Duplicate ID"),"",IFERROR(VLOOKUP($A51,'Use cases'!$A$5:$C$34,3,FALSE()),""))</f>
        <v>Endpoint</v>
      </c>
      <c r="D51" s="13" t="s">
        <v>123</v>
      </c>
      <c r="E51" s="23" t="s">
        <v>176</v>
      </c>
      <c r="F51" s="23" t="s">
        <v>169</v>
      </c>
      <c r="G51" s="24" t="s">
        <v>122</v>
      </c>
      <c r="H51" s="24" t="s">
        <v>115</v>
      </c>
      <c r="I51" s="13" t="str">
        <f>IF(OR($B51="",$B51="Duplicate ID"),"",IFERROR(VLOOKUP($A51,'Use cases'!$A$5:$E$34,5,FALSE()),""))</f>
        <v>Progressive</v>
      </c>
      <c r="J51" s="11" t="str">
        <f>IF(OR($B51="",$B51="Duplicate ID"),"",IF(OR($F51="",$G51=""),"",IF(Policy!$B$24&lt;&gt;"OK","Config error",IFERROR(INDEX(Scales!$B$6:$B$10,1+INDEX(Policy!$C$5:$E$16,MATCH($F51&amp;"|"&amp;$G51,Policy!$G$5:$G$16,0),MATCH($I51,Policy!$C$4:$E$4,0))),"Config error"))))</f>
        <v>L3 Human-approved</v>
      </c>
      <c r="K51" s="13">
        <f>IF($H51="","",IF($F51=Scales!$B$24,"exempt",IFERROR(IF(VLOOKUP($H51,Conf_Check,3,FALSE())="valid",VLOOKUP($H51,Conf_Adjust,2,FALSE()),"n/a"),"n/a")))</f>
        <v>-2</v>
      </c>
      <c r="L51" s="13">
        <f>IF(OR($J51="",$J51="Config error"),"",IF(OR($F51=Scales!$B$24,AND(ISNUMBER($K51),$K51=0)),4,IF(ISNUMBER($K51),MAX(1,MATCH($J51,Scales!$B$6:$B$10,0)-1+$K51),1)))</f>
        <v>1</v>
      </c>
      <c r="M51" s="5"/>
      <c r="N51" s="5"/>
      <c r="O51" s="8">
        <f>IF(OR($J51="",$J51="Config error",$E51="",$F51="",$G51="",$H51="",$R51=""),"",IF($M51="",MATCH($J51,Scales!$B$6:$B$10,0),IFERROR(MATCH($M51,Scales!$B$6:$B$10,0),MATCH($J51,Scales!$B$6:$B$10,0)))-1)</f>
        <v>3</v>
      </c>
      <c r="P51" s="12" t="str">
        <f>IF($J51="",IF(AND($B51&lt;&gt;"",$B51&lt;&gt;"Duplicate ID"),"Incomplete assessment",""),IF($J51="Config error","Config error",IF($O51="","Incomplete assessment",IF($M51="","As recommended",IF(ISERROR(MATCH($M51,Scales!$B$6:$B$10,0)),"Invalid choice",IF(MATCH($M51,Scales!$B$6:$B$10,0)&gt;MATCH($J51,Scales!$B$6:$B$10,0),"Above policy: needs sign-off",IF(MATCH($M51,Scales!$B$6:$B$10,0)&lt;MATCH($J51,Scales!$B$6:$B$10,0),"More cautious than policy","As recommended")))))))</f>
        <v>As recommended</v>
      </c>
      <c r="Q51" s="13">
        <f>IF(OR($O51="",Policy!$B$24&lt;&gt;"OK"),"",IFERROR(MIN($O51,INDEX(Policy!$C$5:$E$16,MATCH($F51&amp;"|"&amp;Scales!$B$33,Policy!$G$5:$G$16,0),MATCH($I51,Policy!$C$4:$E$4,0))),""))</f>
        <v>2</v>
      </c>
      <c r="R51" s="5">
        <v>1</v>
      </c>
      <c r="S51" s="13" t="str">
        <f>IF($B51="","",IF(COUNTIF('Readiness gate'!$A$7:$A$36,$A51)&lt;&gt;1,"Incomplete",IFERROR(IF(VLOOKUP($A51,GateTab,IF($F51=Scales!$B$24,11,9),FALSE())="","Incomplete",VLOOKUP($A51,GateTab,IF($F51=Scales!$B$24,11,9),FALSE())),"Incomplete")))</f>
        <v>Not passed</v>
      </c>
      <c r="T51" s="8">
        <f>IF($O51="","",MIN(IF(AND($O51&gt;MATCH($J51,Scales!$B$6:$B$10,0)-1,$N51&lt;&gt;"Yes"),MATCH($J51,Scales!$B$6:$B$10,0)-1,$O51),$L51,IF($F51=Scales!$B$24,IF($S51="Passed",4,IF(NOT(ISNUMBER($R51)),0,IF(OR($R51&lt;0,$R51&gt;4,$R51&lt;&gt;INT($R51)),0,$R51))),IF(NOT(ISNUMBER($R51)),0,IF(OR($R51&lt;0,$R51&gt;4,$R51&lt;&gt;INT($R51)),0,$R51))+IF($S51="Passed",1,0)),IF(AND($F51&lt;&gt;Scales!$B$24,OR($F51=Scales!$B$27,$G51=Scales!$B$33)),3,4)))</f>
        <v>1</v>
      </c>
      <c r="U51" s="13" t="str">
        <f>IF($O51="",IF(AND($B51&lt;&gt;"",$B51&lt;&gt;"Duplicate ID"),IF($J51="Config error","Config error","Incomplete assessment"),""),IF($T51&gt;=$O51,IF(LEFT($P51,4)="More","Own choice","None"),MID(IF(AND($O51&gt;MATCH($J51,Scales!$B$6:$B$10,0)-1,$N51&lt;&gt;"Yes",$T51=MATCH($J51,Scales!$B$6:$B$10,0)-1)," + Exception not approved","")&amp;IF(AND($F51&lt;&gt;Scales!$B$24,OR($F51=Scales!$B$27,$G51=Scales!$B$33),$T51=3)," + Human-signature guardrail","")&amp;IF($T51=$L51," + Model confidence","")&amp;IF($T51=IF($F51=Scales!$B$24,IF($S51="Passed",4,IF(NOT(ISNUMBER($R51)),0,IF(OR($R51&lt;0,$R51&gt;4,$R51&lt;&gt;INT($R51)),0,$R51))),IF(NOT(ISNUMBER($R51)),0,IF(OR($R51&lt;0,$R51&gt;4,$R51&lt;&gt;INT($R51)),0,$R51))+IF($S51="Passed",1,0))," + "&amp;IF($S51&lt;&gt;"Passed","Readiness gate","Readiness gate (one level per gate)"),""),4,200)))</f>
        <v>Model confidence + Readiness gate</v>
      </c>
      <c r="V51" s="23"/>
    </row>
    <row r="52" spans="1:22" x14ac:dyDescent="0.25">
      <c r="A52" s="8" t="s">
        <v>172</v>
      </c>
      <c r="B52" s="11" t="str">
        <f>IF($A52="","",IF(COUNTIF('Use cases'!$A$5:$A$34,$A52)&gt;1,"Duplicate ID",IFERROR(IF(VLOOKUP($A52,'Use cases'!$A$5:$B$34,2,FALSE())=0,"",VLOOKUP($A52,'Use cases'!$A$5:$B$34,2,FALSE())),"")))</f>
        <v>Early ransomware indicators</v>
      </c>
      <c r="C52" s="12" t="str">
        <f>IF(OR($B52="",$B52="Duplicate ID"),"",IFERROR(VLOOKUP($A52,'Use cases'!$A$5:$C$34,3,FALSE()),""))</f>
        <v>Endpoint</v>
      </c>
      <c r="D52" s="13" t="s">
        <v>125</v>
      </c>
      <c r="E52" s="23" t="s">
        <v>177</v>
      </c>
      <c r="F52" s="23" t="s">
        <v>134</v>
      </c>
      <c r="G52" s="24" t="s">
        <v>122</v>
      </c>
      <c r="H52" s="24" t="s">
        <v>122</v>
      </c>
      <c r="I52" s="13" t="str">
        <f>IF(OR($B52="",$B52="Duplicate ID"),"",IFERROR(VLOOKUP($A52,'Use cases'!$A$5:$E$34,5,FALSE()),""))</f>
        <v>Progressive</v>
      </c>
      <c r="J52" s="11" t="str">
        <f>IF(OR($B52="",$B52="Duplicate ID"),"",IF(OR($F52="",$G52=""),"",IF(Policy!$B$24&lt;&gt;"OK","Config error",IFERROR(INDEX(Scales!$B$6:$B$10,1+INDEX(Policy!$C$5:$E$16,MATCH($F52&amp;"|"&amp;$G52,Policy!$G$5:$G$16,0),MATCH($I52,Policy!$C$4:$E$4,0))),"Config error"))))</f>
        <v>L3 Human-approved</v>
      </c>
      <c r="K52" s="13">
        <f>IF($H52="","",IF($F52=Scales!$B$24,"exempt",IFERROR(IF(VLOOKUP($H52,Conf_Check,3,FALSE())="valid",VLOOKUP($H52,Conf_Adjust,2,FALSE()),"n/a"),"n/a")))</f>
        <v>-1</v>
      </c>
      <c r="L52" s="13">
        <f>IF(OR($J52="",$J52="Config error"),"",IF(OR($F52=Scales!$B$24,AND(ISNUMBER($K52),$K52=0)),4,IF(ISNUMBER($K52),MAX(1,MATCH($J52,Scales!$B$6:$B$10,0)-1+$K52),1)))</f>
        <v>2</v>
      </c>
      <c r="M52" s="5"/>
      <c r="N52" s="5"/>
      <c r="O52" s="8">
        <f>IF(OR($J52="",$J52="Config error",$E52="",$F52="",$G52="",$H52="",$R52=""),"",IF($M52="",MATCH($J52,Scales!$B$6:$B$10,0),IFERROR(MATCH($M52,Scales!$B$6:$B$10,0),MATCH($J52,Scales!$B$6:$B$10,0)))-1)</f>
        <v>3</v>
      </c>
      <c r="P52" s="12" t="str">
        <f>IF($J52="",IF(AND($B52&lt;&gt;"",$B52&lt;&gt;"Duplicate ID"),"Incomplete assessment",""),IF($J52="Config error","Config error",IF($O52="","Incomplete assessment",IF($M52="","As recommended",IF(ISERROR(MATCH($M52,Scales!$B$6:$B$10,0)),"Invalid choice",IF(MATCH($M52,Scales!$B$6:$B$10,0)&gt;MATCH($J52,Scales!$B$6:$B$10,0),"Above policy: needs sign-off",IF(MATCH($M52,Scales!$B$6:$B$10,0)&lt;MATCH($J52,Scales!$B$6:$B$10,0),"More cautious than policy","As recommended")))))))</f>
        <v>As recommended</v>
      </c>
      <c r="Q52" s="13">
        <f>IF(OR($O52="",Policy!$B$24&lt;&gt;"OK"),"",IFERROR(MIN($O52,INDEX(Policy!$C$5:$E$16,MATCH($F52&amp;"|"&amp;Scales!$B$33,Policy!$G$5:$G$16,0),MATCH($I52,Policy!$C$4:$E$4,0))),""))</f>
        <v>3</v>
      </c>
      <c r="R52" s="5">
        <v>1</v>
      </c>
      <c r="S52" s="13" t="str">
        <f>IF($B52="","",IF(COUNTIF('Readiness gate'!$A$7:$A$36,$A52)&lt;&gt;1,"Incomplete",IFERROR(IF(VLOOKUP($A52,GateTab,IF($F52=Scales!$B$24,11,9),FALSE())="","Incomplete",VLOOKUP($A52,GateTab,IF($F52=Scales!$B$24,11,9),FALSE())),"Incomplete")))</f>
        <v>Not passed</v>
      </c>
      <c r="T52" s="8">
        <f>IF($O52="","",MIN(IF(AND($O52&gt;MATCH($J52,Scales!$B$6:$B$10,0)-1,$N52&lt;&gt;"Yes"),MATCH($J52,Scales!$B$6:$B$10,0)-1,$O52),$L52,IF($F52=Scales!$B$24,IF($S52="Passed",4,IF(NOT(ISNUMBER($R52)),0,IF(OR($R52&lt;0,$R52&gt;4,$R52&lt;&gt;INT($R52)),0,$R52))),IF(NOT(ISNUMBER($R52)),0,IF(OR($R52&lt;0,$R52&gt;4,$R52&lt;&gt;INT($R52)),0,$R52))+IF($S52="Passed",1,0)),IF(AND($F52&lt;&gt;Scales!$B$24,OR($F52=Scales!$B$27,$G52=Scales!$B$33)),3,4)))</f>
        <v>1</v>
      </c>
      <c r="U52" s="13" t="str">
        <f>IF($O52="",IF(AND($B52&lt;&gt;"",$B52&lt;&gt;"Duplicate ID"),IF($J52="Config error","Config error","Incomplete assessment"),""),IF($T52&gt;=$O52,IF(LEFT($P52,4)="More","Own choice","None"),MID(IF(AND($O52&gt;MATCH($J52,Scales!$B$6:$B$10,0)-1,$N52&lt;&gt;"Yes",$T52=MATCH($J52,Scales!$B$6:$B$10,0)-1)," + Exception not approved","")&amp;IF(AND($F52&lt;&gt;Scales!$B$24,OR($F52=Scales!$B$27,$G52=Scales!$B$33),$T52=3)," + Human-signature guardrail","")&amp;IF($T52=$L52," + Model confidence","")&amp;IF($T52=IF($F52=Scales!$B$24,IF($S52="Passed",4,IF(NOT(ISNUMBER($R52)),0,IF(OR($R52&lt;0,$R52&gt;4,$R52&lt;&gt;INT($R52)),0,$R52))),IF(NOT(ISNUMBER($R52)),0,IF(OR($R52&lt;0,$R52&gt;4,$R52&lt;&gt;INT($R52)),0,$R52))+IF($S52="Passed",1,0))," + "&amp;IF($S52&lt;&gt;"Passed","Readiness gate","Readiness gate (one level per gate)"),""),4,200)))</f>
        <v>Readiness gate</v>
      </c>
      <c r="V52" s="23"/>
    </row>
    <row r="53" spans="1:22" x14ac:dyDescent="0.25">
      <c r="A53" s="8" t="s">
        <v>172</v>
      </c>
      <c r="B53" s="11" t="str">
        <f>IF($A53="","",IF(COUNTIF('Use cases'!$A$5:$A$34,$A53)&gt;1,"Duplicate ID",IFERROR(IF(VLOOKUP($A53,'Use cases'!$A$5:$B$34,2,FALSE())=0,"",VLOOKUP($A53,'Use cases'!$A$5:$B$34,2,FALSE())),"")))</f>
        <v>Early ransomware indicators</v>
      </c>
      <c r="C53" s="12" t="str">
        <f>IF(OR($B53="",$B53="Duplicate ID"),"",IFERROR(VLOOKUP($A53,'Use cases'!$A$5:$C$34,3,FALSE()),""))</f>
        <v>Endpoint</v>
      </c>
      <c r="D53" s="13" t="s">
        <v>127</v>
      </c>
      <c r="E53" s="23" t="s">
        <v>178</v>
      </c>
      <c r="F53" s="23" t="s">
        <v>169</v>
      </c>
      <c r="G53" s="24" t="s">
        <v>116</v>
      </c>
      <c r="H53" s="24" t="s">
        <v>122</v>
      </c>
      <c r="I53" s="13" t="str">
        <f>IF(OR($B53="",$B53="Duplicate ID"),"",IFERROR(VLOOKUP($A53,'Use cases'!$A$5:$E$34,5,FALSE()),""))</f>
        <v>Progressive</v>
      </c>
      <c r="J53" s="11" t="str">
        <f>IF(OR($B53="",$B53="Duplicate ID"),"",IF(OR($F53="",$G53=""),"",IF(Policy!$B$24&lt;&gt;"OK","Config error",IFERROR(INDEX(Scales!$B$6:$B$10,1+INDEX(Policy!$C$5:$E$16,MATCH($F53&amp;"|"&amp;$G53,Policy!$G$5:$G$16,0),MATCH($I53,Policy!$C$4:$E$4,0))),"Config error"))))</f>
        <v>L2 AI-recommended</v>
      </c>
      <c r="K53" s="13">
        <f>IF($H53="","",IF($F53=Scales!$B$24,"exempt",IFERROR(IF(VLOOKUP($H53,Conf_Check,3,FALSE())="valid",VLOOKUP($H53,Conf_Adjust,2,FALSE()),"n/a"),"n/a")))</f>
        <v>-1</v>
      </c>
      <c r="L53" s="13">
        <f>IF(OR($J53="",$J53="Config error"),"",IF(OR($F53=Scales!$B$24,AND(ISNUMBER($K53),$K53=0)),4,IF(ISNUMBER($K53),MAX(1,MATCH($J53,Scales!$B$6:$B$10,0)-1+$K53),1)))</f>
        <v>1</v>
      </c>
      <c r="M53" s="5"/>
      <c r="N53" s="5"/>
      <c r="O53" s="8">
        <f>IF(OR($J53="",$J53="Config error",$E53="",$F53="",$G53="",$H53="",$R53=""),"",IF($M53="",MATCH($J53,Scales!$B$6:$B$10,0),IFERROR(MATCH($M53,Scales!$B$6:$B$10,0),MATCH($J53,Scales!$B$6:$B$10,0)))-1)</f>
        <v>2</v>
      </c>
      <c r="P53" s="12" t="str">
        <f>IF($J53="",IF(AND($B53&lt;&gt;"",$B53&lt;&gt;"Duplicate ID"),"Incomplete assessment",""),IF($J53="Config error","Config error",IF($O53="","Incomplete assessment",IF($M53="","As recommended",IF(ISERROR(MATCH($M53,Scales!$B$6:$B$10,0)),"Invalid choice",IF(MATCH($M53,Scales!$B$6:$B$10,0)&gt;MATCH($J53,Scales!$B$6:$B$10,0),"Above policy: needs sign-off",IF(MATCH($M53,Scales!$B$6:$B$10,0)&lt;MATCH($J53,Scales!$B$6:$B$10,0),"More cautious than policy","As recommended")))))))</f>
        <v>As recommended</v>
      </c>
      <c r="Q53" s="13">
        <f>IF(OR($O53="",Policy!$B$24&lt;&gt;"OK"),"",IFERROR(MIN($O53,INDEX(Policy!$C$5:$E$16,MATCH($F53&amp;"|"&amp;Scales!$B$33,Policy!$G$5:$G$16,0),MATCH($I53,Policy!$C$4:$E$4,0))),""))</f>
        <v>2</v>
      </c>
      <c r="R53" s="5">
        <v>1</v>
      </c>
      <c r="S53" s="13" t="str">
        <f>IF($B53="","",IF(COUNTIF('Readiness gate'!$A$7:$A$36,$A53)&lt;&gt;1,"Incomplete",IFERROR(IF(VLOOKUP($A53,GateTab,IF($F53=Scales!$B$24,11,9),FALSE())="","Incomplete",VLOOKUP($A53,GateTab,IF($F53=Scales!$B$24,11,9),FALSE())),"Incomplete")))</f>
        <v>Not passed</v>
      </c>
      <c r="T53" s="8">
        <f>IF($O53="","",MIN(IF(AND($O53&gt;MATCH($J53,Scales!$B$6:$B$10,0)-1,$N53&lt;&gt;"Yes"),MATCH($J53,Scales!$B$6:$B$10,0)-1,$O53),$L53,IF($F53=Scales!$B$24,IF($S53="Passed",4,IF(NOT(ISNUMBER($R53)),0,IF(OR($R53&lt;0,$R53&gt;4,$R53&lt;&gt;INT($R53)),0,$R53))),IF(NOT(ISNUMBER($R53)),0,IF(OR($R53&lt;0,$R53&gt;4,$R53&lt;&gt;INT($R53)),0,$R53))+IF($S53="Passed",1,0)),IF(AND($F53&lt;&gt;Scales!$B$24,OR($F53=Scales!$B$27,$G53=Scales!$B$33)),3,4)))</f>
        <v>1</v>
      </c>
      <c r="U53" s="13" t="str">
        <f>IF($O53="",IF(AND($B53&lt;&gt;"",$B53&lt;&gt;"Duplicate ID"),IF($J53="Config error","Config error","Incomplete assessment"),""),IF($T53&gt;=$O53,IF(LEFT($P53,4)="More","Own choice","None"),MID(IF(AND($O53&gt;MATCH($J53,Scales!$B$6:$B$10,0)-1,$N53&lt;&gt;"Yes",$T53=MATCH($J53,Scales!$B$6:$B$10,0)-1)," + Exception not approved","")&amp;IF(AND($F53&lt;&gt;Scales!$B$24,OR($F53=Scales!$B$27,$G53=Scales!$B$33),$T53=3)," + Human-signature guardrail","")&amp;IF($T53=$L53," + Model confidence","")&amp;IF($T53=IF($F53=Scales!$B$24,IF($S53="Passed",4,IF(NOT(ISNUMBER($R53)),0,IF(OR($R53&lt;0,$R53&gt;4,$R53&lt;&gt;INT($R53)),0,$R53))),IF(NOT(ISNUMBER($R53)),0,IF(OR($R53&lt;0,$R53&gt;4,$R53&lt;&gt;INT($R53)),0,$R53))+IF($S53="Passed",1,0))," + "&amp;IF($S53&lt;&gt;"Passed","Readiness gate","Readiness gate (one level per gate)"),""),4,200)))</f>
        <v>Model confidence + Readiness gate</v>
      </c>
      <c r="V53" s="23"/>
    </row>
    <row r="54" spans="1:22" x14ac:dyDescent="0.25">
      <c r="A54" s="8" t="s">
        <v>179</v>
      </c>
      <c r="B54" s="11" t="str">
        <f>IF($A54="","",IF(COUNTIF('Use cases'!$A$5:$A$34,$A54)&gt;1,"Duplicate ID",IFERROR(IF(VLOOKUP($A54,'Use cases'!$A$5:$B$34,2,FALSE())=0,"",VLOOKUP($A54,'Use cases'!$A$5:$B$34,2,FALSE())),"")))</f>
        <v>C2 beaconing</v>
      </c>
      <c r="C54" s="12" t="str">
        <f>IF(OR($B54="",$B54="Duplicate ID"),"",IFERROR(VLOOKUP($A54,'Use cases'!$A$5:$C$34,3,FALSE()),""))</f>
        <v>Network</v>
      </c>
      <c r="D54" s="13" t="s">
        <v>112</v>
      </c>
      <c r="E54" s="23" t="s">
        <v>180</v>
      </c>
      <c r="F54" s="23" t="s">
        <v>114</v>
      </c>
      <c r="G54" s="24" t="s">
        <v>115</v>
      </c>
      <c r="H54" s="24" t="s">
        <v>116</v>
      </c>
      <c r="I54" s="13" t="str">
        <f>IF(OR($B54="",$B54="Duplicate ID"),"",IFERROR(VLOOKUP($A54,'Use cases'!$A$5:$E$34,5,FALSE()),""))</f>
        <v>Progressive</v>
      </c>
      <c r="J54" s="11" t="str">
        <f>IF(OR($B54="",$B54="Duplicate ID"),"",IF(OR($F54="",$G54=""),"",IF(Policy!$B$24&lt;&gt;"OK","Config error",IFERROR(INDEX(Scales!$B$6:$B$10,1+INDEX(Policy!$C$5:$E$16,MATCH($F54&amp;"|"&amp;$G54,Policy!$G$5:$G$16,0),MATCH($I54,Policy!$C$4:$E$4,0))),"Config error"))))</f>
        <v>L4 Autonomous</v>
      </c>
      <c r="K54" s="13" t="str">
        <f>IF($H54="","",IF($F54=Scales!$B$24,"exempt",IFERROR(IF(VLOOKUP($H54,Conf_Check,3,FALSE())="valid",VLOOKUP($H54,Conf_Adjust,2,FALSE()),"n/a"),"n/a")))</f>
        <v>exempt</v>
      </c>
      <c r="L54" s="13">
        <f>IF(OR($J54="",$J54="Config error"),"",IF(OR($F54=Scales!$B$24,AND(ISNUMBER($K54),$K54=0)),4,IF(ISNUMBER($K54),MAX(1,MATCH($J54,Scales!$B$6:$B$10,0)-1+$K54),1)))</f>
        <v>4</v>
      </c>
      <c r="M54" s="5"/>
      <c r="N54" s="5"/>
      <c r="O54" s="8">
        <f>IF(OR($J54="",$J54="Config error",$E54="",$F54="",$G54="",$H54="",$R54=""),"",IF($M54="",MATCH($J54,Scales!$B$6:$B$10,0),IFERROR(MATCH($M54,Scales!$B$6:$B$10,0),MATCH($J54,Scales!$B$6:$B$10,0)))-1)</f>
        <v>4</v>
      </c>
      <c r="P54" s="12" t="str">
        <f>IF($J54="",IF(AND($B54&lt;&gt;"",$B54&lt;&gt;"Duplicate ID"),"Incomplete assessment",""),IF($J54="Config error","Config error",IF($O54="","Incomplete assessment",IF($M54="","As recommended",IF(ISERROR(MATCH($M54,Scales!$B$6:$B$10,0)),"Invalid choice",IF(MATCH($M54,Scales!$B$6:$B$10,0)&gt;MATCH($J54,Scales!$B$6:$B$10,0),"Above policy: needs sign-off",IF(MATCH($M54,Scales!$B$6:$B$10,0)&lt;MATCH($J54,Scales!$B$6:$B$10,0),"More cautious than policy","As recommended")))))))</f>
        <v>As recommended</v>
      </c>
      <c r="Q54" s="13">
        <f>IF(OR($O54="",Policy!$B$24&lt;&gt;"OK"),"",IFERROR(MIN($O54,INDEX(Policy!$C$5:$E$16,MATCH($F54&amp;"|"&amp;Scales!$B$33,Policy!$G$5:$G$16,0),MATCH($I54,Policy!$C$4:$E$4,0))),""))</f>
        <v>4</v>
      </c>
      <c r="R54" s="5">
        <v>1</v>
      </c>
      <c r="S54" s="13" t="str">
        <f>IF($B54="","",IF(COUNTIF('Readiness gate'!$A$7:$A$36,$A54)&lt;&gt;1,"Incomplete",IFERROR(IF(VLOOKUP($A54,GateTab,IF($F54=Scales!$B$24,11,9),FALSE())="","Incomplete",VLOOKUP($A54,GateTab,IF($F54=Scales!$B$24,11,9),FALSE())),"Incomplete")))</f>
        <v>Passed</v>
      </c>
      <c r="T54" s="8">
        <f>IF($O54="","",MIN(IF(AND($O54&gt;MATCH($J54,Scales!$B$6:$B$10,0)-1,$N54&lt;&gt;"Yes"),MATCH($J54,Scales!$B$6:$B$10,0)-1,$O54),$L54,IF($F54=Scales!$B$24,IF($S54="Passed",4,IF(NOT(ISNUMBER($R54)),0,IF(OR($R54&lt;0,$R54&gt;4,$R54&lt;&gt;INT($R54)),0,$R54))),IF(NOT(ISNUMBER($R54)),0,IF(OR($R54&lt;0,$R54&gt;4,$R54&lt;&gt;INT($R54)),0,$R54))+IF($S54="Passed",1,0)),IF(AND($F54&lt;&gt;Scales!$B$24,OR($F54=Scales!$B$27,$G54=Scales!$B$33)),3,4)))</f>
        <v>4</v>
      </c>
      <c r="U54" s="13" t="str">
        <f>IF($O54="",IF(AND($B54&lt;&gt;"",$B54&lt;&gt;"Duplicate ID"),IF($J54="Config error","Config error","Incomplete assessment"),""),IF($T54&gt;=$O54,IF(LEFT($P54,4)="More","Own choice","None"),MID(IF(AND($O54&gt;MATCH($J54,Scales!$B$6:$B$10,0)-1,$N54&lt;&gt;"Yes",$T54=MATCH($J54,Scales!$B$6:$B$10,0)-1)," + Exception not approved","")&amp;IF(AND($F54&lt;&gt;Scales!$B$24,OR($F54=Scales!$B$27,$G54=Scales!$B$33),$T54=3)," + Human-signature guardrail","")&amp;IF($T54=$L54," + Model confidence","")&amp;IF($T54=IF($F54=Scales!$B$24,IF($S54="Passed",4,IF(NOT(ISNUMBER($R54)),0,IF(OR($R54&lt;0,$R54&gt;4,$R54&lt;&gt;INT($R54)),0,$R54))),IF(NOT(ISNUMBER($R54)),0,IF(OR($R54&lt;0,$R54&gt;4,$R54&lt;&gt;INT($R54)),0,$R54))+IF($S54="Passed",1,0))," + "&amp;IF($S54&lt;&gt;"Passed","Readiness gate","Readiness gate (one level per gate)"),""),4,200)))</f>
        <v>None</v>
      </c>
      <c r="V54" s="23"/>
    </row>
    <row r="55" spans="1:22" x14ac:dyDescent="0.25">
      <c r="A55" s="8" t="s">
        <v>179</v>
      </c>
      <c r="B55" s="11" t="str">
        <f>IF($A55="","",IF(COUNTIF('Use cases'!$A$5:$A$34,$A55)&gt;1,"Duplicate ID",IFERROR(IF(VLOOKUP($A55,'Use cases'!$A$5:$B$34,2,FALSE())=0,"",VLOOKUP($A55,'Use cases'!$A$5:$B$34,2,FALSE())),"")))</f>
        <v>C2 beaconing</v>
      </c>
      <c r="C55" s="12" t="str">
        <f>IF(OR($B55="",$B55="Duplicate ID"),"",IFERROR(VLOOKUP($A55,'Use cases'!$A$5:$C$34,3,FALSE()),""))</f>
        <v>Network</v>
      </c>
      <c r="D55" s="13" t="s">
        <v>117</v>
      </c>
      <c r="E55" s="23" t="s">
        <v>181</v>
      </c>
      <c r="F55" s="23" t="s">
        <v>119</v>
      </c>
      <c r="G55" s="24" t="s">
        <v>115</v>
      </c>
      <c r="H55" s="24" t="s">
        <v>116</v>
      </c>
      <c r="I55" s="13" t="str">
        <f>IF(OR($B55="",$B55="Duplicate ID"),"",IFERROR(VLOOKUP($A55,'Use cases'!$A$5:$E$34,5,FALSE()),""))</f>
        <v>Progressive</v>
      </c>
      <c r="J55" s="11" t="str">
        <f>IF(OR($B55="",$B55="Duplicate ID"),"",IF(OR($F55="",$G55=""),"",IF(Policy!$B$24&lt;&gt;"OK","Config error",IFERROR(INDEX(Scales!$B$6:$B$10,1+INDEX(Policy!$C$5:$E$16,MATCH($F55&amp;"|"&amp;$G55,Policy!$G$5:$G$16,0),MATCH($I55,Policy!$C$4:$E$4,0))),"Config error"))))</f>
        <v>L4 Autonomous</v>
      </c>
      <c r="K55" s="13">
        <f>IF($H55="","",IF($F55=Scales!$B$24,"exempt",IFERROR(IF(VLOOKUP($H55,Conf_Check,3,FALSE())="valid",VLOOKUP($H55,Conf_Adjust,2,FALSE()),"n/a"),"n/a")))</f>
        <v>0</v>
      </c>
      <c r="L55" s="13">
        <f>IF(OR($J55="",$J55="Config error"),"",IF(OR($F55=Scales!$B$24,AND(ISNUMBER($K55),$K55=0)),4,IF(ISNUMBER($K55),MAX(1,MATCH($J55,Scales!$B$6:$B$10,0)-1+$K55),1)))</f>
        <v>4</v>
      </c>
      <c r="M55" s="5"/>
      <c r="N55" s="5"/>
      <c r="O55" s="8">
        <f>IF(OR($J55="",$J55="Config error",$E55="",$F55="",$G55="",$H55="",$R55=""),"",IF($M55="",MATCH($J55,Scales!$B$6:$B$10,0),IFERROR(MATCH($M55,Scales!$B$6:$B$10,0),MATCH($J55,Scales!$B$6:$B$10,0)))-1)</f>
        <v>4</v>
      </c>
      <c r="P55" s="12" t="str">
        <f>IF($J55="",IF(AND($B55&lt;&gt;"",$B55&lt;&gt;"Duplicate ID"),"Incomplete assessment",""),IF($J55="Config error","Config error",IF($O55="","Incomplete assessment",IF($M55="","As recommended",IF(ISERROR(MATCH($M55,Scales!$B$6:$B$10,0)),"Invalid choice",IF(MATCH($M55,Scales!$B$6:$B$10,0)&gt;MATCH($J55,Scales!$B$6:$B$10,0),"Above policy: needs sign-off",IF(MATCH($M55,Scales!$B$6:$B$10,0)&lt;MATCH($J55,Scales!$B$6:$B$10,0),"More cautious than policy","As recommended")))))))</f>
        <v>As recommended</v>
      </c>
      <c r="Q55" s="13">
        <f>IF(OR($O55="",Policy!$B$24&lt;&gt;"OK"),"",IFERROR(MIN($O55,INDEX(Policy!$C$5:$E$16,MATCH($F55&amp;"|"&amp;Scales!$B$33,Policy!$G$5:$G$16,0),MATCH($I55,Policy!$C$4:$E$4,0))),""))</f>
        <v>3</v>
      </c>
      <c r="R55" s="5">
        <v>1</v>
      </c>
      <c r="S55" s="13" t="str">
        <f>IF($B55="","",IF(COUNTIF('Readiness gate'!$A$7:$A$36,$A55)&lt;&gt;1,"Incomplete",IFERROR(IF(VLOOKUP($A55,GateTab,IF($F55=Scales!$B$24,11,9),FALSE())="","Incomplete",VLOOKUP($A55,GateTab,IF($F55=Scales!$B$24,11,9),FALSE())),"Incomplete")))</f>
        <v>Passed</v>
      </c>
      <c r="T55" s="8">
        <f>IF($O55="","",MIN(IF(AND($O55&gt;MATCH($J55,Scales!$B$6:$B$10,0)-1,$N55&lt;&gt;"Yes"),MATCH($J55,Scales!$B$6:$B$10,0)-1,$O55),$L55,IF($F55=Scales!$B$24,IF($S55="Passed",4,IF(NOT(ISNUMBER($R55)),0,IF(OR($R55&lt;0,$R55&gt;4,$R55&lt;&gt;INT($R55)),0,$R55))),IF(NOT(ISNUMBER($R55)),0,IF(OR($R55&lt;0,$R55&gt;4,$R55&lt;&gt;INT($R55)),0,$R55))+IF($S55="Passed",1,0)),IF(AND($F55&lt;&gt;Scales!$B$24,OR($F55=Scales!$B$27,$G55=Scales!$B$33)),3,4)))</f>
        <v>2</v>
      </c>
      <c r="U55" s="13" t="str">
        <f>IF($O55="",IF(AND($B55&lt;&gt;"",$B55&lt;&gt;"Duplicate ID"),IF($J55="Config error","Config error","Incomplete assessment"),""),IF($T55&gt;=$O55,IF(LEFT($P55,4)="More","Own choice","None"),MID(IF(AND($O55&gt;MATCH($J55,Scales!$B$6:$B$10,0)-1,$N55&lt;&gt;"Yes",$T55=MATCH($J55,Scales!$B$6:$B$10,0)-1)," + Exception not approved","")&amp;IF(AND($F55&lt;&gt;Scales!$B$24,OR($F55=Scales!$B$27,$G55=Scales!$B$33),$T55=3)," + Human-signature guardrail","")&amp;IF($T55=$L55," + Model confidence","")&amp;IF($T55=IF($F55=Scales!$B$24,IF($S55="Passed",4,IF(NOT(ISNUMBER($R55)),0,IF(OR($R55&lt;0,$R55&gt;4,$R55&lt;&gt;INT($R55)),0,$R55))),IF(NOT(ISNUMBER($R55)),0,IF(OR($R55&lt;0,$R55&gt;4,$R55&lt;&gt;INT($R55)),0,$R55))+IF($S55="Passed",1,0))," + "&amp;IF($S55&lt;&gt;"Passed","Readiness gate","Readiness gate (one level per gate)"),""),4,200)))</f>
        <v>Readiness gate (one level per gate)</v>
      </c>
      <c r="V55" s="23"/>
    </row>
    <row r="56" spans="1:22" x14ac:dyDescent="0.25">
      <c r="A56" s="8" t="s">
        <v>179</v>
      </c>
      <c r="B56" s="11" t="str">
        <f>IF($A56="","",IF(COUNTIF('Use cases'!$A$5:$A$34,$A56)&gt;1,"Duplicate ID",IFERROR(IF(VLOOKUP($A56,'Use cases'!$A$5:$B$34,2,FALSE())=0,"",VLOOKUP($A56,'Use cases'!$A$5:$B$34,2,FALSE())),"")))</f>
        <v>C2 beaconing</v>
      </c>
      <c r="C56" s="12" t="str">
        <f>IF(OR($B56="",$B56="Duplicate ID"),"",IFERROR(VLOOKUP($A56,'Use cases'!$A$5:$C$34,3,FALSE()),""))</f>
        <v>Network</v>
      </c>
      <c r="D56" s="13" t="s">
        <v>120</v>
      </c>
      <c r="E56" s="23" t="s">
        <v>182</v>
      </c>
      <c r="F56" s="23" t="s">
        <v>119</v>
      </c>
      <c r="G56" s="24" t="s">
        <v>115</v>
      </c>
      <c r="H56" s="24" t="s">
        <v>116</v>
      </c>
      <c r="I56" s="13" t="str">
        <f>IF(OR($B56="",$B56="Duplicate ID"),"",IFERROR(VLOOKUP($A56,'Use cases'!$A$5:$E$34,5,FALSE()),""))</f>
        <v>Progressive</v>
      </c>
      <c r="J56" s="11" t="str">
        <f>IF(OR($B56="",$B56="Duplicate ID"),"",IF(OR($F56="",$G56=""),"",IF(Policy!$B$24&lt;&gt;"OK","Config error",IFERROR(INDEX(Scales!$B$6:$B$10,1+INDEX(Policy!$C$5:$E$16,MATCH($F56&amp;"|"&amp;$G56,Policy!$G$5:$G$16,0),MATCH($I56,Policy!$C$4:$E$4,0))),"Config error"))))</f>
        <v>L4 Autonomous</v>
      </c>
      <c r="K56" s="13">
        <f>IF($H56="","",IF($F56=Scales!$B$24,"exempt",IFERROR(IF(VLOOKUP($H56,Conf_Check,3,FALSE())="valid",VLOOKUP($H56,Conf_Adjust,2,FALSE()),"n/a"),"n/a")))</f>
        <v>0</v>
      </c>
      <c r="L56" s="13">
        <f>IF(OR($J56="",$J56="Config error"),"",IF(OR($F56=Scales!$B$24,AND(ISNUMBER($K56),$K56=0)),4,IF(ISNUMBER($K56),MAX(1,MATCH($J56,Scales!$B$6:$B$10,0)-1+$K56),1)))</f>
        <v>4</v>
      </c>
      <c r="M56" s="5"/>
      <c r="N56" s="5"/>
      <c r="O56" s="8">
        <f>IF(OR($J56="",$J56="Config error",$E56="",$F56="",$G56="",$H56="",$R56=""),"",IF($M56="",MATCH($J56,Scales!$B$6:$B$10,0),IFERROR(MATCH($M56,Scales!$B$6:$B$10,0),MATCH($J56,Scales!$B$6:$B$10,0)))-1)</f>
        <v>4</v>
      </c>
      <c r="P56" s="12" t="str">
        <f>IF($J56="",IF(AND($B56&lt;&gt;"",$B56&lt;&gt;"Duplicate ID"),"Incomplete assessment",""),IF($J56="Config error","Config error",IF($O56="","Incomplete assessment",IF($M56="","As recommended",IF(ISERROR(MATCH($M56,Scales!$B$6:$B$10,0)),"Invalid choice",IF(MATCH($M56,Scales!$B$6:$B$10,0)&gt;MATCH($J56,Scales!$B$6:$B$10,0),"Above policy: needs sign-off",IF(MATCH($M56,Scales!$B$6:$B$10,0)&lt;MATCH($J56,Scales!$B$6:$B$10,0),"More cautious than policy","As recommended")))))))</f>
        <v>As recommended</v>
      </c>
      <c r="Q56" s="13">
        <f>IF(OR($O56="",Policy!$B$24&lt;&gt;"OK"),"",IFERROR(MIN($O56,INDEX(Policy!$C$5:$E$16,MATCH($F56&amp;"|"&amp;Scales!$B$33,Policy!$G$5:$G$16,0),MATCH($I56,Policy!$C$4:$E$4,0))),""))</f>
        <v>3</v>
      </c>
      <c r="R56" s="5">
        <v>3</v>
      </c>
      <c r="S56" s="13" t="str">
        <f>IF($B56="","",IF(COUNTIF('Readiness gate'!$A$7:$A$36,$A56)&lt;&gt;1,"Incomplete",IFERROR(IF(VLOOKUP($A56,GateTab,IF($F56=Scales!$B$24,11,9),FALSE())="","Incomplete",VLOOKUP($A56,GateTab,IF($F56=Scales!$B$24,11,9),FALSE())),"Incomplete")))</f>
        <v>Passed</v>
      </c>
      <c r="T56" s="8">
        <f>IF($O56="","",MIN(IF(AND($O56&gt;MATCH($J56,Scales!$B$6:$B$10,0)-1,$N56&lt;&gt;"Yes"),MATCH($J56,Scales!$B$6:$B$10,0)-1,$O56),$L56,IF($F56=Scales!$B$24,IF($S56="Passed",4,IF(NOT(ISNUMBER($R56)),0,IF(OR($R56&lt;0,$R56&gt;4,$R56&lt;&gt;INT($R56)),0,$R56))),IF(NOT(ISNUMBER($R56)),0,IF(OR($R56&lt;0,$R56&gt;4,$R56&lt;&gt;INT($R56)),0,$R56))+IF($S56="Passed",1,0)),IF(AND($F56&lt;&gt;Scales!$B$24,OR($F56=Scales!$B$27,$G56=Scales!$B$33)),3,4)))</f>
        <v>4</v>
      </c>
      <c r="U56" s="13" t="str">
        <f>IF($O56="",IF(AND($B56&lt;&gt;"",$B56&lt;&gt;"Duplicate ID"),IF($J56="Config error","Config error","Incomplete assessment"),""),IF($T56&gt;=$O56,IF(LEFT($P56,4)="More","Own choice","None"),MID(IF(AND($O56&gt;MATCH($J56,Scales!$B$6:$B$10,0)-1,$N56&lt;&gt;"Yes",$T56=MATCH($J56,Scales!$B$6:$B$10,0)-1)," + Exception not approved","")&amp;IF(AND($F56&lt;&gt;Scales!$B$24,OR($F56=Scales!$B$27,$G56=Scales!$B$33),$T56=3)," + Human-signature guardrail","")&amp;IF($T56=$L56," + Model confidence","")&amp;IF($T56=IF($F56=Scales!$B$24,IF($S56="Passed",4,IF(NOT(ISNUMBER($R56)),0,IF(OR($R56&lt;0,$R56&gt;4,$R56&lt;&gt;INT($R56)),0,$R56))),IF(NOT(ISNUMBER($R56)),0,IF(OR($R56&lt;0,$R56&gt;4,$R56&lt;&gt;INT($R56)),0,$R56))+IF($S56="Passed",1,0))," + "&amp;IF($S56&lt;&gt;"Passed","Readiness gate","Readiness gate (one level per gate)"),""),4,200)))</f>
        <v>None</v>
      </c>
      <c r="V56" s="23"/>
    </row>
    <row r="57" spans="1:22" x14ac:dyDescent="0.25">
      <c r="A57" s="8" t="s">
        <v>179</v>
      </c>
      <c r="B57" s="11" t="str">
        <f>IF($A57="","",IF(COUNTIF('Use cases'!$A$5:$A$34,$A57)&gt;1,"Duplicate ID",IFERROR(IF(VLOOKUP($A57,'Use cases'!$A$5:$B$34,2,FALSE())=0,"",VLOOKUP($A57,'Use cases'!$A$5:$B$34,2,FALSE())),"")))</f>
        <v>C2 beaconing</v>
      </c>
      <c r="C57" s="12" t="str">
        <f>IF(OR($B57="",$B57="Duplicate ID"),"",IFERROR(VLOOKUP($A57,'Use cases'!$A$5:$C$34,3,FALSE()),""))</f>
        <v>Network</v>
      </c>
      <c r="D57" s="13" t="s">
        <v>123</v>
      </c>
      <c r="E57" s="23" t="s">
        <v>432</v>
      </c>
      <c r="F57" s="23" t="s">
        <v>134</v>
      </c>
      <c r="G57" s="24" t="s">
        <v>115</v>
      </c>
      <c r="H57" s="24" t="s">
        <v>122</v>
      </c>
      <c r="I57" s="13" t="str">
        <f>IF(OR($B57="",$B57="Duplicate ID"),"",IFERROR(VLOOKUP($A57,'Use cases'!$A$5:$E$34,5,FALSE()),""))</f>
        <v>Progressive</v>
      </c>
      <c r="J57" s="11" t="str">
        <f>IF(OR($B57="",$B57="Duplicate ID"),"",IF(OR($F57="",$G57=""),"",IF(Policy!$B$24&lt;&gt;"OK","Config error",IFERROR(INDEX(Scales!$B$6:$B$10,1+INDEX(Policy!$C$5:$E$16,MATCH($F57&amp;"|"&amp;$G57,Policy!$G$5:$G$16,0),MATCH($I57,Policy!$C$4:$E$4,0))),"Config error"))))</f>
        <v>L4 Autonomous</v>
      </c>
      <c r="K57" s="13">
        <f>IF($H57="","",IF($F57=Scales!$B$24,"exempt",IFERROR(IF(VLOOKUP($H57,Conf_Check,3,FALSE())="valid",VLOOKUP($H57,Conf_Adjust,2,FALSE()),"n/a"),"n/a")))</f>
        <v>-1</v>
      </c>
      <c r="L57" s="13">
        <f>IF(OR($J57="",$J57="Config error"),"",IF(OR($F57=Scales!$B$24,AND(ISNUMBER($K57),$K57=0)),4,IF(ISNUMBER($K57),MAX(1,MATCH($J57,Scales!$B$6:$B$10,0)-1+$K57),1)))</f>
        <v>3</v>
      </c>
      <c r="M57" s="5"/>
      <c r="N57" s="5"/>
      <c r="O57" s="8">
        <f>IF(OR($J57="",$J57="Config error",$E57="",$F57="",$G57="",$H57="",$R57=""),"",IF($M57="",MATCH($J57,Scales!$B$6:$B$10,0),IFERROR(MATCH($M57,Scales!$B$6:$B$10,0),MATCH($J57,Scales!$B$6:$B$10,0)))-1)</f>
        <v>4</v>
      </c>
      <c r="P57" s="12" t="str">
        <f>IF($J57="",IF(AND($B57&lt;&gt;"",$B57&lt;&gt;"Duplicate ID"),"Incomplete assessment",""),IF($J57="Config error","Config error",IF($O57="","Incomplete assessment",IF($M57="","As recommended",IF(ISERROR(MATCH($M57,Scales!$B$6:$B$10,0)),"Invalid choice",IF(MATCH($M57,Scales!$B$6:$B$10,0)&gt;MATCH($J57,Scales!$B$6:$B$10,0),"Above policy: needs sign-off",IF(MATCH($M57,Scales!$B$6:$B$10,0)&lt;MATCH($J57,Scales!$B$6:$B$10,0),"More cautious than policy","As recommended")))))))</f>
        <v>As recommended</v>
      </c>
      <c r="Q57" s="13">
        <f>IF(OR($O57="",Policy!$B$24&lt;&gt;"OK"),"",IFERROR(MIN($O57,INDEX(Policy!$C$5:$E$16,MATCH($F57&amp;"|"&amp;Scales!$B$33,Policy!$G$5:$G$16,0),MATCH($I57,Policy!$C$4:$E$4,0))),""))</f>
        <v>3</v>
      </c>
      <c r="R57" s="5">
        <v>1</v>
      </c>
      <c r="S57" s="13" t="str">
        <f>IF($B57="","",IF(COUNTIF('Readiness gate'!$A$7:$A$36,$A57)&lt;&gt;1,"Incomplete",IFERROR(IF(VLOOKUP($A57,GateTab,IF($F57=Scales!$B$24,11,9),FALSE())="","Incomplete",VLOOKUP($A57,GateTab,IF($F57=Scales!$B$24,11,9),FALSE())),"Incomplete")))</f>
        <v>Passed</v>
      </c>
      <c r="T57" s="8">
        <f>IF($O57="","",MIN(IF(AND($O57&gt;MATCH($J57,Scales!$B$6:$B$10,0)-1,$N57&lt;&gt;"Yes"),MATCH($J57,Scales!$B$6:$B$10,0)-1,$O57),$L57,IF($F57=Scales!$B$24,IF($S57="Passed",4,IF(NOT(ISNUMBER($R57)),0,IF(OR($R57&lt;0,$R57&gt;4,$R57&lt;&gt;INT($R57)),0,$R57))),IF(NOT(ISNUMBER($R57)),0,IF(OR($R57&lt;0,$R57&gt;4,$R57&lt;&gt;INT($R57)),0,$R57))+IF($S57="Passed",1,0)),IF(AND($F57&lt;&gt;Scales!$B$24,OR($F57=Scales!$B$27,$G57=Scales!$B$33)),3,4)))</f>
        <v>2</v>
      </c>
      <c r="U57" s="13" t="str">
        <f>IF($O57="",IF(AND($B57&lt;&gt;"",$B57&lt;&gt;"Duplicate ID"),IF($J57="Config error","Config error","Incomplete assessment"),""),IF($T57&gt;=$O57,IF(LEFT($P57,4)="More","Own choice","None"),MID(IF(AND($O57&gt;MATCH($J57,Scales!$B$6:$B$10,0)-1,$N57&lt;&gt;"Yes",$T57=MATCH($J57,Scales!$B$6:$B$10,0)-1)," + Exception not approved","")&amp;IF(AND($F57&lt;&gt;Scales!$B$24,OR($F57=Scales!$B$27,$G57=Scales!$B$33),$T57=3)," + Human-signature guardrail","")&amp;IF($T57=$L57," + Model confidence","")&amp;IF($T57=IF($F57=Scales!$B$24,IF($S57="Passed",4,IF(NOT(ISNUMBER($R57)),0,IF(OR($R57&lt;0,$R57&gt;4,$R57&lt;&gt;INT($R57)),0,$R57))),IF(NOT(ISNUMBER($R57)),0,IF(OR($R57&lt;0,$R57&gt;4,$R57&lt;&gt;INT($R57)),0,$R57))+IF($S57="Passed",1,0))," + "&amp;IF($S57&lt;&gt;"Passed","Readiness gate","Readiness gate (one level per gate)"),""),4,200)))</f>
        <v>Readiness gate (one level per gate)</v>
      </c>
      <c r="V57" s="23" t="s">
        <v>431</v>
      </c>
    </row>
    <row r="58" spans="1:22" x14ac:dyDescent="0.25">
      <c r="A58" s="8" t="s">
        <v>179</v>
      </c>
      <c r="B58" s="11" t="str">
        <f>IF($A58="","",IF(COUNTIF('Use cases'!$A$5:$A$34,$A58)&gt;1,"Duplicate ID",IFERROR(IF(VLOOKUP($A58,'Use cases'!$A$5:$B$34,2,FALSE())=0,"",VLOOKUP($A58,'Use cases'!$A$5:$B$34,2,FALSE())),"")))</f>
        <v>C2 beaconing</v>
      </c>
      <c r="C58" s="12" t="str">
        <f>IF(OR($B58="",$B58="Duplicate ID"),"",IFERROR(VLOOKUP($A58,'Use cases'!$A$5:$C$34,3,FALSE()),""))</f>
        <v>Network</v>
      </c>
      <c r="D58" s="13" t="s">
        <v>125</v>
      </c>
      <c r="E58" s="23" t="s">
        <v>183</v>
      </c>
      <c r="F58" s="23" t="s">
        <v>119</v>
      </c>
      <c r="G58" s="24" t="s">
        <v>115</v>
      </c>
      <c r="H58" s="24" t="s">
        <v>122</v>
      </c>
      <c r="I58" s="13" t="str">
        <f>IF(OR($B58="",$B58="Duplicate ID"),"",IFERROR(VLOOKUP($A58,'Use cases'!$A$5:$E$34,5,FALSE()),""))</f>
        <v>Progressive</v>
      </c>
      <c r="J58" s="11" t="str">
        <f>IF(OR($B58="",$B58="Duplicate ID"),"",IF(OR($F58="",$G58=""),"",IF(Policy!$B$24&lt;&gt;"OK","Config error",IFERROR(INDEX(Scales!$B$6:$B$10,1+INDEX(Policy!$C$5:$E$16,MATCH($F58&amp;"|"&amp;$G58,Policy!$G$5:$G$16,0),MATCH($I58,Policy!$C$4:$E$4,0))),"Config error"))))</f>
        <v>L4 Autonomous</v>
      </c>
      <c r="K58" s="13">
        <f>IF($H58="","",IF($F58=Scales!$B$24,"exempt",IFERROR(IF(VLOOKUP($H58,Conf_Check,3,FALSE())="valid",VLOOKUP($H58,Conf_Adjust,2,FALSE()),"n/a"),"n/a")))</f>
        <v>-1</v>
      </c>
      <c r="L58" s="13">
        <f>IF(OR($J58="",$J58="Config error"),"",IF(OR($F58=Scales!$B$24,AND(ISNUMBER($K58),$K58=0)),4,IF(ISNUMBER($K58),MAX(1,MATCH($J58,Scales!$B$6:$B$10,0)-1+$K58),1)))</f>
        <v>3</v>
      </c>
      <c r="M58" s="5"/>
      <c r="N58" s="5"/>
      <c r="O58" s="8">
        <f>IF(OR($J58="",$J58="Config error",$E58="",$F58="",$G58="",$H58="",$R58=""),"",IF($M58="",MATCH($J58,Scales!$B$6:$B$10,0),IFERROR(MATCH($M58,Scales!$B$6:$B$10,0),MATCH($J58,Scales!$B$6:$B$10,0)))-1)</f>
        <v>4</v>
      </c>
      <c r="P58" s="12" t="str">
        <f>IF($J58="",IF(AND($B58&lt;&gt;"",$B58&lt;&gt;"Duplicate ID"),"Incomplete assessment",""),IF($J58="Config error","Config error",IF($O58="","Incomplete assessment",IF($M58="","As recommended",IF(ISERROR(MATCH($M58,Scales!$B$6:$B$10,0)),"Invalid choice",IF(MATCH($M58,Scales!$B$6:$B$10,0)&gt;MATCH($J58,Scales!$B$6:$B$10,0),"Above policy: needs sign-off",IF(MATCH($M58,Scales!$B$6:$B$10,0)&lt;MATCH($J58,Scales!$B$6:$B$10,0),"More cautious than policy","As recommended")))))))</f>
        <v>As recommended</v>
      </c>
      <c r="Q58" s="13">
        <f>IF(OR($O58="",Policy!$B$24&lt;&gt;"OK"),"",IFERROR(MIN($O58,INDEX(Policy!$C$5:$E$16,MATCH($F58&amp;"|"&amp;Scales!$B$33,Policy!$G$5:$G$16,0),MATCH($I58,Policy!$C$4:$E$4,0))),""))</f>
        <v>3</v>
      </c>
      <c r="R58" s="5">
        <v>1</v>
      </c>
      <c r="S58" s="13" t="str">
        <f>IF($B58="","",IF(COUNTIF('Readiness gate'!$A$7:$A$36,$A58)&lt;&gt;1,"Incomplete",IFERROR(IF(VLOOKUP($A58,GateTab,IF($F58=Scales!$B$24,11,9),FALSE())="","Incomplete",VLOOKUP($A58,GateTab,IF($F58=Scales!$B$24,11,9),FALSE())),"Incomplete")))</f>
        <v>Passed</v>
      </c>
      <c r="T58" s="8">
        <f>IF($O58="","",MIN(IF(AND($O58&gt;MATCH($J58,Scales!$B$6:$B$10,0)-1,$N58&lt;&gt;"Yes"),MATCH($J58,Scales!$B$6:$B$10,0)-1,$O58),$L58,IF($F58=Scales!$B$24,IF($S58="Passed",4,IF(NOT(ISNUMBER($R58)),0,IF(OR($R58&lt;0,$R58&gt;4,$R58&lt;&gt;INT($R58)),0,$R58))),IF(NOT(ISNUMBER($R58)),0,IF(OR($R58&lt;0,$R58&gt;4,$R58&lt;&gt;INT($R58)),0,$R58))+IF($S58="Passed",1,0)),IF(AND($F58&lt;&gt;Scales!$B$24,OR($F58=Scales!$B$27,$G58=Scales!$B$33)),3,4)))</f>
        <v>2</v>
      </c>
      <c r="U58" s="13" t="str">
        <f>IF($O58="",IF(AND($B58&lt;&gt;"",$B58&lt;&gt;"Duplicate ID"),IF($J58="Config error","Config error","Incomplete assessment"),""),IF($T58&gt;=$O58,IF(LEFT($P58,4)="More","Own choice","None"),MID(IF(AND($O58&gt;MATCH($J58,Scales!$B$6:$B$10,0)-1,$N58&lt;&gt;"Yes",$T58=MATCH($J58,Scales!$B$6:$B$10,0)-1)," + Exception not approved","")&amp;IF(AND($F58&lt;&gt;Scales!$B$24,OR($F58=Scales!$B$27,$G58=Scales!$B$33),$T58=3)," + Human-signature guardrail","")&amp;IF($T58=$L58," + Model confidence","")&amp;IF($T58=IF($F58=Scales!$B$24,IF($S58="Passed",4,IF(NOT(ISNUMBER($R58)),0,IF(OR($R58&lt;0,$R58&gt;4,$R58&lt;&gt;INT($R58)),0,$R58))),IF(NOT(ISNUMBER($R58)),0,IF(OR($R58&lt;0,$R58&gt;4,$R58&lt;&gt;INT($R58)),0,$R58))+IF($S58="Passed",1,0))," + "&amp;IF($S58&lt;&gt;"Passed","Readiness gate","Readiness gate (one level per gate)"),""),4,200)))</f>
        <v>Readiness gate (one level per gate)</v>
      </c>
      <c r="V58" s="23"/>
    </row>
    <row r="59" spans="1:22" x14ac:dyDescent="0.25">
      <c r="A59" s="8" t="s">
        <v>179</v>
      </c>
      <c r="B59" s="11" t="str">
        <f>IF($A59="","",IF(COUNTIF('Use cases'!$A$5:$A$34,$A59)&gt;1,"Duplicate ID",IFERROR(IF(VLOOKUP($A59,'Use cases'!$A$5:$B$34,2,FALSE())=0,"",VLOOKUP($A59,'Use cases'!$A$5:$B$34,2,FALSE())),"")))</f>
        <v>C2 beaconing</v>
      </c>
      <c r="C59" s="12" t="str">
        <f>IF(OR($B59="",$B59="Duplicate ID"),"",IFERROR(VLOOKUP($A59,'Use cases'!$A$5:$C$34,3,FALSE()),""))</f>
        <v>Network</v>
      </c>
      <c r="D59" s="13" t="s">
        <v>127</v>
      </c>
      <c r="E59" s="23" t="s">
        <v>184</v>
      </c>
      <c r="F59" s="23" t="s">
        <v>119</v>
      </c>
      <c r="G59" s="24" t="s">
        <v>115</v>
      </c>
      <c r="H59" s="24" t="s">
        <v>116</v>
      </c>
      <c r="I59" s="13" t="str">
        <f>IF(OR($B59="",$B59="Duplicate ID"),"",IFERROR(VLOOKUP($A59,'Use cases'!$A$5:$E$34,5,FALSE()),""))</f>
        <v>Progressive</v>
      </c>
      <c r="J59" s="11" t="str">
        <f>IF(OR($B59="",$B59="Duplicate ID"),"",IF(OR($F59="",$G59=""),"",IF(Policy!$B$24&lt;&gt;"OK","Config error",IFERROR(INDEX(Scales!$B$6:$B$10,1+INDEX(Policy!$C$5:$E$16,MATCH($F59&amp;"|"&amp;$G59,Policy!$G$5:$G$16,0),MATCH($I59,Policy!$C$4:$E$4,0))),"Config error"))))</f>
        <v>L4 Autonomous</v>
      </c>
      <c r="K59" s="13">
        <f>IF($H59="","",IF($F59=Scales!$B$24,"exempt",IFERROR(IF(VLOOKUP($H59,Conf_Check,3,FALSE())="valid",VLOOKUP($H59,Conf_Adjust,2,FALSE()),"n/a"),"n/a")))</f>
        <v>0</v>
      </c>
      <c r="L59" s="13">
        <f>IF(OR($J59="",$J59="Config error"),"",IF(OR($F59=Scales!$B$24,AND(ISNUMBER($K59),$K59=0)),4,IF(ISNUMBER($K59),MAX(1,MATCH($J59,Scales!$B$6:$B$10,0)-1+$K59),1)))</f>
        <v>4</v>
      </c>
      <c r="M59" s="5"/>
      <c r="N59" s="5"/>
      <c r="O59" s="8">
        <f>IF(OR($J59="",$J59="Config error",$E59="",$F59="",$G59="",$H59="",$R59=""),"",IF($M59="",MATCH($J59,Scales!$B$6:$B$10,0),IFERROR(MATCH($M59,Scales!$B$6:$B$10,0),MATCH($J59,Scales!$B$6:$B$10,0)))-1)</f>
        <v>4</v>
      </c>
      <c r="P59" s="12" t="str">
        <f>IF($J59="",IF(AND($B59&lt;&gt;"",$B59&lt;&gt;"Duplicate ID"),"Incomplete assessment",""),IF($J59="Config error","Config error",IF($O59="","Incomplete assessment",IF($M59="","As recommended",IF(ISERROR(MATCH($M59,Scales!$B$6:$B$10,0)),"Invalid choice",IF(MATCH($M59,Scales!$B$6:$B$10,0)&gt;MATCH($J59,Scales!$B$6:$B$10,0),"Above policy: needs sign-off",IF(MATCH($M59,Scales!$B$6:$B$10,0)&lt;MATCH($J59,Scales!$B$6:$B$10,0),"More cautious than policy","As recommended")))))))</f>
        <v>As recommended</v>
      </c>
      <c r="Q59" s="13">
        <f>IF(OR($O59="",Policy!$B$24&lt;&gt;"OK"),"",IFERROR(MIN($O59,INDEX(Policy!$C$5:$E$16,MATCH($F59&amp;"|"&amp;Scales!$B$33,Policy!$G$5:$G$16,0),MATCH($I59,Policy!$C$4:$E$4,0))),""))</f>
        <v>3</v>
      </c>
      <c r="R59" s="5">
        <v>1</v>
      </c>
      <c r="S59" s="13" t="str">
        <f>IF($B59="","",IF(COUNTIF('Readiness gate'!$A$7:$A$36,$A59)&lt;&gt;1,"Incomplete",IFERROR(IF(VLOOKUP($A59,GateTab,IF($F59=Scales!$B$24,11,9),FALSE())="","Incomplete",VLOOKUP($A59,GateTab,IF($F59=Scales!$B$24,11,9),FALSE())),"Incomplete")))</f>
        <v>Passed</v>
      </c>
      <c r="T59" s="8">
        <f>IF($O59="","",MIN(IF(AND($O59&gt;MATCH($J59,Scales!$B$6:$B$10,0)-1,$N59&lt;&gt;"Yes"),MATCH($J59,Scales!$B$6:$B$10,0)-1,$O59),$L59,IF($F59=Scales!$B$24,IF($S59="Passed",4,IF(NOT(ISNUMBER($R59)),0,IF(OR($R59&lt;0,$R59&gt;4,$R59&lt;&gt;INT($R59)),0,$R59))),IF(NOT(ISNUMBER($R59)),0,IF(OR($R59&lt;0,$R59&gt;4,$R59&lt;&gt;INT($R59)),0,$R59))+IF($S59="Passed",1,0)),IF(AND($F59&lt;&gt;Scales!$B$24,OR($F59=Scales!$B$27,$G59=Scales!$B$33)),3,4)))</f>
        <v>2</v>
      </c>
      <c r="U59" s="13" t="str">
        <f>IF($O59="",IF(AND($B59&lt;&gt;"",$B59&lt;&gt;"Duplicate ID"),IF($J59="Config error","Config error","Incomplete assessment"),""),IF($T59&gt;=$O59,IF(LEFT($P59,4)="More","Own choice","None"),MID(IF(AND($O59&gt;MATCH($J59,Scales!$B$6:$B$10,0)-1,$N59&lt;&gt;"Yes",$T59=MATCH($J59,Scales!$B$6:$B$10,0)-1)," + Exception not approved","")&amp;IF(AND($F59&lt;&gt;Scales!$B$24,OR($F59=Scales!$B$27,$G59=Scales!$B$33),$T59=3)," + Human-signature guardrail","")&amp;IF($T59=$L59," + Model confidence","")&amp;IF($T59=IF($F59=Scales!$B$24,IF($S59="Passed",4,IF(NOT(ISNUMBER($R59)),0,IF(OR($R59&lt;0,$R59&gt;4,$R59&lt;&gt;INT($R59)),0,$R59))),IF(NOT(ISNUMBER($R59)),0,IF(OR($R59&lt;0,$R59&gt;4,$R59&lt;&gt;INT($R59)),0,$R59))+IF($S59="Passed",1,0))," + "&amp;IF($S59&lt;&gt;"Passed","Readiness gate","Readiness gate (one level per gate)"),""),4,200)))</f>
        <v>Readiness gate (one level per gate)</v>
      </c>
      <c r="V59" s="23"/>
    </row>
    <row r="60" spans="1:22" x14ac:dyDescent="0.25">
      <c r="A60" s="8" t="s">
        <v>185</v>
      </c>
      <c r="B60" s="11" t="str">
        <f>IF($A60="","",IF(COUNTIF('Use cases'!$A$5:$A$34,$A60)&gt;1,"Duplicate ID",IFERROR(IF(VLOOKUP($A60,'Use cases'!$A$5:$B$34,2,FALSE())=0,"",VLOOKUP($A60,'Use cases'!$A$5:$B$34,2,FALSE())),"")))</f>
        <v>Suspicious PowerShell or LOLBin activity</v>
      </c>
      <c r="C60" s="12" t="str">
        <f>IF(OR($B60="",$B60="Duplicate ID"),"",IFERROR(VLOOKUP($A60,'Use cases'!$A$5:$C$34,3,FALSE()),""))</f>
        <v>Endpoint</v>
      </c>
      <c r="D60" s="13" t="s">
        <v>112</v>
      </c>
      <c r="E60" s="23" t="s">
        <v>186</v>
      </c>
      <c r="F60" s="23" t="s">
        <v>114</v>
      </c>
      <c r="G60" s="24" t="s">
        <v>115</v>
      </c>
      <c r="H60" s="24" t="s">
        <v>122</v>
      </c>
      <c r="I60" s="13" t="str">
        <f>IF(OR($B60="",$B60="Duplicate ID"),"",IFERROR(VLOOKUP($A60,'Use cases'!$A$5:$E$34,5,FALSE()),""))</f>
        <v>Progressive</v>
      </c>
      <c r="J60" s="11" t="str">
        <f>IF(OR($B60="",$B60="Duplicate ID"),"",IF(OR($F60="",$G60=""),"",IF(Policy!$B$24&lt;&gt;"OK","Config error",IFERROR(INDEX(Scales!$B$6:$B$10,1+INDEX(Policy!$C$5:$E$16,MATCH($F60&amp;"|"&amp;$G60,Policy!$G$5:$G$16,0),MATCH($I60,Policy!$C$4:$E$4,0))),"Config error"))))</f>
        <v>L4 Autonomous</v>
      </c>
      <c r="K60" s="13" t="str">
        <f>IF($H60="","",IF($F60=Scales!$B$24,"exempt",IFERROR(IF(VLOOKUP($H60,Conf_Check,3,FALSE())="valid",VLOOKUP($H60,Conf_Adjust,2,FALSE()),"n/a"),"n/a")))</f>
        <v>exempt</v>
      </c>
      <c r="L60" s="13">
        <f>IF(OR($J60="",$J60="Config error"),"",IF(OR($F60=Scales!$B$24,AND(ISNUMBER($K60),$K60=0)),4,IF(ISNUMBER($K60),MAX(1,MATCH($J60,Scales!$B$6:$B$10,0)-1+$K60),1)))</f>
        <v>4</v>
      </c>
      <c r="M60" s="5"/>
      <c r="N60" s="5"/>
      <c r="O60" s="8">
        <f>IF(OR($J60="",$J60="Config error",$E60="",$F60="",$G60="",$H60="",$R60=""),"",IF($M60="",MATCH($J60,Scales!$B$6:$B$10,0),IFERROR(MATCH($M60,Scales!$B$6:$B$10,0),MATCH($J60,Scales!$B$6:$B$10,0)))-1)</f>
        <v>4</v>
      </c>
      <c r="P60" s="12" t="str">
        <f>IF($J60="",IF(AND($B60&lt;&gt;"",$B60&lt;&gt;"Duplicate ID"),"Incomplete assessment",""),IF($J60="Config error","Config error",IF($O60="","Incomplete assessment",IF($M60="","As recommended",IF(ISERROR(MATCH($M60,Scales!$B$6:$B$10,0)),"Invalid choice",IF(MATCH($M60,Scales!$B$6:$B$10,0)&gt;MATCH($J60,Scales!$B$6:$B$10,0),"Above policy: needs sign-off",IF(MATCH($M60,Scales!$B$6:$B$10,0)&lt;MATCH($J60,Scales!$B$6:$B$10,0),"More cautious than policy","As recommended")))))))</f>
        <v>As recommended</v>
      </c>
      <c r="Q60" s="13">
        <f>IF(OR($O60="",Policy!$B$24&lt;&gt;"OK"),"",IFERROR(MIN($O60,INDEX(Policy!$C$5:$E$16,MATCH($F60&amp;"|"&amp;Scales!$B$33,Policy!$G$5:$G$16,0),MATCH($I60,Policy!$C$4:$E$4,0))),""))</f>
        <v>4</v>
      </c>
      <c r="R60" s="5">
        <v>1</v>
      </c>
      <c r="S60" s="13" t="str">
        <f>IF($B60="","",IF(COUNTIF('Readiness gate'!$A$7:$A$36,$A60)&lt;&gt;1,"Incomplete",IFERROR(IF(VLOOKUP($A60,GateTab,IF($F60=Scales!$B$24,11,9),FALSE())="","Incomplete",VLOOKUP($A60,GateTab,IF($F60=Scales!$B$24,11,9),FALSE())),"Incomplete")))</f>
        <v>Not passed</v>
      </c>
      <c r="T60" s="8">
        <f>IF($O60="","",MIN(IF(AND($O60&gt;MATCH($J60,Scales!$B$6:$B$10,0)-1,$N60&lt;&gt;"Yes"),MATCH($J60,Scales!$B$6:$B$10,0)-1,$O60),$L60,IF($F60=Scales!$B$24,IF($S60="Passed",4,IF(NOT(ISNUMBER($R60)),0,IF(OR($R60&lt;0,$R60&gt;4,$R60&lt;&gt;INT($R60)),0,$R60))),IF(NOT(ISNUMBER($R60)),0,IF(OR($R60&lt;0,$R60&gt;4,$R60&lt;&gt;INT($R60)),0,$R60))+IF($S60="Passed",1,0)),IF(AND($F60&lt;&gt;Scales!$B$24,OR($F60=Scales!$B$27,$G60=Scales!$B$33)),3,4)))</f>
        <v>1</v>
      </c>
      <c r="U60" s="13" t="str">
        <f>IF($O60="",IF(AND($B60&lt;&gt;"",$B60&lt;&gt;"Duplicate ID"),IF($J60="Config error","Config error","Incomplete assessment"),""),IF($T60&gt;=$O60,IF(LEFT($P60,4)="More","Own choice","None"),MID(IF(AND($O60&gt;MATCH($J60,Scales!$B$6:$B$10,0)-1,$N60&lt;&gt;"Yes",$T60=MATCH($J60,Scales!$B$6:$B$10,0)-1)," + Exception not approved","")&amp;IF(AND($F60&lt;&gt;Scales!$B$24,OR($F60=Scales!$B$27,$G60=Scales!$B$33),$T60=3)," + Human-signature guardrail","")&amp;IF($T60=$L60," + Model confidence","")&amp;IF($T60=IF($F60=Scales!$B$24,IF($S60="Passed",4,IF(NOT(ISNUMBER($R60)),0,IF(OR($R60&lt;0,$R60&gt;4,$R60&lt;&gt;INT($R60)),0,$R60))),IF(NOT(ISNUMBER($R60)),0,IF(OR($R60&lt;0,$R60&gt;4,$R60&lt;&gt;INT($R60)),0,$R60))+IF($S60="Passed",1,0))," + "&amp;IF($S60&lt;&gt;"Passed","Readiness gate","Readiness gate (one level per gate)"),""),4,200)))</f>
        <v>Readiness gate</v>
      </c>
      <c r="V60" s="23"/>
    </row>
    <row r="61" spans="1:22" x14ac:dyDescent="0.25">
      <c r="A61" s="8" t="s">
        <v>185</v>
      </c>
      <c r="B61" s="11" t="str">
        <f>IF($A61="","",IF(COUNTIF('Use cases'!$A$5:$A$34,$A61)&gt;1,"Duplicate ID",IFERROR(IF(VLOOKUP($A61,'Use cases'!$A$5:$B$34,2,FALSE())=0,"",VLOOKUP($A61,'Use cases'!$A$5:$B$34,2,FALSE())),"")))</f>
        <v>Suspicious PowerShell or LOLBin activity</v>
      </c>
      <c r="C61" s="12" t="str">
        <f>IF(OR($B61="",$B61="Duplicate ID"),"",IFERROR(VLOOKUP($A61,'Use cases'!$A$5:$C$34,3,FALSE()),""))</f>
        <v>Endpoint</v>
      </c>
      <c r="D61" s="13" t="s">
        <v>117</v>
      </c>
      <c r="E61" s="23" t="s">
        <v>187</v>
      </c>
      <c r="F61" s="23" t="s">
        <v>119</v>
      </c>
      <c r="G61" s="24" t="s">
        <v>122</v>
      </c>
      <c r="H61" s="24" t="s">
        <v>122</v>
      </c>
      <c r="I61" s="13" t="str">
        <f>IF(OR($B61="",$B61="Duplicate ID"),"",IFERROR(VLOOKUP($A61,'Use cases'!$A$5:$E$34,5,FALSE()),""))</f>
        <v>Progressive</v>
      </c>
      <c r="J61" s="11" t="str">
        <f>IF(OR($B61="",$B61="Duplicate ID"),"",IF(OR($F61="",$G61=""),"",IF(Policy!$B$24&lt;&gt;"OK","Config error",IFERROR(INDEX(Scales!$B$6:$B$10,1+INDEX(Policy!$C$5:$E$16,MATCH($F61&amp;"|"&amp;$G61,Policy!$G$5:$G$16,0),MATCH($I61,Policy!$C$4:$E$4,0))),"Config error"))))</f>
        <v>L4 Autonomous</v>
      </c>
      <c r="K61" s="13">
        <f>IF($H61="","",IF($F61=Scales!$B$24,"exempt",IFERROR(IF(VLOOKUP($H61,Conf_Check,3,FALSE())="valid",VLOOKUP($H61,Conf_Adjust,2,FALSE()),"n/a"),"n/a")))</f>
        <v>-1</v>
      </c>
      <c r="L61" s="13">
        <f>IF(OR($J61="",$J61="Config error"),"",IF(OR($F61=Scales!$B$24,AND(ISNUMBER($K61),$K61=0)),4,IF(ISNUMBER($K61),MAX(1,MATCH($J61,Scales!$B$6:$B$10,0)-1+$K61),1)))</f>
        <v>3</v>
      </c>
      <c r="M61" s="5"/>
      <c r="N61" s="5"/>
      <c r="O61" s="8">
        <f>IF(OR($J61="",$J61="Config error",$E61="",$F61="",$G61="",$H61="",$R61=""),"",IF($M61="",MATCH($J61,Scales!$B$6:$B$10,0),IFERROR(MATCH($M61,Scales!$B$6:$B$10,0),MATCH($J61,Scales!$B$6:$B$10,0)))-1)</f>
        <v>4</v>
      </c>
      <c r="P61" s="12" t="str">
        <f>IF($J61="",IF(AND($B61&lt;&gt;"",$B61&lt;&gt;"Duplicate ID"),"Incomplete assessment",""),IF($J61="Config error","Config error",IF($O61="","Incomplete assessment",IF($M61="","As recommended",IF(ISERROR(MATCH($M61,Scales!$B$6:$B$10,0)),"Invalid choice",IF(MATCH($M61,Scales!$B$6:$B$10,0)&gt;MATCH($J61,Scales!$B$6:$B$10,0),"Above policy: needs sign-off",IF(MATCH($M61,Scales!$B$6:$B$10,0)&lt;MATCH($J61,Scales!$B$6:$B$10,0),"More cautious than policy","As recommended")))))))</f>
        <v>As recommended</v>
      </c>
      <c r="Q61" s="13">
        <f>IF(OR($O61="",Policy!$B$24&lt;&gt;"OK"),"",IFERROR(MIN($O61,INDEX(Policy!$C$5:$E$16,MATCH($F61&amp;"|"&amp;Scales!$B$33,Policy!$G$5:$G$16,0),MATCH($I61,Policy!$C$4:$E$4,0))),""))</f>
        <v>3</v>
      </c>
      <c r="R61" s="5">
        <v>2</v>
      </c>
      <c r="S61" s="13" t="str">
        <f>IF($B61="","",IF(COUNTIF('Readiness gate'!$A$7:$A$36,$A61)&lt;&gt;1,"Incomplete",IFERROR(IF(VLOOKUP($A61,GateTab,IF($F61=Scales!$B$24,11,9),FALSE())="","Incomplete",VLOOKUP($A61,GateTab,IF($F61=Scales!$B$24,11,9),FALSE())),"Incomplete")))</f>
        <v>Not passed</v>
      </c>
      <c r="T61" s="8">
        <f>IF($O61="","",MIN(IF(AND($O61&gt;MATCH($J61,Scales!$B$6:$B$10,0)-1,$N61&lt;&gt;"Yes"),MATCH($J61,Scales!$B$6:$B$10,0)-1,$O61),$L61,IF($F61=Scales!$B$24,IF($S61="Passed",4,IF(NOT(ISNUMBER($R61)),0,IF(OR($R61&lt;0,$R61&gt;4,$R61&lt;&gt;INT($R61)),0,$R61))),IF(NOT(ISNUMBER($R61)),0,IF(OR($R61&lt;0,$R61&gt;4,$R61&lt;&gt;INT($R61)),0,$R61))+IF($S61="Passed",1,0)),IF(AND($F61&lt;&gt;Scales!$B$24,OR($F61=Scales!$B$27,$G61=Scales!$B$33)),3,4)))</f>
        <v>2</v>
      </c>
      <c r="U61" s="13" t="str">
        <f>IF($O61="",IF(AND($B61&lt;&gt;"",$B61&lt;&gt;"Duplicate ID"),IF($J61="Config error","Config error","Incomplete assessment"),""),IF($T61&gt;=$O61,IF(LEFT($P61,4)="More","Own choice","None"),MID(IF(AND($O61&gt;MATCH($J61,Scales!$B$6:$B$10,0)-1,$N61&lt;&gt;"Yes",$T61=MATCH($J61,Scales!$B$6:$B$10,0)-1)," + Exception not approved","")&amp;IF(AND($F61&lt;&gt;Scales!$B$24,OR($F61=Scales!$B$27,$G61=Scales!$B$33),$T61=3)," + Human-signature guardrail","")&amp;IF($T61=$L61," + Model confidence","")&amp;IF($T61=IF($F61=Scales!$B$24,IF($S61="Passed",4,IF(NOT(ISNUMBER($R61)),0,IF(OR($R61&lt;0,$R61&gt;4,$R61&lt;&gt;INT($R61)),0,$R61))),IF(NOT(ISNUMBER($R61)),0,IF(OR($R61&lt;0,$R61&gt;4,$R61&lt;&gt;INT($R61)),0,$R61))+IF($S61="Passed",1,0))," + "&amp;IF($S61&lt;&gt;"Passed","Readiness gate","Readiness gate (one level per gate)"),""),4,200)))</f>
        <v>Readiness gate</v>
      </c>
      <c r="V61" s="23"/>
    </row>
    <row r="62" spans="1:22" x14ac:dyDescent="0.25">
      <c r="A62" s="8" t="s">
        <v>185</v>
      </c>
      <c r="B62" s="11" t="str">
        <f>IF($A62="","",IF(COUNTIF('Use cases'!$A$5:$A$34,$A62)&gt;1,"Duplicate ID",IFERROR(IF(VLOOKUP($A62,'Use cases'!$A$5:$B$34,2,FALSE())=0,"",VLOOKUP($A62,'Use cases'!$A$5:$B$34,2,FALSE())),"")))</f>
        <v>Suspicious PowerShell or LOLBin activity</v>
      </c>
      <c r="C62" s="12" t="str">
        <f>IF(OR($B62="",$B62="Duplicate ID"),"",IFERROR(VLOOKUP($A62,'Use cases'!$A$5:$C$34,3,FALSE()),""))</f>
        <v>Endpoint</v>
      </c>
      <c r="D62" s="13" t="s">
        <v>120</v>
      </c>
      <c r="E62" s="23" t="s">
        <v>188</v>
      </c>
      <c r="F62" s="23" t="s">
        <v>119</v>
      </c>
      <c r="G62" s="24" t="s">
        <v>115</v>
      </c>
      <c r="H62" s="24" t="s">
        <v>122</v>
      </c>
      <c r="I62" s="13" t="str">
        <f>IF(OR($B62="",$B62="Duplicate ID"),"",IFERROR(VLOOKUP($A62,'Use cases'!$A$5:$E$34,5,FALSE()),""))</f>
        <v>Progressive</v>
      </c>
      <c r="J62" s="11" t="str">
        <f>IF(OR($B62="",$B62="Duplicate ID"),"",IF(OR($F62="",$G62=""),"",IF(Policy!$B$24&lt;&gt;"OK","Config error",IFERROR(INDEX(Scales!$B$6:$B$10,1+INDEX(Policy!$C$5:$E$16,MATCH($F62&amp;"|"&amp;$G62,Policy!$G$5:$G$16,0),MATCH($I62,Policy!$C$4:$E$4,0))),"Config error"))))</f>
        <v>L4 Autonomous</v>
      </c>
      <c r="K62" s="13">
        <f>IF($H62="","",IF($F62=Scales!$B$24,"exempt",IFERROR(IF(VLOOKUP($H62,Conf_Check,3,FALSE())="valid",VLOOKUP($H62,Conf_Adjust,2,FALSE()),"n/a"),"n/a")))</f>
        <v>-1</v>
      </c>
      <c r="L62" s="13">
        <f>IF(OR($J62="",$J62="Config error"),"",IF(OR($F62=Scales!$B$24,AND(ISNUMBER($K62),$K62=0)),4,IF(ISNUMBER($K62),MAX(1,MATCH($J62,Scales!$B$6:$B$10,0)-1+$K62),1)))</f>
        <v>3</v>
      </c>
      <c r="M62" s="5"/>
      <c r="N62" s="5"/>
      <c r="O62" s="8">
        <f>IF(OR($J62="",$J62="Config error",$E62="",$F62="",$G62="",$H62="",$R62=""),"",IF($M62="",MATCH($J62,Scales!$B$6:$B$10,0),IFERROR(MATCH($M62,Scales!$B$6:$B$10,0),MATCH($J62,Scales!$B$6:$B$10,0)))-1)</f>
        <v>4</v>
      </c>
      <c r="P62" s="12" t="str">
        <f>IF($J62="",IF(AND($B62&lt;&gt;"",$B62&lt;&gt;"Duplicate ID"),"Incomplete assessment",""),IF($J62="Config error","Config error",IF($O62="","Incomplete assessment",IF($M62="","As recommended",IF(ISERROR(MATCH($M62,Scales!$B$6:$B$10,0)),"Invalid choice",IF(MATCH($M62,Scales!$B$6:$B$10,0)&gt;MATCH($J62,Scales!$B$6:$B$10,0),"Above policy: needs sign-off",IF(MATCH($M62,Scales!$B$6:$B$10,0)&lt;MATCH($J62,Scales!$B$6:$B$10,0),"More cautious than policy","As recommended")))))))</f>
        <v>As recommended</v>
      </c>
      <c r="Q62" s="13">
        <f>IF(OR($O62="",Policy!$B$24&lt;&gt;"OK"),"",IFERROR(MIN($O62,INDEX(Policy!$C$5:$E$16,MATCH($F62&amp;"|"&amp;Scales!$B$33,Policy!$G$5:$G$16,0),MATCH($I62,Policy!$C$4:$E$4,0))),""))</f>
        <v>3</v>
      </c>
      <c r="R62" s="5">
        <v>2</v>
      </c>
      <c r="S62" s="13" t="str">
        <f>IF($B62="","",IF(COUNTIF('Readiness gate'!$A$7:$A$36,$A62)&lt;&gt;1,"Incomplete",IFERROR(IF(VLOOKUP($A62,GateTab,IF($F62=Scales!$B$24,11,9),FALSE())="","Incomplete",VLOOKUP($A62,GateTab,IF($F62=Scales!$B$24,11,9),FALSE())),"Incomplete")))</f>
        <v>Not passed</v>
      </c>
      <c r="T62" s="8">
        <f>IF($O62="","",MIN(IF(AND($O62&gt;MATCH($J62,Scales!$B$6:$B$10,0)-1,$N62&lt;&gt;"Yes"),MATCH($J62,Scales!$B$6:$B$10,0)-1,$O62),$L62,IF($F62=Scales!$B$24,IF($S62="Passed",4,IF(NOT(ISNUMBER($R62)),0,IF(OR($R62&lt;0,$R62&gt;4,$R62&lt;&gt;INT($R62)),0,$R62))),IF(NOT(ISNUMBER($R62)),0,IF(OR($R62&lt;0,$R62&gt;4,$R62&lt;&gt;INT($R62)),0,$R62))+IF($S62="Passed",1,0)),IF(AND($F62&lt;&gt;Scales!$B$24,OR($F62=Scales!$B$27,$G62=Scales!$B$33)),3,4)))</f>
        <v>2</v>
      </c>
      <c r="U62" s="13" t="str">
        <f>IF($O62="",IF(AND($B62&lt;&gt;"",$B62&lt;&gt;"Duplicate ID"),IF($J62="Config error","Config error","Incomplete assessment"),""),IF($T62&gt;=$O62,IF(LEFT($P62,4)="More","Own choice","None"),MID(IF(AND($O62&gt;MATCH($J62,Scales!$B$6:$B$10,0)-1,$N62&lt;&gt;"Yes",$T62=MATCH($J62,Scales!$B$6:$B$10,0)-1)," + Exception not approved","")&amp;IF(AND($F62&lt;&gt;Scales!$B$24,OR($F62=Scales!$B$27,$G62=Scales!$B$33),$T62=3)," + Human-signature guardrail","")&amp;IF($T62=$L62," + Model confidence","")&amp;IF($T62=IF($F62=Scales!$B$24,IF($S62="Passed",4,IF(NOT(ISNUMBER($R62)),0,IF(OR($R62&lt;0,$R62&gt;4,$R62&lt;&gt;INT($R62)),0,$R62))),IF(NOT(ISNUMBER($R62)),0,IF(OR($R62&lt;0,$R62&gt;4,$R62&lt;&gt;INT($R62)),0,$R62))+IF($S62="Passed",1,0))," + "&amp;IF($S62&lt;&gt;"Passed","Readiness gate","Readiness gate (one level per gate)"),""),4,200)))</f>
        <v>Readiness gate</v>
      </c>
      <c r="V62" s="23"/>
    </row>
    <row r="63" spans="1:22" x14ac:dyDescent="0.25">
      <c r="A63" s="8" t="s">
        <v>185</v>
      </c>
      <c r="B63" s="11" t="str">
        <f>IF($A63="","",IF(COUNTIF('Use cases'!$A$5:$A$34,$A63)&gt;1,"Duplicate ID",IFERROR(IF(VLOOKUP($A63,'Use cases'!$A$5:$B$34,2,FALSE())=0,"",VLOOKUP($A63,'Use cases'!$A$5:$B$34,2,FALSE())),"")))</f>
        <v>Suspicious PowerShell or LOLBin activity</v>
      </c>
      <c r="C63" s="12" t="str">
        <f>IF(OR($B63="",$B63="Duplicate ID"),"",IFERROR(VLOOKUP($A63,'Use cases'!$A$5:$C$34,3,FALSE()),""))</f>
        <v>Endpoint</v>
      </c>
      <c r="D63" s="13" t="s">
        <v>123</v>
      </c>
      <c r="E63" s="23" t="s">
        <v>189</v>
      </c>
      <c r="F63" s="23" t="s">
        <v>134</v>
      </c>
      <c r="G63" s="24" t="s">
        <v>115</v>
      </c>
      <c r="H63" s="24" t="s">
        <v>122</v>
      </c>
      <c r="I63" s="13" t="str">
        <f>IF(OR($B63="",$B63="Duplicate ID"),"",IFERROR(VLOOKUP($A63,'Use cases'!$A$5:$E$34,5,FALSE()),""))</f>
        <v>Progressive</v>
      </c>
      <c r="J63" s="11" t="str">
        <f>IF(OR($B63="",$B63="Duplicate ID"),"",IF(OR($F63="",$G63=""),"",IF(Policy!$B$24&lt;&gt;"OK","Config error",IFERROR(INDEX(Scales!$B$6:$B$10,1+INDEX(Policy!$C$5:$E$16,MATCH($F63&amp;"|"&amp;$G63,Policy!$G$5:$G$16,0),MATCH($I63,Policy!$C$4:$E$4,0))),"Config error"))))</f>
        <v>L4 Autonomous</v>
      </c>
      <c r="K63" s="13">
        <f>IF($H63="","",IF($F63=Scales!$B$24,"exempt",IFERROR(IF(VLOOKUP($H63,Conf_Check,3,FALSE())="valid",VLOOKUP($H63,Conf_Adjust,2,FALSE()),"n/a"),"n/a")))</f>
        <v>-1</v>
      </c>
      <c r="L63" s="13">
        <f>IF(OR($J63="",$J63="Config error"),"",IF(OR($F63=Scales!$B$24,AND(ISNUMBER($K63),$K63=0)),4,IF(ISNUMBER($K63),MAX(1,MATCH($J63,Scales!$B$6:$B$10,0)-1+$K63),1)))</f>
        <v>3</v>
      </c>
      <c r="M63" s="5"/>
      <c r="N63" s="5"/>
      <c r="O63" s="8">
        <f>IF(OR($J63="",$J63="Config error",$E63="",$F63="",$G63="",$H63="",$R63=""),"",IF($M63="",MATCH($J63,Scales!$B$6:$B$10,0),IFERROR(MATCH($M63,Scales!$B$6:$B$10,0),MATCH($J63,Scales!$B$6:$B$10,0)))-1)</f>
        <v>4</v>
      </c>
      <c r="P63" s="12" t="str">
        <f>IF($J63="",IF(AND($B63&lt;&gt;"",$B63&lt;&gt;"Duplicate ID"),"Incomplete assessment",""),IF($J63="Config error","Config error",IF($O63="","Incomplete assessment",IF($M63="","As recommended",IF(ISERROR(MATCH($M63,Scales!$B$6:$B$10,0)),"Invalid choice",IF(MATCH($M63,Scales!$B$6:$B$10,0)&gt;MATCH($J63,Scales!$B$6:$B$10,0),"Above policy: needs sign-off",IF(MATCH($M63,Scales!$B$6:$B$10,0)&lt;MATCH($J63,Scales!$B$6:$B$10,0),"More cautious than policy","As recommended")))))))</f>
        <v>As recommended</v>
      </c>
      <c r="Q63" s="13">
        <f>IF(OR($O63="",Policy!$B$24&lt;&gt;"OK"),"",IFERROR(MIN($O63,INDEX(Policy!$C$5:$E$16,MATCH($F63&amp;"|"&amp;Scales!$B$33,Policy!$G$5:$G$16,0),MATCH($I63,Policy!$C$4:$E$4,0))),""))</f>
        <v>3</v>
      </c>
      <c r="R63" s="5">
        <v>1</v>
      </c>
      <c r="S63" s="13" t="str">
        <f>IF($B63="","",IF(COUNTIF('Readiness gate'!$A$7:$A$36,$A63)&lt;&gt;1,"Incomplete",IFERROR(IF(VLOOKUP($A63,GateTab,IF($F63=Scales!$B$24,11,9),FALSE())="","Incomplete",VLOOKUP($A63,GateTab,IF($F63=Scales!$B$24,11,9),FALSE())),"Incomplete")))</f>
        <v>Not passed</v>
      </c>
      <c r="T63" s="8">
        <f>IF($O63="","",MIN(IF(AND($O63&gt;MATCH($J63,Scales!$B$6:$B$10,0)-1,$N63&lt;&gt;"Yes"),MATCH($J63,Scales!$B$6:$B$10,0)-1,$O63),$L63,IF($F63=Scales!$B$24,IF($S63="Passed",4,IF(NOT(ISNUMBER($R63)),0,IF(OR($R63&lt;0,$R63&gt;4,$R63&lt;&gt;INT($R63)),0,$R63))),IF(NOT(ISNUMBER($R63)),0,IF(OR($R63&lt;0,$R63&gt;4,$R63&lt;&gt;INT($R63)),0,$R63))+IF($S63="Passed",1,0)),IF(AND($F63&lt;&gt;Scales!$B$24,OR($F63=Scales!$B$27,$G63=Scales!$B$33)),3,4)))</f>
        <v>1</v>
      </c>
      <c r="U63" s="13" t="str">
        <f>IF($O63="",IF(AND($B63&lt;&gt;"",$B63&lt;&gt;"Duplicate ID"),IF($J63="Config error","Config error","Incomplete assessment"),""),IF($T63&gt;=$O63,IF(LEFT($P63,4)="More","Own choice","None"),MID(IF(AND($O63&gt;MATCH($J63,Scales!$B$6:$B$10,0)-1,$N63&lt;&gt;"Yes",$T63=MATCH($J63,Scales!$B$6:$B$10,0)-1)," + Exception not approved","")&amp;IF(AND($F63&lt;&gt;Scales!$B$24,OR($F63=Scales!$B$27,$G63=Scales!$B$33),$T63=3)," + Human-signature guardrail","")&amp;IF($T63=$L63," + Model confidence","")&amp;IF($T63=IF($F63=Scales!$B$24,IF($S63="Passed",4,IF(NOT(ISNUMBER($R63)),0,IF(OR($R63&lt;0,$R63&gt;4,$R63&lt;&gt;INT($R63)),0,$R63))),IF(NOT(ISNUMBER($R63)),0,IF(OR($R63&lt;0,$R63&gt;4,$R63&lt;&gt;INT($R63)),0,$R63))+IF($S63="Passed",1,0))," + "&amp;IF($S63&lt;&gt;"Passed","Readiness gate","Readiness gate (one level per gate)"),""),4,200)))</f>
        <v>Readiness gate</v>
      </c>
      <c r="V63" s="23"/>
    </row>
    <row r="64" spans="1:22" x14ac:dyDescent="0.25">
      <c r="A64" s="8" t="s">
        <v>185</v>
      </c>
      <c r="B64" s="11" t="str">
        <f>IF($A64="","",IF(COUNTIF('Use cases'!$A$5:$A$34,$A64)&gt;1,"Duplicate ID",IFERROR(IF(VLOOKUP($A64,'Use cases'!$A$5:$B$34,2,FALSE())=0,"",VLOOKUP($A64,'Use cases'!$A$5:$B$34,2,FALSE())),"")))</f>
        <v>Suspicious PowerShell or LOLBin activity</v>
      </c>
      <c r="C64" s="12" t="str">
        <f>IF(OR($B64="",$B64="Duplicate ID"),"",IFERROR(VLOOKUP($A64,'Use cases'!$A$5:$C$34,3,FALSE()),""))</f>
        <v>Endpoint</v>
      </c>
      <c r="D64" s="13" t="s">
        <v>125</v>
      </c>
      <c r="E64" s="23" t="s">
        <v>190</v>
      </c>
      <c r="F64" s="23" t="s">
        <v>119</v>
      </c>
      <c r="G64" s="24" t="s">
        <v>115</v>
      </c>
      <c r="H64" s="24" t="s">
        <v>122</v>
      </c>
      <c r="I64" s="13" t="str">
        <f>IF(OR($B64="",$B64="Duplicate ID"),"",IFERROR(VLOOKUP($A64,'Use cases'!$A$5:$E$34,5,FALSE()),""))</f>
        <v>Progressive</v>
      </c>
      <c r="J64" s="11" t="str">
        <f>IF(OR($B64="",$B64="Duplicate ID"),"",IF(OR($F64="",$G64=""),"",IF(Policy!$B$24&lt;&gt;"OK","Config error",IFERROR(INDEX(Scales!$B$6:$B$10,1+INDEX(Policy!$C$5:$E$16,MATCH($F64&amp;"|"&amp;$G64,Policy!$G$5:$G$16,0),MATCH($I64,Policy!$C$4:$E$4,0))),"Config error"))))</f>
        <v>L4 Autonomous</v>
      </c>
      <c r="K64" s="13">
        <f>IF($H64="","",IF($F64=Scales!$B$24,"exempt",IFERROR(IF(VLOOKUP($H64,Conf_Check,3,FALSE())="valid",VLOOKUP($H64,Conf_Adjust,2,FALSE()),"n/a"),"n/a")))</f>
        <v>-1</v>
      </c>
      <c r="L64" s="13">
        <f>IF(OR($J64="",$J64="Config error"),"",IF(OR($F64=Scales!$B$24,AND(ISNUMBER($K64),$K64=0)),4,IF(ISNUMBER($K64),MAX(1,MATCH($J64,Scales!$B$6:$B$10,0)-1+$K64),1)))</f>
        <v>3</v>
      </c>
      <c r="M64" s="5"/>
      <c r="N64" s="5"/>
      <c r="O64" s="8">
        <f>IF(OR($J64="",$J64="Config error",$E64="",$F64="",$G64="",$H64="",$R64=""),"",IF($M64="",MATCH($J64,Scales!$B$6:$B$10,0),IFERROR(MATCH($M64,Scales!$B$6:$B$10,0),MATCH($J64,Scales!$B$6:$B$10,0)))-1)</f>
        <v>4</v>
      </c>
      <c r="P64" s="12" t="str">
        <f>IF($J64="",IF(AND($B64&lt;&gt;"",$B64&lt;&gt;"Duplicate ID"),"Incomplete assessment",""),IF($J64="Config error","Config error",IF($O64="","Incomplete assessment",IF($M64="","As recommended",IF(ISERROR(MATCH($M64,Scales!$B$6:$B$10,0)),"Invalid choice",IF(MATCH($M64,Scales!$B$6:$B$10,0)&gt;MATCH($J64,Scales!$B$6:$B$10,0),"Above policy: needs sign-off",IF(MATCH($M64,Scales!$B$6:$B$10,0)&lt;MATCH($J64,Scales!$B$6:$B$10,0),"More cautious than policy","As recommended")))))))</f>
        <v>As recommended</v>
      </c>
      <c r="Q64" s="13">
        <f>IF(OR($O64="",Policy!$B$24&lt;&gt;"OK"),"",IFERROR(MIN($O64,INDEX(Policy!$C$5:$E$16,MATCH($F64&amp;"|"&amp;Scales!$B$33,Policy!$G$5:$G$16,0),MATCH($I64,Policy!$C$4:$E$4,0))),""))</f>
        <v>3</v>
      </c>
      <c r="R64" s="5">
        <v>1</v>
      </c>
      <c r="S64" s="13" t="str">
        <f>IF($B64="","",IF(COUNTIF('Readiness gate'!$A$7:$A$36,$A64)&lt;&gt;1,"Incomplete",IFERROR(IF(VLOOKUP($A64,GateTab,IF($F64=Scales!$B$24,11,9),FALSE())="","Incomplete",VLOOKUP($A64,GateTab,IF($F64=Scales!$B$24,11,9),FALSE())),"Incomplete")))</f>
        <v>Not passed</v>
      </c>
      <c r="T64" s="8">
        <f>IF($O64="","",MIN(IF(AND($O64&gt;MATCH($J64,Scales!$B$6:$B$10,0)-1,$N64&lt;&gt;"Yes"),MATCH($J64,Scales!$B$6:$B$10,0)-1,$O64),$L64,IF($F64=Scales!$B$24,IF($S64="Passed",4,IF(NOT(ISNUMBER($R64)),0,IF(OR($R64&lt;0,$R64&gt;4,$R64&lt;&gt;INT($R64)),0,$R64))),IF(NOT(ISNUMBER($R64)),0,IF(OR($R64&lt;0,$R64&gt;4,$R64&lt;&gt;INT($R64)),0,$R64))+IF($S64="Passed",1,0)),IF(AND($F64&lt;&gt;Scales!$B$24,OR($F64=Scales!$B$27,$G64=Scales!$B$33)),3,4)))</f>
        <v>1</v>
      </c>
      <c r="U64" s="13" t="str">
        <f>IF($O64="",IF(AND($B64&lt;&gt;"",$B64&lt;&gt;"Duplicate ID"),IF($J64="Config error","Config error","Incomplete assessment"),""),IF($T64&gt;=$O64,IF(LEFT($P64,4)="More","Own choice","None"),MID(IF(AND($O64&gt;MATCH($J64,Scales!$B$6:$B$10,0)-1,$N64&lt;&gt;"Yes",$T64=MATCH($J64,Scales!$B$6:$B$10,0)-1)," + Exception not approved","")&amp;IF(AND($F64&lt;&gt;Scales!$B$24,OR($F64=Scales!$B$27,$G64=Scales!$B$33),$T64=3)," + Human-signature guardrail","")&amp;IF($T64=$L64," + Model confidence","")&amp;IF($T64=IF($F64=Scales!$B$24,IF($S64="Passed",4,IF(NOT(ISNUMBER($R64)),0,IF(OR($R64&lt;0,$R64&gt;4,$R64&lt;&gt;INT($R64)),0,$R64))),IF(NOT(ISNUMBER($R64)),0,IF(OR($R64&lt;0,$R64&gt;4,$R64&lt;&gt;INT($R64)),0,$R64))+IF($S64="Passed",1,0))," + "&amp;IF($S64&lt;&gt;"Passed","Readiness gate","Readiness gate (one level per gate)"),""),4,200)))</f>
        <v>Readiness gate</v>
      </c>
      <c r="V64" s="23"/>
    </row>
    <row r="65" spans="1:22" x14ac:dyDescent="0.25">
      <c r="A65" s="8" t="s">
        <v>185</v>
      </c>
      <c r="B65" s="11" t="str">
        <f>IF($A65="","",IF(COUNTIF('Use cases'!$A$5:$A$34,$A65)&gt;1,"Duplicate ID",IFERROR(IF(VLOOKUP($A65,'Use cases'!$A$5:$B$34,2,FALSE())=0,"",VLOOKUP($A65,'Use cases'!$A$5:$B$34,2,FALSE())),"")))</f>
        <v>Suspicious PowerShell or LOLBin activity</v>
      </c>
      <c r="C65" s="12" t="str">
        <f>IF(OR($B65="",$B65="Duplicate ID"),"",IFERROR(VLOOKUP($A65,'Use cases'!$A$5:$C$34,3,FALSE()),""))</f>
        <v>Endpoint</v>
      </c>
      <c r="D65" s="13" t="s">
        <v>127</v>
      </c>
      <c r="E65" s="23" t="s">
        <v>191</v>
      </c>
      <c r="F65" s="23" t="s">
        <v>119</v>
      </c>
      <c r="G65" s="24" t="s">
        <v>115</v>
      </c>
      <c r="H65" s="24" t="s">
        <v>122</v>
      </c>
      <c r="I65" s="13" t="str">
        <f>IF(OR($B65="",$B65="Duplicate ID"),"",IFERROR(VLOOKUP($A65,'Use cases'!$A$5:$E$34,5,FALSE()),""))</f>
        <v>Progressive</v>
      </c>
      <c r="J65" s="11" t="str">
        <f>IF(OR($B65="",$B65="Duplicate ID"),"",IF(OR($F65="",$G65=""),"",IF(Policy!$B$24&lt;&gt;"OK","Config error",IFERROR(INDEX(Scales!$B$6:$B$10,1+INDEX(Policy!$C$5:$E$16,MATCH($F65&amp;"|"&amp;$G65,Policy!$G$5:$G$16,0),MATCH($I65,Policy!$C$4:$E$4,0))),"Config error"))))</f>
        <v>L4 Autonomous</v>
      </c>
      <c r="K65" s="13">
        <f>IF($H65="","",IF($F65=Scales!$B$24,"exempt",IFERROR(IF(VLOOKUP($H65,Conf_Check,3,FALSE())="valid",VLOOKUP($H65,Conf_Adjust,2,FALSE()),"n/a"),"n/a")))</f>
        <v>-1</v>
      </c>
      <c r="L65" s="13">
        <f>IF(OR($J65="",$J65="Config error"),"",IF(OR($F65=Scales!$B$24,AND(ISNUMBER($K65),$K65=0)),4,IF(ISNUMBER($K65),MAX(1,MATCH($J65,Scales!$B$6:$B$10,0)-1+$K65),1)))</f>
        <v>3</v>
      </c>
      <c r="M65" s="5"/>
      <c r="N65" s="5"/>
      <c r="O65" s="8">
        <f>IF(OR($J65="",$J65="Config error",$E65="",$F65="",$G65="",$H65="",$R65=""),"",IF($M65="",MATCH($J65,Scales!$B$6:$B$10,0),IFERROR(MATCH($M65,Scales!$B$6:$B$10,0),MATCH($J65,Scales!$B$6:$B$10,0)))-1)</f>
        <v>4</v>
      </c>
      <c r="P65" s="12" t="str">
        <f>IF($J65="",IF(AND($B65&lt;&gt;"",$B65&lt;&gt;"Duplicate ID"),"Incomplete assessment",""),IF($J65="Config error","Config error",IF($O65="","Incomplete assessment",IF($M65="","As recommended",IF(ISERROR(MATCH($M65,Scales!$B$6:$B$10,0)),"Invalid choice",IF(MATCH($M65,Scales!$B$6:$B$10,0)&gt;MATCH($J65,Scales!$B$6:$B$10,0),"Above policy: needs sign-off",IF(MATCH($M65,Scales!$B$6:$B$10,0)&lt;MATCH($J65,Scales!$B$6:$B$10,0),"More cautious than policy","As recommended")))))))</f>
        <v>As recommended</v>
      </c>
      <c r="Q65" s="13">
        <f>IF(OR($O65="",Policy!$B$24&lt;&gt;"OK"),"",IFERROR(MIN($O65,INDEX(Policy!$C$5:$E$16,MATCH($F65&amp;"|"&amp;Scales!$B$33,Policy!$G$5:$G$16,0),MATCH($I65,Policy!$C$4:$E$4,0))),""))</f>
        <v>3</v>
      </c>
      <c r="R65" s="5">
        <v>1</v>
      </c>
      <c r="S65" s="13" t="str">
        <f>IF($B65="","",IF(COUNTIF('Readiness gate'!$A$7:$A$36,$A65)&lt;&gt;1,"Incomplete",IFERROR(IF(VLOOKUP($A65,GateTab,IF($F65=Scales!$B$24,11,9),FALSE())="","Incomplete",VLOOKUP($A65,GateTab,IF($F65=Scales!$B$24,11,9),FALSE())),"Incomplete")))</f>
        <v>Not passed</v>
      </c>
      <c r="T65" s="8">
        <f>IF($O65="","",MIN(IF(AND($O65&gt;MATCH($J65,Scales!$B$6:$B$10,0)-1,$N65&lt;&gt;"Yes"),MATCH($J65,Scales!$B$6:$B$10,0)-1,$O65),$L65,IF($F65=Scales!$B$24,IF($S65="Passed",4,IF(NOT(ISNUMBER($R65)),0,IF(OR($R65&lt;0,$R65&gt;4,$R65&lt;&gt;INT($R65)),0,$R65))),IF(NOT(ISNUMBER($R65)),0,IF(OR($R65&lt;0,$R65&gt;4,$R65&lt;&gt;INT($R65)),0,$R65))+IF($S65="Passed",1,0)),IF(AND($F65&lt;&gt;Scales!$B$24,OR($F65=Scales!$B$27,$G65=Scales!$B$33)),3,4)))</f>
        <v>1</v>
      </c>
      <c r="U65" s="13" t="str">
        <f>IF($O65="",IF(AND($B65&lt;&gt;"",$B65&lt;&gt;"Duplicate ID"),IF($J65="Config error","Config error","Incomplete assessment"),""),IF($T65&gt;=$O65,IF(LEFT($P65,4)="More","Own choice","None"),MID(IF(AND($O65&gt;MATCH($J65,Scales!$B$6:$B$10,0)-1,$N65&lt;&gt;"Yes",$T65=MATCH($J65,Scales!$B$6:$B$10,0)-1)," + Exception not approved","")&amp;IF(AND($F65&lt;&gt;Scales!$B$24,OR($F65=Scales!$B$27,$G65=Scales!$B$33),$T65=3)," + Human-signature guardrail","")&amp;IF($T65=$L65," + Model confidence","")&amp;IF($T65=IF($F65=Scales!$B$24,IF($S65="Passed",4,IF(NOT(ISNUMBER($R65)),0,IF(OR($R65&lt;0,$R65&gt;4,$R65&lt;&gt;INT($R65)),0,$R65))),IF(NOT(ISNUMBER($R65)),0,IF(OR($R65&lt;0,$R65&gt;4,$R65&lt;&gt;INT($R65)),0,$R65))+IF($S65="Passed",1,0))," + "&amp;IF($S65&lt;&gt;"Passed","Readiness gate","Readiness gate (one level per gate)"),""),4,200)))</f>
        <v>Readiness gate</v>
      </c>
      <c r="V65" s="23"/>
    </row>
    <row r="66" spans="1:22" x14ac:dyDescent="0.25">
      <c r="A66" s="8" t="s">
        <v>192</v>
      </c>
      <c r="B66" s="11" t="str">
        <f>IF($A66="","",IF(COUNTIF('Use cases'!$A$5:$A$34,$A66)&gt;1,"Duplicate ID",IFERROR(IF(VLOOKUP($A66,'Use cases'!$A$5:$B$34,2,FALSE())=0,"",VLOOKUP($A66,'Use cases'!$A$5:$B$34,2,FALSE())),"")))</f>
        <v>Data exfiltration via cloud storage</v>
      </c>
      <c r="C66" s="12" t="str">
        <f>IF(OR($B66="",$B66="Duplicate ID"),"",IFERROR(VLOOKUP($A66,'Use cases'!$A$5:$C$34,3,FALSE()),""))</f>
        <v>Data</v>
      </c>
      <c r="D66" s="13" t="s">
        <v>112</v>
      </c>
      <c r="E66" s="23" t="s">
        <v>193</v>
      </c>
      <c r="F66" s="23" t="s">
        <v>114</v>
      </c>
      <c r="G66" s="24" t="s">
        <v>115</v>
      </c>
      <c r="H66" s="24" t="s">
        <v>122</v>
      </c>
      <c r="I66" s="13" t="str">
        <f>IF(OR($B66="",$B66="Duplicate ID"),"",IFERROR(VLOOKUP($A66,'Use cases'!$A$5:$E$34,5,FALSE()),""))</f>
        <v>Progressive</v>
      </c>
      <c r="J66" s="11" t="str">
        <f>IF(OR($B66="",$B66="Duplicate ID"),"",IF(OR($F66="",$G66=""),"",IF(Policy!$B$24&lt;&gt;"OK","Config error",IFERROR(INDEX(Scales!$B$6:$B$10,1+INDEX(Policy!$C$5:$E$16,MATCH($F66&amp;"|"&amp;$G66,Policy!$G$5:$G$16,0),MATCH($I66,Policy!$C$4:$E$4,0))),"Config error"))))</f>
        <v>L4 Autonomous</v>
      </c>
      <c r="K66" s="13" t="str">
        <f>IF($H66="","",IF($F66=Scales!$B$24,"exempt",IFERROR(IF(VLOOKUP($H66,Conf_Check,3,FALSE())="valid",VLOOKUP($H66,Conf_Adjust,2,FALSE()),"n/a"),"n/a")))</f>
        <v>exempt</v>
      </c>
      <c r="L66" s="13">
        <f>IF(OR($J66="",$J66="Config error"),"",IF(OR($F66=Scales!$B$24,AND(ISNUMBER($K66),$K66=0)),4,IF(ISNUMBER($K66),MAX(1,MATCH($J66,Scales!$B$6:$B$10,0)-1+$K66),1)))</f>
        <v>4</v>
      </c>
      <c r="M66" s="5"/>
      <c r="N66" s="5"/>
      <c r="O66" s="8">
        <f>IF(OR($J66="",$J66="Config error",$E66="",$F66="",$G66="",$H66="",$R66=""),"",IF($M66="",MATCH($J66,Scales!$B$6:$B$10,0),IFERROR(MATCH($M66,Scales!$B$6:$B$10,0),MATCH($J66,Scales!$B$6:$B$10,0)))-1)</f>
        <v>4</v>
      </c>
      <c r="P66" s="12" t="str">
        <f>IF($J66="",IF(AND($B66&lt;&gt;"",$B66&lt;&gt;"Duplicate ID"),"Incomplete assessment",""),IF($J66="Config error","Config error",IF($O66="","Incomplete assessment",IF($M66="","As recommended",IF(ISERROR(MATCH($M66,Scales!$B$6:$B$10,0)),"Invalid choice",IF(MATCH($M66,Scales!$B$6:$B$10,0)&gt;MATCH($J66,Scales!$B$6:$B$10,0),"Above policy: needs sign-off",IF(MATCH($M66,Scales!$B$6:$B$10,0)&lt;MATCH($J66,Scales!$B$6:$B$10,0),"More cautious than policy","As recommended")))))))</f>
        <v>As recommended</v>
      </c>
      <c r="Q66" s="13">
        <f>IF(OR($O66="",Policy!$B$24&lt;&gt;"OK"),"",IFERROR(MIN($O66,INDEX(Policy!$C$5:$E$16,MATCH($F66&amp;"|"&amp;Scales!$B$33,Policy!$G$5:$G$16,0),MATCH($I66,Policy!$C$4:$E$4,0))),""))</f>
        <v>4</v>
      </c>
      <c r="R66" s="5">
        <v>1</v>
      </c>
      <c r="S66" s="13" t="str">
        <f>IF($B66="","",IF(COUNTIF('Readiness gate'!$A$7:$A$36,$A66)&lt;&gt;1,"Incomplete",IFERROR(IF(VLOOKUP($A66,GateTab,IF($F66=Scales!$B$24,11,9),FALSE())="","Incomplete",VLOOKUP($A66,GateTab,IF($F66=Scales!$B$24,11,9),FALSE())),"Incomplete")))</f>
        <v>Not passed</v>
      </c>
      <c r="T66" s="8">
        <f>IF($O66="","",MIN(IF(AND($O66&gt;MATCH($J66,Scales!$B$6:$B$10,0)-1,$N66&lt;&gt;"Yes"),MATCH($J66,Scales!$B$6:$B$10,0)-1,$O66),$L66,IF($F66=Scales!$B$24,IF($S66="Passed",4,IF(NOT(ISNUMBER($R66)),0,IF(OR($R66&lt;0,$R66&gt;4,$R66&lt;&gt;INT($R66)),0,$R66))),IF(NOT(ISNUMBER($R66)),0,IF(OR($R66&lt;0,$R66&gt;4,$R66&lt;&gt;INT($R66)),0,$R66))+IF($S66="Passed",1,0)),IF(AND($F66&lt;&gt;Scales!$B$24,OR($F66=Scales!$B$27,$G66=Scales!$B$33)),3,4)))</f>
        <v>1</v>
      </c>
      <c r="U66" s="13" t="str">
        <f>IF($O66="",IF(AND($B66&lt;&gt;"",$B66&lt;&gt;"Duplicate ID"),IF($J66="Config error","Config error","Incomplete assessment"),""),IF($T66&gt;=$O66,IF(LEFT($P66,4)="More","Own choice","None"),MID(IF(AND($O66&gt;MATCH($J66,Scales!$B$6:$B$10,0)-1,$N66&lt;&gt;"Yes",$T66=MATCH($J66,Scales!$B$6:$B$10,0)-1)," + Exception not approved","")&amp;IF(AND($F66&lt;&gt;Scales!$B$24,OR($F66=Scales!$B$27,$G66=Scales!$B$33),$T66=3)," + Human-signature guardrail","")&amp;IF($T66=$L66," + Model confidence","")&amp;IF($T66=IF($F66=Scales!$B$24,IF($S66="Passed",4,IF(NOT(ISNUMBER($R66)),0,IF(OR($R66&lt;0,$R66&gt;4,$R66&lt;&gt;INT($R66)),0,$R66))),IF(NOT(ISNUMBER($R66)),0,IF(OR($R66&lt;0,$R66&gt;4,$R66&lt;&gt;INT($R66)),0,$R66))+IF($S66="Passed",1,0))," + "&amp;IF($S66&lt;&gt;"Passed","Readiness gate","Readiness gate (one level per gate)"),""),4,200)))</f>
        <v>Readiness gate</v>
      </c>
      <c r="V66" s="23"/>
    </row>
    <row r="67" spans="1:22" x14ac:dyDescent="0.25">
      <c r="A67" s="8" t="s">
        <v>192</v>
      </c>
      <c r="B67" s="11" t="str">
        <f>IF($A67="","",IF(COUNTIF('Use cases'!$A$5:$A$34,$A67)&gt;1,"Duplicate ID",IFERROR(IF(VLOOKUP($A67,'Use cases'!$A$5:$B$34,2,FALSE())=0,"",VLOOKUP($A67,'Use cases'!$A$5:$B$34,2,FALSE())),"")))</f>
        <v>Data exfiltration via cloud storage</v>
      </c>
      <c r="C67" s="12" t="str">
        <f>IF(OR($B67="",$B67="Duplicate ID"),"",IFERROR(VLOOKUP($A67,'Use cases'!$A$5:$C$34,3,FALSE()),""))</f>
        <v>Data</v>
      </c>
      <c r="D67" s="13" t="s">
        <v>117</v>
      </c>
      <c r="E67" s="23" t="s">
        <v>194</v>
      </c>
      <c r="F67" s="23" t="s">
        <v>119</v>
      </c>
      <c r="G67" s="24" t="s">
        <v>122</v>
      </c>
      <c r="H67" s="24" t="s">
        <v>122</v>
      </c>
      <c r="I67" s="13" t="str">
        <f>IF(OR($B67="",$B67="Duplicate ID"),"",IFERROR(VLOOKUP($A67,'Use cases'!$A$5:$E$34,5,FALSE()),""))</f>
        <v>Progressive</v>
      </c>
      <c r="J67" s="11" t="str">
        <f>IF(OR($B67="",$B67="Duplicate ID"),"",IF(OR($F67="",$G67=""),"",IF(Policy!$B$24&lt;&gt;"OK","Config error",IFERROR(INDEX(Scales!$B$6:$B$10,1+INDEX(Policy!$C$5:$E$16,MATCH($F67&amp;"|"&amp;$G67,Policy!$G$5:$G$16,0),MATCH($I67,Policy!$C$4:$E$4,0))),"Config error"))))</f>
        <v>L4 Autonomous</v>
      </c>
      <c r="K67" s="13">
        <f>IF($H67="","",IF($F67=Scales!$B$24,"exempt",IFERROR(IF(VLOOKUP($H67,Conf_Check,3,FALSE())="valid",VLOOKUP($H67,Conf_Adjust,2,FALSE()),"n/a"),"n/a")))</f>
        <v>-1</v>
      </c>
      <c r="L67" s="13">
        <f>IF(OR($J67="",$J67="Config error"),"",IF(OR($F67=Scales!$B$24,AND(ISNUMBER($K67),$K67=0)),4,IF(ISNUMBER($K67),MAX(1,MATCH($J67,Scales!$B$6:$B$10,0)-1+$K67),1)))</f>
        <v>3</v>
      </c>
      <c r="M67" s="5"/>
      <c r="N67" s="5"/>
      <c r="O67" s="8">
        <f>IF(OR($J67="",$J67="Config error",$E67="",$F67="",$G67="",$H67="",$R67=""),"",IF($M67="",MATCH($J67,Scales!$B$6:$B$10,0),IFERROR(MATCH($M67,Scales!$B$6:$B$10,0),MATCH($J67,Scales!$B$6:$B$10,0)))-1)</f>
        <v>4</v>
      </c>
      <c r="P67" s="12" t="str">
        <f>IF($J67="",IF(AND($B67&lt;&gt;"",$B67&lt;&gt;"Duplicate ID"),"Incomplete assessment",""),IF($J67="Config error","Config error",IF($O67="","Incomplete assessment",IF($M67="","As recommended",IF(ISERROR(MATCH($M67,Scales!$B$6:$B$10,0)),"Invalid choice",IF(MATCH($M67,Scales!$B$6:$B$10,0)&gt;MATCH($J67,Scales!$B$6:$B$10,0),"Above policy: needs sign-off",IF(MATCH($M67,Scales!$B$6:$B$10,0)&lt;MATCH($J67,Scales!$B$6:$B$10,0),"More cautious than policy","As recommended")))))))</f>
        <v>As recommended</v>
      </c>
      <c r="Q67" s="13">
        <f>IF(OR($O67="",Policy!$B$24&lt;&gt;"OK"),"",IFERROR(MIN($O67,INDEX(Policy!$C$5:$E$16,MATCH($F67&amp;"|"&amp;Scales!$B$33,Policy!$G$5:$G$16,0),MATCH($I67,Policy!$C$4:$E$4,0))),""))</f>
        <v>3</v>
      </c>
      <c r="R67" s="5">
        <v>1</v>
      </c>
      <c r="S67" s="13" t="str">
        <f>IF($B67="","",IF(COUNTIF('Readiness gate'!$A$7:$A$36,$A67)&lt;&gt;1,"Incomplete",IFERROR(IF(VLOOKUP($A67,GateTab,IF($F67=Scales!$B$24,11,9),FALSE())="","Incomplete",VLOOKUP($A67,GateTab,IF($F67=Scales!$B$24,11,9),FALSE())),"Incomplete")))</f>
        <v>Not passed</v>
      </c>
      <c r="T67" s="8">
        <f>IF($O67="","",MIN(IF(AND($O67&gt;MATCH($J67,Scales!$B$6:$B$10,0)-1,$N67&lt;&gt;"Yes"),MATCH($J67,Scales!$B$6:$B$10,0)-1,$O67),$L67,IF($F67=Scales!$B$24,IF($S67="Passed",4,IF(NOT(ISNUMBER($R67)),0,IF(OR($R67&lt;0,$R67&gt;4,$R67&lt;&gt;INT($R67)),0,$R67))),IF(NOT(ISNUMBER($R67)),0,IF(OR($R67&lt;0,$R67&gt;4,$R67&lt;&gt;INT($R67)),0,$R67))+IF($S67="Passed",1,0)),IF(AND($F67&lt;&gt;Scales!$B$24,OR($F67=Scales!$B$27,$G67=Scales!$B$33)),3,4)))</f>
        <v>1</v>
      </c>
      <c r="U67" s="13" t="str">
        <f>IF($O67="",IF(AND($B67&lt;&gt;"",$B67&lt;&gt;"Duplicate ID"),IF($J67="Config error","Config error","Incomplete assessment"),""),IF($T67&gt;=$O67,IF(LEFT($P67,4)="More","Own choice","None"),MID(IF(AND($O67&gt;MATCH($J67,Scales!$B$6:$B$10,0)-1,$N67&lt;&gt;"Yes",$T67=MATCH($J67,Scales!$B$6:$B$10,0)-1)," + Exception not approved","")&amp;IF(AND($F67&lt;&gt;Scales!$B$24,OR($F67=Scales!$B$27,$G67=Scales!$B$33),$T67=3)," + Human-signature guardrail","")&amp;IF($T67=$L67," + Model confidence","")&amp;IF($T67=IF($F67=Scales!$B$24,IF($S67="Passed",4,IF(NOT(ISNUMBER($R67)),0,IF(OR($R67&lt;0,$R67&gt;4,$R67&lt;&gt;INT($R67)),0,$R67))),IF(NOT(ISNUMBER($R67)),0,IF(OR($R67&lt;0,$R67&gt;4,$R67&lt;&gt;INT($R67)),0,$R67))+IF($S67="Passed",1,0))," + "&amp;IF($S67&lt;&gt;"Passed","Readiness gate","Readiness gate (one level per gate)"),""),4,200)))</f>
        <v>Readiness gate</v>
      </c>
      <c r="V67" s="23"/>
    </row>
    <row r="68" spans="1:22" x14ac:dyDescent="0.25">
      <c r="A68" s="8" t="s">
        <v>192</v>
      </c>
      <c r="B68" s="11" t="str">
        <f>IF($A68="","",IF(COUNTIF('Use cases'!$A$5:$A$34,$A68)&gt;1,"Duplicate ID",IFERROR(IF(VLOOKUP($A68,'Use cases'!$A$5:$B$34,2,FALSE())=0,"",VLOOKUP($A68,'Use cases'!$A$5:$B$34,2,FALSE())),"")))</f>
        <v>Data exfiltration via cloud storage</v>
      </c>
      <c r="C68" s="12" t="str">
        <f>IF(OR($B68="",$B68="Duplicate ID"),"",IFERROR(VLOOKUP($A68,'Use cases'!$A$5:$C$34,3,FALSE()),""))</f>
        <v>Data</v>
      </c>
      <c r="D68" s="13" t="s">
        <v>120</v>
      </c>
      <c r="E68" s="23" t="s">
        <v>195</v>
      </c>
      <c r="F68" s="23" t="s">
        <v>119</v>
      </c>
      <c r="G68" s="24" t="s">
        <v>115</v>
      </c>
      <c r="H68" s="24" t="s">
        <v>122</v>
      </c>
      <c r="I68" s="13" t="str">
        <f>IF(OR($B68="",$B68="Duplicate ID"),"",IFERROR(VLOOKUP($A68,'Use cases'!$A$5:$E$34,5,FALSE()),""))</f>
        <v>Progressive</v>
      </c>
      <c r="J68" s="11" t="str">
        <f>IF(OR($B68="",$B68="Duplicate ID"),"",IF(OR($F68="",$G68=""),"",IF(Policy!$B$24&lt;&gt;"OK","Config error",IFERROR(INDEX(Scales!$B$6:$B$10,1+INDEX(Policy!$C$5:$E$16,MATCH($F68&amp;"|"&amp;$G68,Policy!$G$5:$G$16,0),MATCH($I68,Policy!$C$4:$E$4,0))),"Config error"))))</f>
        <v>L4 Autonomous</v>
      </c>
      <c r="K68" s="13">
        <f>IF($H68="","",IF($F68=Scales!$B$24,"exempt",IFERROR(IF(VLOOKUP($H68,Conf_Check,3,FALSE())="valid",VLOOKUP($H68,Conf_Adjust,2,FALSE()),"n/a"),"n/a")))</f>
        <v>-1</v>
      </c>
      <c r="L68" s="13">
        <f>IF(OR($J68="",$J68="Config error"),"",IF(OR($F68=Scales!$B$24,AND(ISNUMBER($K68),$K68=0)),4,IF(ISNUMBER($K68),MAX(1,MATCH($J68,Scales!$B$6:$B$10,0)-1+$K68),1)))</f>
        <v>3</v>
      </c>
      <c r="M68" s="5"/>
      <c r="N68" s="5"/>
      <c r="O68" s="8">
        <f>IF(OR($J68="",$J68="Config error",$E68="",$F68="",$G68="",$H68="",$R68=""),"",IF($M68="",MATCH($J68,Scales!$B$6:$B$10,0),IFERROR(MATCH($M68,Scales!$B$6:$B$10,0),MATCH($J68,Scales!$B$6:$B$10,0)))-1)</f>
        <v>4</v>
      </c>
      <c r="P68" s="12" t="str">
        <f>IF($J68="",IF(AND($B68&lt;&gt;"",$B68&lt;&gt;"Duplicate ID"),"Incomplete assessment",""),IF($J68="Config error","Config error",IF($O68="","Incomplete assessment",IF($M68="","As recommended",IF(ISERROR(MATCH($M68,Scales!$B$6:$B$10,0)),"Invalid choice",IF(MATCH($M68,Scales!$B$6:$B$10,0)&gt;MATCH($J68,Scales!$B$6:$B$10,0),"Above policy: needs sign-off",IF(MATCH($M68,Scales!$B$6:$B$10,0)&lt;MATCH($J68,Scales!$B$6:$B$10,0),"More cautious than policy","As recommended")))))))</f>
        <v>As recommended</v>
      </c>
      <c r="Q68" s="13">
        <f>IF(OR($O68="",Policy!$B$24&lt;&gt;"OK"),"",IFERROR(MIN($O68,INDEX(Policy!$C$5:$E$16,MATCH($F68&amp;"|"&amp;Scales!$B$33,Policy!$G$5:$G$16,0),MATCH($I68,Policy!$C$4:$E$4,0))),""))</f>
        <v>3</v>
      </c>
      <c r="R68" s="5">
        <v>2</v>
      </c>
      <c r="S68" s="13" t="str">
        <f>IF($B68="","",IF(COUNTIF('Readiness gate'!$A$7:$A$36,$A68)&lt;&gt;1,"Incomplete",IFERROR(IF(VLOOKUP($A68,GateTab,IF($F68=Scales!$B$24,11,9),FALSE())="","Incomplete",VLOOKUP($A68,GateTab,IF($F68=Scales!$B$24,11,9),FALSE())),"Incomplete")))</f>
        <v>Not passed</v>
      </c>
      <c r="T68" s="8">
        <f>IF($O68="","",MIN(IF(AND($O68&gt;MATCH($J68,Scales!$B$6:$B$10,0)-1,$N68&lt;&gt;"Yes"),MATCH($J68,Scales!$B$6:$B$10,0)-1,$O68),$L68,IF($F68=Scales!$B$24,IF($S68="Passed",4,IF(NOT(ISNUMBER($R68)),0,IF(OR($R68&lt;0,$R68&gt;4,$R68&lt;&gt;INT($R68)),0,$R68))),IF(NOT(ISNUMBER($R68)),0,IF(OR($R68&lt;0,$R68&gt;4,$R68&lt;&gt;INT($R68)),0,$R68))+IF($S68="Passed",1,0)),IF(AND($F68&lt;&gt;Scales!$B$24,OR($F68=Scales!$B$27,$G68=Scales!$B$33)),3,4)))</f>
        <v>2</v>
      </c>
      <c r="U68" s="13" t="str">
        <f>IF($O68="",IF(AND($B68&lt;&gt;"",$B68&lt;&gt;"Duplicate ID"),IF($J68="Config error","Config error","Incomplete assessment"),""),IF($T68&gt;=$O68,IF(LEFT($P68,4)="More","Own choice","None"),MID(IF(AND($O68&gt;MATCH($J68,Scales!$B$6:$B$10,0)-1,$N68&lt;&gt;"Yes",$T68=MATCH($J68,Scales!$B$6:$B$10,0)-1)," + Exception not approved","")&amp;IF(AND($F68&lt;&gt;Scales!$B$24,OR($F68=Scales!$B$27,$G68=Scales!$B$33),$T68=3)," + Human-signature guardrail","")&amp;IF($T68=$L68," + Model confidence","")&amp;IF($T68=IF($F68=Scales!$B$24,IF($S68="Passed",4,IF(NOT(ISNUMBER($R68)),0,IF(OR($R68&lt;0,$R68&gt;4,$R68&lt;&gt;INT($R68)),0,$R68))),IF(NOT(ISNUMBER($R68)),0,IF(OR($R68&lt;0,$R68&gt;4,$R68&lt;&gt;INT($R68)),0,$R68))+IF($S68="Passed",1,0))," + "&amp;IF($S68&lt;&gt;"Passed","Readiness gate","Readiness gate (one level per gate)"),""),4,200)))</f>
        <v>Readiness gate</v>
      </c>
      <c r="V68" s="23"/>
    </row>
    <row r="69" spans="1:22" x14ac:dyDescent="0.25">
      <c r="A69" s="8" t="s">
        <v>192</v>
      </c>
      <c r="B69" s="11" t="str">
        <f>IF($A69="","",IF(COUNTIF('Use cases'!$A$5:$A$34,$A69)&gt;1,"Duplicate ID",IFERROR(IF(VLOOKUP($A69,'Use cases'!$A$5:$B$34,2,FALSE())=0,"",VLOOKUP($A69,'Use cases'!$A$5:$B$34,2,FALSE())),"")))</f>
        <v>Data exfiltration via cloud storage</v>
      </c>
      <c r="C69" s="12" t="str">
        <f>IF(OR($B69="",$B69="Duplicate ID"),"",IFERROR(VLOOKUP($A69,'Use cases'!$A$5:$C$34,3,FALSE()),""))</f>
        <v>Data</v>
      </c>
      <c r="D69" s="13" t="s">
        <v>123</v>
      </c>
      <c r="E69" s="23" t="s">
        <v>196</v>
      </c>
      <c r="F69" s="23" t="s">
        <v>134</v>
      </c>
      <c r="G69" s="24" t="s">
        <v>122</v>
      </c>
      <c r="H69" s="24" t="s">
        <v>122</v>
      </c>
      <c r="I69" s="13" t="str">
        <f>IF(OR($B69="",$B69="Duplicate ID"),"",IFERROR(VLOOKUP($A69,'Use cases'!$A$5:$E$34,5,FALSE()),""))</f>
        <v>Progressive</v>
      </c>
      <c r="J69" s="11" t="str">
        <f>IF(OR($B69="",$B69="Duplicate ID"),"",IF(OR($F69="",$G69=""),"",IF(Policy!$B$24&lt;&gt;"OK","Config error",IFERROR(INDEX(Scales!$B$6:$B$10,1+INDEX(Policy!$C$5:$E$16,MATCH($F69&amp;"|"&amp;$G69,Policy!$G$5:$G$16,0),MATCH($I69,Policy!$C$4:$E$4,0))),"Config error"))))</f>
        <v>L3 Human-approved</v>
      </c>
      <c r="K69" s="13">
        <f>IF($H69="","",IF($F69=Scales!$B$24,"exempt",IFERROR(IF(VLOOKUP($H69,Conf_Check,3,FALSE())="valid",VLOOKUP($H69,Conf_Adjust,2,FALSE()),"n/a"),"n/a")))</f>
        <v>-1</v>
      </c>
      <c r="L69" s="13">
        <f>IF(OR($J69="",$J69="Config error"),"",IF(OR($F69=Scales!$B$24,AND(ISNUMBER($K69),$K69=0)),4,IF(ISNUMBER($K69),MAX(1,MATCH($J69,Scales!$B$6:$B$10,0)-1+$K69),1)))</f>
        <v>2</v>
      </c>
      <c r="M69" s="5"/>
      <c r="N69" s="5"/>
      <c r="O69" s="8">
        <f>IF(OR($J69="",$J69="Config error",$E69="",$F69="",$G69="",$H69="",$R69=""),"",IF($M69="",MATCH($J69,Scales!$B$6:$B$10,0),IFERROR(MATCH($M69,Scales!$B$6:$B$10,0),MATCH($J69,Scales!$B$6:$B$10,0)))-1)</f>
        <v>3</v>
      </c>
      <c r="P69" s="12" t="str">
        <f>IF($J69="",IF(AND($B69&lt;&gt;"",$B69&lt;&gt;"Duplicate ID"),"Incomplete assessment",""),IF($J69="Config error","Config error",IF($O69="","Incomplete assessment",IF($M69="","As recommended",IF(ISERROR(MATCH($M69,Scales!$B$6:$B$10,0)),"Invalid choice",IF(MATCH($M69,Scales!$B$6:$B$10,0)&gt;MATCH($J69,Scales!$B$6:$B$10,0),"Above policy: needs sign-off",IF(MATCH($M69,Scales!$B$6:$B$10,0)&lt;MATCH($J69,Scales!$B$6:$B$10,0),"More cautious than policy","As recommended")))))))</f>
        <v>As recommended</v>
      </c>
      <c r="Q69" s="13">
        <f>IF(OR($O69="",Policy!$B$24&lt;&gt;"OK"),"",IFERROR(MIN($O69,INDEX(Policy!$C$5:$E$16,MATCH($F69&amp;"|"&amp;Scales!$B$33,Policy!$G$5:$G$16,0),MATCH($I69,Policy!$C$4:$E$4,0))),""))</f>
        <v>3</v>
      </c>
      <c r="R69" s="5">
        <v>1</v>
      </c>
      <c r="S69" s="13" t="str">
        <f>IF($B69="","",IF(COUNTIF('Readiness gate'!$A$7:$A$36,$A69)&lt;&gt;1,"Incomplete",IFERROR(IF(VLOOKUP($A69,GateTab,IF($F69=Scales!$B$24,11,9),FALSE())="","Incomplete",VLOOKUP($A69,GateTab,IF($F69=Scales!$B$24,11,9),FALSE())),"Incomplete")))</f>
        <v>Not passed</v>
      </c>
      <c r="T69" s="8">
        <f>IF($O69="","",MIN(IF(AND($O69&gt;MATCH($J69,Scales!$B$6:$B$10,0)-1,$N69&lt;&gt;"Yes"),MATCH($J69,Scales!$B$6:$B$10,0)-1,$O69),$L69,IF($F69=Scales!$B$24,IF($S69="Passed",4,IF(NOT(ISNUMBER($R69)),0,IF(OR($R69&lt;0,$R69&gt;4,$R69&lt;&gt;INT($R69)),0,$R69))),IF(NOT(ISNUMBER($R69)),0,IF(OR($R69&lt;0,$R69&gt;4,$R69&lt;&gt;INT($R69)),0,$R69))+IF($S69="Passed",1,0)),IF(AND($F69&lt;&gt;Scales!$B$24,OR($F69=Scales!$B$27,$G69=Scales!$B$33)),3,4)))</f>
        <v>1</v>
      </c>
      <c r="U69" s="13" t="str">
        <f>IF($O69="",IF(AND($B69&lt;&gt;"",$B69&lt;&gt;"Duplicate ID"),IF($J69="Config error","Config error","Incomplete assessment"),""),IF($T69&gt;=$O69,IF(LEFT($P69,4)="More","Own choice","None"),MID(IF(AND($O69&gt;MATCH($J69,Scales!$B$6:$B$10,0)-1,$N69&lt;&gt;"Yes",$T69=MATCH($J69,Scales!$B$6:$B$10,0)-1)," + Exception not approved","")&amp;IF(AND($F69&lt;&gt;Scales!$B$24,OR($F69=Scales!$B$27,$G69=Scales!$B$33),$T69=3)," + Human-signature guardrail","")&amp;IF($T69=$L69," + Model confidence","")&amp;IF($T69=IF($F69=Scales!$B$24,IF($S69="Passed",4,IF(NOT(ISNUMBER($R69)),0,IF(OR($R69&lt;0,$R69&gt;4,$R69&lt;&gt;INT($R69)),0,$R69))),IF(NOT(ISNUMBER($R69)),0,IF(OR($R69&lt;0,$R69&gt;4,$R69&lt;&gt;INT($R69)),0,$R69))+IF($S69="Passed",1,0))," + "&amp;IF($S69&lt;&gt;"Passed","Readiness gate","Readiness gate (one level per gate)"),""),4,200)))</f>
        <v>Readiness gate</v>
      </c>
      <c r="V69" s="23"/>
    </row>
    <row r="70" spans="1:22" x14ac:dyDescent="0.25">
      <c r="A70" s="8" t="s">
        <v>192</v>
      </c>
      <c r="B70" s="11" t="str">
        <f>IF($A70="","",IF(COUNTIF('Use cases'!$A$5:$A$34,$A70)&gt;1,"Duplicate ID",IFERROR(IF(VLOOKUP($A70,'Use cases'!$A$5:$B$34,2,FALSE())=0,"",VLOOKUP($A70,'Use cases'!$A$5:$B$34,2,FALSE())),"")))</f>
        <v>Data exfiltration via cloud storage</v>
      </c>
      <c r="C70" s="12" t="str">
        <f>IF(OR($B70="",$B70="Duplicate ID"),"",IFERROR(VLOOKUP($A70,'Use cases'!$A$5:$C$34,3,FALSE()),""))</f>
        <v>Data</v>
      </c>
      <c r="D70" s="13" t="s">
        <v>125</v>
      </c>
      <c r="E70" s="23" t="s">
        <v>197</v>
      </c>
      <c r="F70" s="23" t="s">
        <v>119</v>
      </c>
      <c r="G70" s="24" t="s">
        <v>115</v>
      </c>
      <c r="H70" s="24" t="s">
        <v>122</v>
      </c>
      <c r="I70" s="13" t="str">
        <f>IF(OR($B70="",$B70="Duplicate ID"),"",IFERROR(VLOOKUP($A70,'Use cases'!$A$5:$E$34,5,FALSE()),""))</f>
        <v>Progressive</v>
      </c>
      <c r="J70" s="11" t="str">
        <f>IF(OR($B70="",$B70="Duplicate ID"),"",IF(OR($F70="",$G70=""),"",IF(Policy!$B$24&lt;&gt;"OK","Config error",IFERROR(INDEX(Scales!$B$6:$B$10,1+INDEX(Policy!$C$5:$E$16,MATCH($F70&amp;"|"&amp;$G70,Policy!$G$5:$G$16,0),MATCH($I70,Policy!$C$4:$E$4,0))),"Config error"))))</f>
        <v>L4 Autonomous</v>
      </c>
      <c r="K70" s="13">
        <f>IF($H70="","",IF($F70=Scales!$B$24,"exempt",IFERROR(IF(VLOOKUP($H70,Conf_Check,3,FALSE())="valid",VLOOKUP($H70,Conf_Adjust,2,FALSE()),"n/a"),"n/a")))</f>
        <v>-1</v>
      </c>
      <c r="L70" s="13">
        <f>IF(OR($J70="",$J70="Config error"),"",IF(OR($F70=Scales!$B$24,AND(ISNUMBER($K70),$K70=0)),4,IF(ISNUMBER($K70),MAX(1,MATCH($J70,Scales!$B$6:$B$10,0)-1+$K70),1)))</f>
        <v>3</v>
      </c>
      <c r="M70" s="5"/>
      <c r="N70" s="5"/>
      <c r="O70" s="8">
        <f>IF(OR($J70="",$J70="Config error",$E70="",$F70="",$G70="",$H70="",$R70=""),"",IF($M70="",MATCH($J70,Scales!$B$6:$B$10,0),IFERROR(MATCH($M70,Scales!$B$6:$B$10,0),MATCH($J70,Scales!$B$6:$B$10,0)))-1)</f>
        <v>4</v>
      </c>
      <c r="P70" s="12" t="str">
        <f>IF($J70="",IF(AND($B70&lt;&gt;"",$B70&lt;&gt;"Duplicate ID"),"Incomplete assessment",""),IF($J70="Config error","Config error",IF($O70="","Incomplete assessment",IF($M70="","As recommended",IF(ISERROR(MATCH($M70,Scales!$B$6:$B$10,0)),"Invalid choice",IF(MATCH($M70,Scales!$B$6:$B$10,0)&gt;MATCH($J70,Scales!$B$6:$B$10,0),"Above policy: needs sign-off",IF(MATCH($M70,Scales!$B$6:$B$10,0)&lt;MATCH($J70,Scales!$B$6:$B$10,0),"More cautious than policy","As recommended")))))))</f>
        <v>As recommended</v>
      </c>
      <c r="Q70" s="13">
        <f>IF(OR($O70="",Policy!$B$24&lt;&gt;"OK"),"",IFERROR(MIN($O70,INDEX(Policy!$C$5:$E$16,MATCH($F70&amp;"|"&amp;Scales!$B$33,Policy!$G$5:$G$16,0),MATCH($I70,Policy!$C$4:$E$4,0))),""))</f>
        <v>3</v>
      </c>
      <c r="R70" s="5">
        <v>1</v>
      </c>
      <c r="S70" s="13" t="str">
        <f>IF($B70="","",IF(COUNTIF('Readiness gate'!$A$7:$A$36,$A70)&lt;&gt;1,"Incomplete",IFERROR(IF(VLOOKUP($A70,GateTab,IF($F70=Scales!$B$24,11,9),FALSE())="","Incomplete",VLOOKUP($A70,GateTab,IF($F70=Scales!$B$24,11,9),FALSE())),"Incomplete")))</f>
        <v>Not passed</v>
      </c>
      <c r="T70" s="8">
        <f>IF($O70="","",MIN(IF(AND($O70&gt;MATCH($J70,Scales!$B$6:$B$10,0)-1,$N70&lt;&gt;"Yes"),MATCH($J70,Scales!$B$6:$B$10,0)-1,$O70),$L70,IF($F70=Scales!$B$24,IF($S70="Passed",4,IF(NOT(ISNUMBER($R70)),0,IF(OR($R70&lt;0,$R70&gt;4,$R70&lt;&gt;INT($R70)),0,$R70))),IF(NOT(ISNUMBER($R70)),0,IF(OR($R70&lt;0,$R70&gt;4,$R70&lt;&gt;INT($R70)),0,$R70))+IF($S70="Passed",1,0)),IF(AND($F70&lt;&gt;Scales!$B$24,OR($F70=Scales!$B$27,$G70=Scales!$B$33)),3,4)))</f>
        <v>1</v>
      </c>
      <c r="U70" s="13" t="str">
        <f>IF($O70="",IF(AND($B70&lt;&gt;"",$B70&lt;&gt;"Duplicate ID"),IF($J70="Config error","Config error","Incomplete assessment"),""),IF($T70&gt;=$O70,IF(LEFT($P70,4)="More","Own choice","None"),MID(IF(AND($O70&gt;MATCH($J70,Scales!$B$6:$B$10,0)-1,$N70&lt;&gt;"Yes",$T70=MATCH($J70,Scales!$B$6:$B$10,0)-1)," + Exception not approved","")&amp;IF(AND($F70&lt;&gt;Scales!$B$24,OR($F70=Scales!$B$27,$G70=Scales!$B$33),$T70=3)," + Human-signature guardrail","")&amp;IF($T70=$L70," + Model confidence","")&amp;IF($T70=IF($F70=Scales!$B$24,IF($S70="Passed",4,IF(NOT(ISNUMBER($R70)),0,IF(OR($R70&lt;0,$R70&gt;4,$R70&lt;&gt;INT($R70)),0,$R70))),IF(NOT(ISNUMBER($R70)),0,IF(OR($R70&lt;0,$R70&gt;4,$R70&lt;&gt;INT($R70)),0,$R70))+IF($S70="Passed",1,0))," + "&amp;IF($S70&lt;&gt;"Passed","Readiness gate","Readiness gate (one level per gate)"),""),4,200)))</f>
        <v>Readiness gate</v>
      </c>
      <c r="V70" s="23"/>
    </row>
    <row r="71" spans="1:22" x14ac:dyDescent="0.25">
      <c r="A71" s="8" t="s">
        <v>192</v>
      </c>
      <c r="B71" s="11" t="str">
        <f>IF($A71="","",IF(COUNTIF('Use cases'!$A$5:$A$34,$A71)&gt;1,"Duplicate ID",IFERROR(IF(VLOOKUP($A71,'Use cases'!$A$5:$B$34,2,FALSE())=0,"",VLOOKUP($A71,'Use cases'!$A$5:$B$34,2,FALSE())),"")))</f>
        <v>Data exfiltration via cloud storage</v>
      </c>
      <c r="C71" s="12" t="str">
        <f>IF(OR($B71="",$B71="Duplicate ID"),"",IFERROR(VLOOKUP($A71,'Use cases'!$A$5:$C$34,3,FALSE()),""))</f>
        <v>Data</v>
      </c>
      <c r="D71" s="13" t="s">
        <v>127</v>
      </c>
      <c r="E71" s="23" t="s">
        <v>198</v>
      </c>
      <c r="F71" s="23" t="s">
        <v>169</v>
      </c>
      <c r="G71" s="24" t="s">
        <v>116</v>
      </c>
      <c r="H71" s="24" t="s">
        <v>122</v>
      </c>
      <c r="I71" s="13" t="str">
        <f>IF(OR($B71="",$B71="Duplicate ID"),"",IFERROR(VLOOKUP($A71,'Use cases'!$A$5:$E$34,5,FALSE()),""))</f>
        <v>Progressive</v>
      </c>
      <c r="J71" s="11" t="str">
        <f>IF(OR($B71="",$B71="Duplicate ID"),"",IF(OR($F71="",$G71=""),"",IF(Policy!$B$24&lt;&gt;"OK","Config error",IFERROR(INDEX(Scales!$B$6:$B$10,1+INDEX(Policy!$C$5:$E$16,MATCH($F71&amp;"|"&amp;$G71,Policy!$G$5:$G$16,0),MATCH($I71,Policy!$C$4:$E$4,0))),"Config error"))))</f>
        <v>L2 AI-recommended</v>
      </c>
      <c r="K71" s="13">
        <f>IF($H71="","",IF($F71=Scales!$B$24,"exempt",IFERROR(IF(VLOOKUP($H71,Conf_Check,3,FALSE())="valid",VLOOKUP($H71,Conf_Adjust,2,FALSE()),"n/a"),"n/a")))</f>
        <v>-1</v>
      </c>
      <c r="L71" s="13">
        <f>IF(OR($J71="",$J71="Config error"),"",IF(OR($F71=Scales!$B$24,AND(ISNUMBER($K71),$K71=0)),4,IF(ISNUMBER($K71),MAX(1,MATCH($J71,Scales!$B$6:$B$10,0)-1+$K71),1)))</f>
        <v>1</v>
      </c>
      <c r="M71" s="5"/>
      <c r="N71" s="5"/>
      <c r="O71" s="8">
        <f>IF(OR($J71="",$J71="Config error",$E71="",$F71="",$G71="",$H71="",$R71=""),"",IF($M71="",MATCH($J71,Scales!$B$6:$B$10,0),IFERROR(MATCH($M71,Scales!$B$6:$B$10,0),MATCH($J71,Scales!$B$6:$B$10,0)))-1)</f>
        <v>2</v>
      </c>
      <c r="P71" s="12" t="str">
        <f>IF($J71="",IF(AND($B71&lt;&gt;"",$B71&lt;&gt;"Duplicate ID"),"Incomplete assessment",""),IF($J71="Config error","Config error",IF($O71="","Incomplete assessment",IF($M71="","As recommended",IF(ISERROR(MATCH($M71,Scales!$B$6:$B$10,0)),"Invalid choice",IF(MATCH($M71,Scales!$B$6:$B$10,0)&gt;MATCH($J71,Scales!$B$6:$B$10,0),"Above policy: needs sign-off",IF(MATCH($M71,Scales!$B$6:$B$10,0)&lt;MATCH($J71,Scales!$B$6:$B$10,0),"More cautious than policy","As recommended")))))))</f>
        <v>As recommended</v>
      </c>
      <c r="Q71" s="13">
        <f>IF(OR($O71="",Policy!$B$24&lt;&gt;"OK"),"",IFERROR(MIN($O71,INDEX(Policy!$C$5:$E$16,MATCH($F71&amp;"|"&amp;Scales!$B$33,Policy!$G$5:$G$16,0),MATCH($I71,Policy!$C$4:$E$4,0))),""))</f>
        <v>2</v>
      </c>
      <c r="R71" s="5">
        <v>1</v>
      </c>
      <c r="S71" s="13" t="str">
        <f>IF($B71="","",IF(COUNTIF('Readiness gate'!$A$7:$A$36,$A71)&lt;&gt;1,"Incomplete",IFERROR(IF(VLOOKUP($A71,GateTab,IF($F71=Scales!$B$24,11,9),FALSE())="","Incomplete",VLOOKUP($A71,GateTab,IF($F71=Scales!$B$24,11,9),FALSE())),"Incomplete")))</f>
        <v>Not passed</v>
      </c>
      <c r="T71" s="8">
        <f>IF($O71="","",MIN(IF(AND($O71&gt;MATCH($J71,Scales!$B$6:$B$10,0)-1,$N71&lt;&gt;"Yes"),MATCH($J71,Scales!$B$6:$B$10,0)-1,$O71),$L71,IF($F71=Scales!$B$24,IF($S71="Passed",4,IF(NOT(ISNUMBER($R71)),0,IF(OR($R71&lt;0,$R71&gt;4,$R71&lt;&gt;INT($R71)),0,$R71))),IF(NOT(ISNUMBER($R71)),0,IF(OR($R71&lt;0,$R71&gt;4,$R71&lt;&gt;INT($R71)),0,$R71))+IF($S71="Passed",1,0)),IF(AND($F71&lt;&gt;Scales!$B$24,OR($F71=Scales!$B$27,$G71=Scales!$B$33)),3,4)))</f>
        <v>1</v>
      </c>
      <c r="U71" s="13" t="str">
        <f>IF($O71="",IF(AND($B71&lt;&gt;"",$B71&lt;&gt;"Duplicate ID"),IF($J71="Config error","Config error","Incomplete assessment"),""),IF($T71&gt;=$O71,IF(LEFT($P71,4)="More","Own choice","None"),MID(IF(AND($O71&gt;MATCH($J71,Scales!$B$6:$B$10,0)-1,$N71&lt;&gt;"Yes",$T71=MATCH($J71,Scales!$B$6:$B$10,0)-1)," + Exception not approved","")&amp;IF(AND($F71&lt;&gt;Scales!$B$24,OR($F71=Scales!$B$27,$G71=Scales!$B$33),$T71=3)," + Human-signature guardrail","")&amp;IF($T71=$L71," + Model confidence","")&amp;IF($T71=IF($F71=Scales!$B$24,IF($S71="Passed",4,IF(NOT(ISNUMBER($R71)),0,IF(OR($R71&lt;0,$R71&gt;4,$R71&lt;&gt;INT($R71)),0,$R71))),IF(NOT(ISNUMBER($R71)),0,IF(OR($R71&lt;0,$R71&gt;4,$R71&lt;&gt;INT($R71)),0,$R71))+IF($S71="Passed",1,0))," + "&amp;IF($S71&lt;&gt;"Passed","Readiness gate","Readiness gate (one level per gate)"),""),4,200)))</f>
        <v>Model confidence + Readiness gate</v>
      </c>
      <c r="V71" s="23"/>
    </row>
    <row r="72" spans="1:22" x14ac:dyDescent="0.25">
      <c r="A72" s="8" t="s">
        <v>199</v>
      </c>
      <c r="B72" s="11" t="str">
        <f>IF($A72="","",IF(COUNTIF('Use cases'!$A$5:$A$34,$A72)&gt;1,"Duplicate ID",IFERROR(IF(VLOOKUP($A72,'Use cases'!$A$5:$B$34,2,FALSE())=0,"",VLOOKUP($A72,'Use cases'!$A$5:$B$34,2,FALSE())),"")))</f>
        <v>Unusual SaaS sharing</v>
      </c>
      <c r="C72" s="12" t="str">
        <f>IF(OR($B72="",$B72="Duplicate ID"),"",IFERROR(VLOOKUP($A72,'Use cases'!$A$5:$C$34,3,FALSE()),""))</f>
        <v>Data</v>
      </c>
      <c r="D72" s="13" t="s">
        <v>112</v>
      </c>
      <c r="E72" s="23" t="s">
        <v>200</v>
      </c>
      <c r="F72" s="23" t="s">
        <v>114</v>
      </c>
      <c r="G72" s="24" t="s">
        <v>115</v>
      </c>
      <c r="H72" s="24" t="s">
        <v>116</v>
      </c>
      <c r="I72" s="13" t="str">
        <f>IF(OR($B72="",$B72="Duplicate ID"),"",IFERROR(VLOOKUP($A72,'Use cases'!$A$5:$E$34,5,FALSE()),""))</f>
        <v>Progressive</v>
      </c>
      <c r="J72" s="11" t="str">
        <f>IF(OR($B72="",$B72="Duplicate ID"),"",IF(OR($F72="",$G72=""),"",IF(Policy!$B$24&lt;&gt;"OK","Config error",IFERROR(INDEX(Scales!$B$6:$B$10,1+INDEX(Policy!$C$5:$E$16,MATCH($F72&amp;"|"&amp;$G72,Policy!$G$5:$G$16,0),MATCH($I72,Policy!$C$4:$E$4,0))),"Config error"))))</f>
        <v>L4 Autonomous</v>
      </c>
      <c r="K72" s="13" t="str">
        <f>IF($H72="","",IF($F72=Scales!$B$24,"exempt",IFERROR(IF(VLOOKUP($H72,Conf_Check,3,FALSE())="valid",VLOOKUP($H72,Conf_Adjust,2,FALSE()),"n/a"),"n/a")))</f>
        <v>exempt</v>
      </c>
      <c r="L72" s="13">
        <f>IF(OR($J72="",$J72="Config error"),"",IF(OR($F72=Scales!$B$24,AND(ISNUMBER($K72),$K72=0)),4,IF(ISNUMBER($K72),MAX(1,MATCH($J72,Scales!$B$6:$B$10,0)-1+$K72),1)))</f>
        <v>4</v>
      </c>
      <c r="M72" s="5"/>
      <c r="N72" s="5"/>
      <c r="O72" s="8">
        <f>IF(OR($J72="",$J72="Config error",$E72="",$F72="",$G72="",$H72="",$R72=""),"",IF($M72="",MATCH($J72,Scales!$B$6:$B$10,0),IFERROR(MATCH($M72,Scales!$B$6:$B$10,0),MATCH($J72,Scales!$B$6:$B$10,0)))-1)</f>
        <v>4</v>
      </c>
      <c r="P72" s="12" t="str">
        <f>IF($J72="",IF(AND($B72&lt;&gt;"",$B72&lt;&gt;"Duplicate ID"),"Incomplete assessment",""),IF($J72="Config error","Config error",IF($O72="","Incomplete assessment",IF($M72="","As recommended",IF(ISERROR(MATCH($M72,Scales!$B$6:$B$10,0)),"Invalid choice",IF(MATCH($M72,Scales!$B$6:$B$10,0)&gt;MATCH($J72,Scales!$B$6:$B$10,0),"Above policy: needs sign-off",IF(MATCH($M72,Scales!$B$6:$B$10,0)&lt;MATCH($J72,Scales!$B$6:$B$10,0),"More cautious than policy","As recommended")))))))</f>
        <v>As recommended</v>
      </c>
      <c r="Q72" s="13">
        <f>IF(OR($O72="",Policy!$B$24&lt;&gt;"OK"),"",IFERROR(MIN($O72,INDEX(Policy!$C$5:$E$16,MATCH($F72&amp;"|"&amp;Scales!$B$33,Policy!$G$5:$G$16,0),MATCH($I72,Policy!$C$4:$E$4,0))),""))</f>
        <v>4</v>
      </c>
      <c r="R72" s="5">
        <v>1</v>
      </c>
      <c r="S72" s="13" t="str">
        <f>IF($B72="","",IF(COUNTIF('Readiness gate'!$A$7:$A$36,$A72)&lt;&gt;1,"Incomplete",IFERROR(IF(VLOOKUP($A72,GateTab,IF($F72=Scales!$B$24,11,9),FALSE())="","Incomplete",VLOOKUP($A72,GateTab,IF($F72=Scales!$B$24,11,9),FALSE())),"Incomplete")))</f>
        <v>Not passed</v>
      </c>
      <c r="T72" s="8">
        <f>IF($O72="","",MIN(IF(AND($O72&gt;MATCH($J72,Scales!$B$6:$B$10,0)-1,$N72&lt;&gt;"Yes"),MATCH($J72,Scales!$B$6:$B$10,0)-1,$O72),$L72,IF($F72=Scales!$B$24,IF($S72="Passed",4,IF(NOT(ISNUMBER($R72)),0,IF(OR($R72&lt;0,$R72&gt;4,$R72&lt;&gt;INT($R72)),0,$R72))),IF(NOT(ISNUMBER($R72)),0,IF(OR($R72&lt;0,$R72&gt;4,$R72&lt;&gt;INT($R72)),0,$R72))+IF($S72="Passed",1,0)),IF(AND($F72&lt;&gt;Scales!$B$24,OR($F72=Scales!$B$27,$G72=Scales!$B$33)),3,4)))</f>
        <v>1</v>
      </c>
      <c r="U72" s="13" t="str">
        <f>IF($O72="",IF(AND($B72&lt;&gt;"",$B72&lt;&gt;"Duplicate ID"),IF($J72="Config error","Config error","Incomplete assessment"),""),IF($T72&gt;=$O72,IF(LEFT($P72,4)="More","Own choice","None"),MID(IF(AND($O72&gt;MATCH($J72,Scales!$B$6:$B$10,0)-1,$N72&lt;&gt;"Yes",$T72=MATCH($J72,Scales!$B$6:$B$10,0)-1)," + Exception not approved","")&amp;IF(AND($F72&lt;&gt;Scales!$B$24,OR($F72=Scales!$B$27,$G72=Scales!$B$33),$T72=3)," + Human-signature guardrail","")&amp;IF($T72=$L72," + Model confidence","")&amp;IF($T72=IF($F72=Scales!$B$24,IF($S72="Passed",4,IF(NOT(ISNUMBER($R72)),0,IF(OR($R72&lt;0,$R72&gt;4,$R72&lt;&gt;INT($R72)),0,$R72))),IF(NOT(ISNUMBER($R72)),0,IF(OR($R72&lt;0,$R72&gt;4,$R72&lt;&gt;INT($R72)),0,$R72))+IF($S72="Passed",1,0))," + "&amp;IF($S72&lt;&gt;"Passed","Readiness gate","Readiness gate (one level per gate)"),""),4,200)))</f>
        <v>Readiness gate</v>
      </c>
      <c r="V72" s="23"/>
    </row>
    <row r="73" spans="1:22" x14ac:dyDescent="0.25">
      <c r="A73" s="8" t="s">
        <v>199</v>
      </c>
      <c r="B73" s="11" t="str">
        <f>IF($A73="","",IF(COUNTIF('Use cases'!$A$5:$A$34,$A73)&gt;1,"Duplicate ID",IFERROR(IF(VLOOKUP($A73,'Use cases'!$A$5:$B$34,2,FALSE())=0,"",VLOOKUP($A73,'Use cases'!$A$5:$B$34,2,FALSE())),"")))</f>
        <v>Unusual SaaS sharing</v>
      </c>
      <c r="C73" s="12" t="str">
        <f>IF(OR($B73="",$B73="Duplicate ID"),"",IFERROR(VLOOKUP($A73,'Use cases'!$A$5:$C$34,3,FALSE()),""))</f>
        <v>Data</v>
      </c>
      <c r="D73" s="13" t="s">
        <v>117</v>
      </c>
      <c r="E73" s="23" t="s">
        <v>201</v>
      </c>
      <c r="F73" s="23" t="s">
        <v>119</v>
      </c>
      <c r="G73" s="24" t="s">
        <v>115</v>
      </c>
      <c r="H73" s="24" t="s">
        <v>122</v>
      </c>
      <c r="I73" s="13" t="str">
        <f>IF(OR($B73="",$B73="Duplicate ID"),"",IFERROR(VLOOKUP($A73,'Use cases'!$A$5:$E$34,5,FALSE()),""))</f>
        <v>Progressive</v>
      </c>
      <c r="J73" s="11" t="str">
        <f>IF(OR($B73="",$B73="Duplicate ID"),"",IF(OR($F73="",$G73=""),"",IF(Policy!$B$24&lt;&gt;"OK","Config error",IFERROR(INDEX(Scales!$B$6:$B$10,1+INDEX(Policy!$C$5:$E$16,MATCH($F73&amp;"|"&amp;$G73,Policy!$G$5:$G$16,0),MATCH($I73,Policy!$C$4:$E$4,0))),"Config error"))))</f>
        <v>L4 Autonomous</v>
      </c>
      <c r="K73" s="13">
        <f>IF($H73="","",IF($F73=Scales!$B$24,"exempt",IFERROR(IF(VLOOKUP($H73,Conf_Check,3,FALSE())="valid",VLOOKUP($H73,Conf_Adjust,2,FALSE()),"n/a"),"n/a")))</f>
        <v>-1</v>
      </c>
      <c r="L73" s="13">
        <f>IF(OR($J73="",$J73="Config error"),"",IF(OR($F73=Scales!$B$24,AND(ISNUMBER($K73),$K73=0)),4,IF(ISNUMBER($K73),MAX(1,MATCH($J73,Scales!$B$6:$B$10,0)-1+$K73),1)))</f>
        <v>3</v>
      </c>
      <c r="M73" s="5"/>
      <c r="N73" s="5"/>
      <c r="O73" s="8">
        <f>IF(OR($J73="",$J73="Config error",$E73="",$F73="",$G73="",$H73="",$R73=""),"",IF($M73="",MATCH($J73,Scales!$B$6:$B$10,0),IFERROR(MATCH($M73,Scales!$B$6:$B$10,0),MATCH($J73,Scales!$B$6:$B$10,0)))-1)</f>
        <v>4</v>
      </c>
      <c r="P73" s="12" t="str">
        <f>IF($J73="",IF(AND($B73&lt;&gt;"",$B73&lt;&gt;"Duplicate ID"),"Incomplete assessment",""),IF($J73="Config error","Config error",IF($O73="","Incomplete assessment",IF($M73="","As recommended",IF(ISERROR(MATCH($M73,Scales!$B$6:$B$10,0)),"Invalid choice",IF(MATCH($M73,Scales!$B$6:$B$10,0)&gt;MATCH($J73,Scales!$B$6:$B$10,0),"Above policy: needs sign-off",IF(MATCH($M73,Scales!$B$6:$B$10,0)&lt;MATCH($J73,Scales!$B$6:$B$10,0),"More cautious than policy","As recommended")))))))</f>
        <v>As recommended</v>
      </c>
      <c r="Q73" s="13">
        <f>IF(OR($O73="",Policy!$B$24&lt;&gt;"OK"),"",IFERROR(MIN($O73,INDEX(Policy!$C$5:$E$16,MATCH($F73&amp;"|"&amp;Scales!$B$33,Policy!$G$5:$G$16,0),MATCH($I73,Policy!$C$4:$E$4,0))),""))</f>
        <v>3</v>
      </c>
      <c r="R73" s="5">
        <v>1</v>
      </c>
      <c r="S73" s="13" t="str">
        <f>IF($B73="","",IF(COUNTIF('Readiness gate'!$A$7:$A$36,$A73)&lt;&gt;1,"Incomplete",IFERROR(IF(VLOOKUP($A73,GateTab,IF($F73=Scales!$B$24,11,9),FALSE())="","Incomplete",VLOOKUP($A73,GateTab,IF($F73=Scales!$B$24,11,9),FALSE())),"Incomplete")))</f>
        <v>Not passed</v>
      </c>
      <c r="T73" s="8">
        <f>IF($O73="","",MIN(IF(AND($O73&gt;MATCH($J73,Scales!$B$6:$B$10,0)-1,$N73&lt;&gt;"Yes"),MATCH($J73,Scales!$B$6:$B$10,0)-1,$O73),$L73,IF($F73=Scales!$B$24,IF($S73="Passed",4,IF(NOT(ISNUMBER($R73)),0,IF(OR($R73&lt;0,$R73&gt;4,$R73&lt;&gt;INT($R73)),0,$R73))),IF(NOT(ISNUMBER($R73)),0,IF(OR($R73&lt;0,$R73&gt;4,$R73&lt;&gt;INT($R73)),0,$R73))+IF($S73="Passed",1,0)),IF(AND($F73&lt;&gt;Scales!$B$24,OR($F73=Scales!$B$27,$G73=Scales!$B$33)),3,4)))</f>
        <v>1</v>
      </c>
      <c r="U73" s="13" t="str">
        <f>IF($O73="",IF(AND($B73&lt;&gt;"",$B73&lt;&gt;"Duplicate ID"),IF($J73="Config error","Config error","Incomplete assessment"),""),IF($T73&gt;=$O73,IF(LEFT($P73,4)="More","Own choice","None"),MID(IF(AND($O73&gt;MATCH($J73,Scales!$B$6:$B$10,0)-1,$N73&lt;&gt;"Yes",$T73=MATCH($J73,Scales!$B$6:$B$10,0)-1)," + Exception not approved","")&amp;IF(AND($F73&lt;&gt;Scales!$B$24,OR($F73=Scales!$B$27,$G73=Scales!$B$33),$T73=3)," + Human-signature guardrail","")&amp;IF($T73=$L73," + Model confidence","")&amp;IF($T73=IF($F73=Scales!$B$24,IF($S73="Passed",4,IF(NOT(ISNUMBER($R73)),0,IF(OR($R73&lt;0,$R73&gt;4,$R73&lt;&gt;INT($R73)),0,$R73))),IF(NOT(ISNUMBER($R73)),0,IF(OR($R73&lt;0,$R73&gt;4,$R73&lt;&gt;INT($R73)),0,$R73))+IF($S73="Passed",1,0))," + "&amp;IF($S73&lt;&gt;"Passed","Readiness gate","Readiness gate (one level per gate)"),""),4,200)))</f>
        <v>Readiness gate</v>
      </c>
      <c r="V73" s="23"/>
    </row>
    <row r="74" spans="1:22" x14ac:dyDescent="0.25">
      <c r="A74" s="8" t="s">
        <v>199</v>
      </c>
      <c r="B74" s="11" t="str">
        <f>IF($A74="","",IF(COUNTIF('Use cases'!$A$5:$A$34,$A74)&gt;1,"Duplicate ID",IFERROR(IF(VLOOKUP($A74,'Use cases'!$A$5:$B$34,2,FALSE())=0,"",VLOOKUP($A74,'Use cases'!$A$5:$B$34,2,FALSE())),"")))</f>
        <v>Unusual SaaS sharing</v>
      </c>
      <c r="C74" s="12" t="str">
        <f>IF(OR($B74="",$B74="Duplicate ID"),"",IFERROR(VLOOKUP($A74,'Use cases'!$A$5:$C$34,3,FALSE()),""))</f>
        <v>Data</v>
      </c>
      <c r="D74" s="13" t="s">
        <v>120</v>
      </c>
      <c r="E74" s="23" t="s">
        <v>202</v>
      </c>
      <c r="F74" s="23" t="s">
        <v>119</v>
      </c>
      <c r="G74" s="24" t="s">
        <v>115</v>
      </c>
      <c r="H74" s="24" t="s">
        <v>116</v>
      </c>
      <c r="I74" s="13" t="str">
        <f>IF(OR($B74="",$B74="Duplicate ID"),"",IFERROR(VLOOKUP($A74,'Use cases'!$A$5:$E$34,5,FALSE()),""))</f>
        <v>Progressive</v>
      </c>
      <c r="J74" s="11" t="str">
        <f>IF(OR($B74="",$B74="Duplicate ID"),"",IF(OR($F74="",$G74=""),"",IF(Policy!$B$24&lt;&gt;"OK","Config error",IFERROR(INDEX(Scales!$B$6:$B$10,1+INDEX(Policy!$C$5:$E$16,MATCH($F74&amp;"|"&amp;$G74,Policy!$G$5:$G$16,0),MATCH($I74,Policy!$C$4:$E$4,0))),"Config error"))))</f>
        <v>L4 Autonomous</v>
      </c>
      <c r="K74" s="13">
        <f>IF($H74="","",IF($F74=Scales!$B$24,"exempt",IFERROR(IF(VLOOKUP($H74,Conf_Check,3,FALSE())="valid",VLOOKUP($H74,Conf_Adjust,2,FALSE()),"n/a"),"n/a")))</f>
        <v>0</v>
      </c>
      <c r="L74" s="13">
        <f>IF(OR($J74="",$J74="Config error"),"",IF(OR($F74=Scales!$B$24,AND(ISNUMBER($K74),$K74=0)),4,IF(ISNUMBER($K74),MAX(1,MATCH($J74,Scales!$B$6:$B$10,0)-1+$K74),1)))</f>
        <v>4</v>
      </c>
      <c r="M74" s="5"/>
      <c r="N74" s="5"/>
      <c r="O74" s="8">
        <f>IF(OR($J74="",$J74="Config error",$E74="",$F74="",$G74="",$H74="",$R74=""),"",IF($M74="",MATCH($J74,Scales!$B$6:$B$10,0),IFERROR(MATCH($M74,Scales!$B$6:$B$10,0),MATCH($J74,Scales!$B$6:$B$10,0)))-1)</f>
        <v>4</v>
      </c>
      <c r="P74" s="12" t="str">
        <f>IF($J74="",IF(AND($B74&lt;&gt;"",$B74&lt;&gt;"Duplicate ID"),"Incomplete assessment",""),IF($J74="Config error","Config error",IF($O74="","Incomplete assessment",IF($M74="","As recommended",IF(ISERROR(MATCH($M74,Scales!$B$6:$B$10,0)),"Invalid choice",IF(MATCH($M74,Scales!$B$6:$B$10,0)&gt;MATCH($J74,Scales!$B$6:$B$10,0),"Above policy: needs sign-off",IF(MATCH($M74,Scales!$B$6:$B$10,0)&lt;MATCH($J74,Scales!$B$6:$B$10,0),"More cautious than policy","As recommended")))))))</f>
        <v>As recommended</v>
      </c>
      <c r="Q74" s="13">
        <f>IF(OR($O74="",Policy!$B$24&lt;&gt;"OK"),"",IFERROR(MIN($O74,INDEX(Policy!$C$5:$E$16,MATCH($F74&amp;"|"&amp;Scales!$B$33,Policy!$G$5:$G$16,0),MATCH($I74,Policy!$C$4:$E$4,0))),""))</f>
        <v>3</v>
      </c>
      <c r="R74" s="5">
        <v>2</v>
      </c>
      <c r="S74" s="13" t="str">
        <f>IF($B74="","",IF(COUNTIF('Readiness gate'!$A$7:$A$36,$A74)&lt;&gt;1,"Incomplete",IFERROR(IF(VLOOKUP($A74,GateTab,IF($F74=Scales!$B$24,11,9),FALSE())="","Incomplete",VLOOKUP($A74,GateTab,IF($F74=Scales!$B$24,11,9),FALSE())),"Incomplete")))</f>
        <v>Not passed</v>
      </c>
      <c r="T74" s="8">
        <f>IF($O74="","",MIN(IF(AND($O74&gt;MATCH($J74,Scales!$B$6:$B$10,0)-1,$N74&lt;&gt;"Yes"),MATCH($J74,Scales!$B$6:$B$10,0)-1,$O74),$L74,IF($F74=Scales!$B$24,IF($S74="Passed",4,IF(NOT(ISNUMBER($R74)),0,IF(OR($R74&lt;0,$R74&gt;4,$R74&lt;&gt;INT($R74)),0,$R74))),IF(NOT(ISNUMBER($R74)),0,IF(OR($R74&lt;0,$R74&gt;4,$R74&lt;&gt;INT($R74)),0,$R74))+IF($S74="Passed",1,0)),IF(AND($F74&lt;&gt;Scales!$B$24,OR($F74=Scales!$B$27,$G74=Scales!$B$33)),3,4)))</f>
        <v>2</v>
      </c>
      <c r="U74" s="13" t="str">
        <f>IF($O74="",IF(AND($B74&lt;&gt;"",$B74&lt;&gt;"Duplicate ID"),IF($J74="Config error","Config error","Incomplete assessment"),""),IF($T74&gt;=$O74,IF(LEFT($P74,4)="More","Own choice","None"),MID(IF(AND($O74&gt;MATCH($J74,Scales!$B$6:$B$10,0)-1,$N74&lt;&gt;"Yes",$T74=MATCH($J74,Scales!$B$6:$B$10,0)-1)," + Exception not approved","")&amp;IF(AND($F74&lt;&gt;Scales!$B$24,OR($F74=Scales!$B$27,$G74=Scales!$B$33),$T74=3)," + Human-signature guardrail","")&amp;IF($T74=$L74," + Model confidence","")&amp;IF($T74=IF($F74=Scales!$B$24,IF($S74="Passed",4,IF(NOT(ISNUMBER($R74)),0,IF(OR($R74&lt;0,$R74&gt;4,$R74&lt;&gt;INT($R74)),0,$R74))),IF(NOT(ISNUMBER($R74)),0,IF(OR($R74&lt;0,$R74&gt;4,$R74&lt;&gt;INT($R74)),0,$R74))+IF($S74="Passed",1,0))," + "&amp;IF($S74&lt;&gt;"Passed","Readiness gate","Readiness gate (one level per gate)"),""),4,200)))</f>
        <v>Readiness gate</v>
      </c>
      <c r="V74" s="23"/>
    </row>
    <row r="75" spans="1:22" x14ac:dyDescent="0.25">
      <c r="A75" s="8" t="s">
        <v>199</v>
      </c>
      <c r="B75" s="11" t="str">
        <f>IF($A75="","",IF(COUNTIF('Use cases'!$A$5:$A$34,$A75)&gt;1,"Duplicate ID",IFERROR(IF(VLOOKUP($A75,'Use cases'!$A$5:$B$34,2,FALSE())=0,"",VLOOKUP($A75,'Use cases'!$A$5:$B$34,2,FALSE())),"")))</f>
        <v>Unusual SaaS sharing</v>
      </c>
      <c r="C75" s="12" t="str">
        <f>IF(OR($B75="",$B75="Duplicate ID"),"",IFERROR(VLOOKUP($A75,'Use cases'!$A$5:$C$34,3,FALSE()),""))</f>
        <v>Data</v>
      </c>
      <c r="D75" s="13" t="s">
        <v>123</v>
      </c>
      <c r="E75" s="23" t="s">
        <v>203</v>
      </c>
      <c r="F75" s="23" t="s">
        <v>134</v>
      </c>
      <c r="G75" s="24" t="s">
        <v>115</v>
      </c>
      <c r="H75" s="24" t="s">
        <v>122</v>
      </c>
      <c r="I75" s="13" t="str">
        <f>IF(OR($B75="",$B75="Duplicate ID"),"",IFERROR(VLOOKUP($A75,'Use cases'!$A$5:$E$34,5,FALSE()),""))</f>
        <v>Progressive</v>
      </c>
      <c r="J75" s="11" t="str">
        <f>IF(OR($B75="",$B75="Duplicate ID"),"",IF(OR($F75="",$G75=""),"",IF(Policy!$B$24&lt;&gt;"OK","Config error",IFERROR(INDEX(Scales!$B$6:$B$10,1+INDEX(Policy!$C$5:$E$16,MATCH($F75&amp;"|"&amp;$G75,Policy!$G$5:$G$16,0),MATCH($I75,Policy!$C$4:$E$4,0))),"Config error"))))</f>
        <v>L4 Autonomous</v>
      </c>
      <c r="K75" s="13">
        <f>IF($H75="","",IF($F75=Scales!$B$24,"exempt",IFERROR(IF(VLOOKUP($H75,Conf_Check,3,FALSE())="valid",VLOOKUP($H75,Conf_Adjust,2,FALSE()),"n/a"),"n/a")))</f>
        <v>-1</v>
      </c>
      <c r="L75" s="13">
        <f>IF(OR($J75="",$J75="Config error"),"",IF(OR($F75=Scales!$B$24,AND(ISNUMBER($K75),$K75=0)),4,IF(ISNUMBER($K75),MAX(1,MATCH($J75,Scales!$B$6:$B$10,0)-1+$K75),1)))</f>
        <v>3</v>
      </c>
      <c r="M75" s="5"/>
      <c r="N75" s="5"/>
      <c r="O75" s="8">
        <f>IF(OR($J75="",$J75="Config error",$E75="",$F75="",$G75="",$H75="",$R75=""),"",IF($M75="",MATCH($J75,Scales!$B$6:$B$10,0),IFERROR(MATCH($M75,Scales!$B$6:$B$10,0),MATCH($J75,Scales!$B$6:$B$10,0)))-1)</f>
        <v>4</v>
      </c>
      <c r="P75" s="12" t="str">
        <f>IF($J75="",IF(AND($B75&lt;&gt;"",$B75&lt;&gt;"Duplicate ID"),"Incomplete assessment",""),IF($J75="Config error","Config error",IF($O75="","Incomplete assessment",IF($M75="","As recommended",IF(ISERROR(MATCH($M75,Scales!$B$6:$B$10,0)),"Invalid choice",IF(MATCH($M75,Scales!$B$6:$B$10,0)&gt;MATCH($J75,Scales!$B$6:$B$10,0),"Above policy: needs sign-off",IF(MATCH($M75,Scales!$B$6:$B$10,0)&lt;MATCH($J75,Scales!$B$6:$B$10,0),"More cautious than policy","As recommended")))))))</f>
        <v>As recommended</v>
      </c>
      <c r="Q75" s="13">
        <f>IF(OR($O75="",Policy!$B$24&lt;&gt;"OK"),"",IFERROR(MIN($O75,INDEX(Policy!$C$5:$E$16,MATCH($F75&amp;"|"&amp;Scales!$B$33,Policy!$G$5:$G$16,0),MATCH($I75,Policy!$C$4:$E$4,0))),""))</f>
        <v>3</v>
      </c>
      <c r="R75" s="5">
        <v>1</v>
      </c>
      <c r="S75" s="13" t="str">
        <f>IF($B75="","",IF(COUNTIF('Readiness gate'!$A$7:$A$36,$A75)&lt;&gt;1,"Incomplete",IFERROR(IF(VLOOKUP($A75,GateTab,IF($F75=Scales!$B$24,11,9),FALSE())="","Incomplete",VLOOKUP($A75,GateTab,IF($F75=Scales!$B$24,11,9),FALSE())),"Incomplete")))</f>
        <v>Not passed</v>
      </c>
      <c r="T75" s="8">
        <f>IF($O75="","",MIN(IF(AND($O75&gt;MATCH($J75,Scales!$B$6:$B$10,0)-1,$N75&lt;&gt;"Yes"),MATCH($J75,Scales!$B$6:$B$10,0)-1,$O75),$L75,IF($F75=Scales!$B$24,IF($S75="Passed",4,IF(NOT(ISNUMBER($R75)),0,IF(OR($R75&lt;0,$R75&gt;4,$R75&lt;&gt;INT($R75)),0,$R75))),IF(NOT(ISNUMBER($R75)),0,IF(OR($R75&lt;0,$R75&gt;4,$R75&lt;&gt;INT($R75)),0,$R75))+IF($S75="Passed",1,0)),IF(AND($F75&lt;&gt;Scales!$B$24,OR($F75=Scales!$B$27,$G75=Scales!$B$33)),3,4)))</f>
        <v>1</v>
      </c>
      <c r="U75" s="13" t="str">
        <f>IF($O75="",IF(AND($B75&lt;&gt;"",$B75&lt;&gt;"Duplicate ID"),IF($J75="Config error","Config error","Incomplete assessment"),""),IF($T75&gt;=$O75,IF(LEFT($P75,4)="More","Own choice","None"),MID(IF(AND($O75&gt;MATCH($J75,Scales!$B$6:$B$10,0)-1,$N75&lt;&gt;"Yes",$T75=MATCH($J75,Scales!$B$6:$B$10,0)-1)," + Exception not approved","")&amp;IF(AND($F75&lt;&gt;Scales!$B$24,OR($F75=Scales!$B$27,$G75=Scales!$B$33),$T75=3)," + Human-signature guardrail","")&amp;IF($T75=$L75," + Model confidence","")&amp;IF($T75=IF($F75=Scales!$B$24,IF($S75="Passed",4,IF(NOT(ISNUMBER($R75)),0,IF(OR($R75&lt;0,$R75&gt;4,$R75&lt;&gt;INT($R75)),0,$R75))),IF(NOT(ISNUMBER($R75)),0,IF(OR($R75&lt;0,$R75&gt;4,$R75&lt;&gt;INT($R75)),0,$R75))+IF($S75="Passed",1,0))," + "&amp;IF($S75&lt;&gt;"Passed","Readiness gate","Readiness gate (one level per gate)"),""),4,200)))</f>
        <v>Readiness gate</v>
      </c>
      <c r="V75" s="23"/>
    </row>
    <row r="76" spans="1:22" x14ac:dyDescent="0.25">
      <c r="A76" s="8" t="s">
        <v>199</v>
      </c>
      <c r="B76" s="11" t="str">
        <f>IF($A76="","",IF(COUNTIF('Use cases'!$A$5:$A$34,$A76)&gt;1,"Duplicate ID",IFERROR(IF(VLOOKUP($A76,'Use cases'!$A$5:$B$34,2,FALSE())=0,"",VLOOKUP($A76,'Use cases'!$A$5:$B$34,2,FALSE())),"")))</f>
        <v>Unusual SaaS sharing</v>
      </c>
      <c r="C76" s="12" t="str">
        <f>IF(OR($B76="",$B76="Duplicate ID"),"",IFERROR(VLOOKUP($A76,'Use cases'!$A$5:$C$34,3,FALSE()),""))</f>
        <v>Data</v>
      </c>
      <c r="D76" s="13" t="s">
        <v>125</v>
      </c>
      <c r="E76" s="23" t="s">
        <v>204</v>
      </c>
      <c r="F76" s="23" t="s">
        <v>119</v>
      </c>
      <c r="G76" s="24" t="s">
        <v>115</v>
      </c>
      <c r="H76" s="24" t="s">
        <v>122</v>
      </c>
      <c r="I76" s="13" t="str">
        <f>IF(OR($B76="",$B76="Duplicate ID"),"",IFERROR(VLOOKUP($A76,'Use cases'!$A$5:$E$34,5,FALSE()),""))</f>
        <v>Progressive</v>
      </c>
      <c r="J76" s="11" t="str">
        <f>IF(OR($B76="",$B76="Duplicate ID"),"",IF(OR($F76="",$G76=""),"",IF(Policy!$B$24&lt;&gt;"OK","Config error",IFERROR(INDEX(Scales!$B$6:$B$10,1+INDEX(Policy!$C$5:$E$16,MATCH($F76&amp;"|"&amp;$G76,Policy!$G$5:$G$16,0),MATCH($I76,Policy!$C$4:$E$4,0))),"Config error"))))</f>
        <v>L4 Autonomous</v>
      </c>
      <c r="K76" s="13">
        <f>IF($H76="","",IF($F76=Scales!$B$24,"exempt",IFERROR(IF(VLOOKUP($H76,Conf_Check,3,FALSE())="valid",VLOOKUP($H76,Conf_Adjust,2,FALSE()),"n/a"),"n/a")))</f>
        <v>-1</v>
      </c>
      <c r="L76" s="13">
        <f>IF(OR($J76="",$J76="Config error"),"",IF(OR($F76=Scales!$B$24,AND(ISNUMBER($K76),$K76=0)),4,IF(ISNUMBER($K76),MAX(1,MATCH($J76,Scales!$B$6:$B$10,0)-1+$K76),1)))</f>
        <v>3</v>
      </c>
      <c r="M76" s="5"/>
      <c r="N76" s="5"/>
      <c r="O76" s="8">
        <f>IF(OR($J76="",$J76="Config error",$E76="",$F76="",$G76="",$H76="",$R76=""),"",IF($M76="",MATCH($J76,Scales!$B$6:$B$10,0),IFERROR(MATCH($M76,Scales!$B$6:$B$10,0),MATCH($J76,Scales!$B$6:$B$10,0)))-1)</f>
        <v>4</v>
      </c>
      <c r="P76" s="12" t="str">
        <f>IF($J76="",IF(AND($B76&lt;&gt;"",$B76&lt;&gt;"Duplicate ID"),"Incomplete assessment",""),IF($J76="Config error","Config error",IF($O76="","Incomplete assessment",IF($M76="","As recommended",IF(ISERROR(MATCH($M76,Scales!$B$6:$B$10,0)),"Invalid choice",IF(MATCH($M76,Scales!$B$6:$B$10,0)&gt;MATCH($J76,Scales!$B$6:$B$10,0),"Above policy: needs sign-off",IF(MATCH($M76,Scales!$B$6:$B$10,0)&lt;MATCH($J76,Scales!$B$6:$B$10,0),"More cautious than policy","As recommended")))))))</f>
        <v>As recommended</v>
      </c>
      <c r="Q76" s="13">
        <f>IF(OR($O76="",Policy!$B$24&lt;&gt;"OK"),"",IFERROR(MIN($O76,INDEX(Policy!$C$5:$E$16,MATCH($F76&amp;"|"&amp;Scales!$B$33,Policy!$G$5:$G$16,0),MATCH($I76,Policy!$C$4:$E$4,0))),""))</f>
        <v>3</v>
      </c>
      <c r="R76" s="5">
        <v>1</v>
      </c>
      <c r="S76" s="13" t="str">
        <f>IF($B76="","",IF(COUNTIF('Readiness gate'!$A$7:$A$36,$A76)&lt;&gt;1,"Incomplete",IFERROR(IF(VLOOKUP($A76,GateTab,IF($F76=Scales!$B$24,11,9),FALSE())="","Incomplete",VLOOKUP($A76,GateTab,IF($F76=Scales!$B$24,11,9),FALSE())),"Incomplete")))</f>
        <v>Not passed</v>
      </c>
      <c r="T76" s="8">
        <f>IF($O76="","",MIN(IF(AND($O76&gt;MATCH($J76,Scales!$B$6:$B$10,0)-1,$N76&lt;&gt;"Yes"),MATCH($J76,Scales!$B$6:$B$10,0)-1,$O76),$L76,IF($F76=Scales!$B$24,IF($S76="Passed",4,IF(NOT(ISNUMBER($R76)),0,IF(OR($R76&lt;0,$R76&gt;4,$R76&lt;&gt;INT($R76)),0,$R76))),IF(NOT(ISNUMBER($R76)),0,IF(OR($R76&lt;0,$R76&gt;4,$R76&lt;&gt;INT($R76)),0,$R76))+IF($S76="Passed",1,0)),IF(AND($F76&lt;&gt;Scales!$B$24,OR($F76=Scales!$B$27,$G76=Scales!$B$33)),3,4)))</f>
        <v>1</v>
      </c>
      <c r="U76" s="13" t="str">
        <f>IF($O76="",IF(AND($B76&lt;&gt;"",$B76&lt;&gt;"Duplicate ID"),IF($J76="Config error","Config error","Incomplete assessment"),""),IF($T76&gt;=$O76,IF(LEFT($P76,4)="More","Own choice","None"),MID(IF(AND($O76&gt;MATCH($J76,Scales!$B$6:$B$10,0)-1,$N76&lt;&gt;"Yes",$T76=MATCH($J76,Scales!$B$6:$B$10,0)-1)," + Exception not approved","")&amp;IF(AND($F76&lt;&gt;Scales!$B$24,OR($F76=Scales!$B$27,$G76=Scales!$B$33),$T76=3)," + Human-signature guardrail","")&amp;IF($T76=$L76," + Model confidence","")&amp;IF($T76=IF($F76=Scales!$B$24,IF($S76="Passed",4,IF(NOT(ISNUMBER($R76)),0,IF(OR($R76&lt;0,$R76&gt;4,$R76&lt;&gt;INT($R76)),0,$R76))),IF(NOT(ISNUMBER($R76)),0,IF(OR($R76&lt;0,$R76&gt;4,$R76&lt;&gt;INT($R76)),0,$R76))+IF($S76="Passed",1,0))," + "&amp;IF($S76&lt;&gt;"Passed","Readiness gate","Readiness gate (one level per gate)"),""),4,200)))</f>
        <v>Readiness gate</v>
      </c>
      <c r="V76" s="23"/>
    </row>
    <row r="77" spans="1:22" x14ac:dyDescent="0.25">
      <c r="A77" s="8" t="s">
        <v>199</v>
      </c>
      <c r="B77" s="11" t="str">
        <f>IF($A77="","",IF(COUNTIF('Use cases'!$A$5:$A$34,$A77)&gt;1,"Duplicate ID",IFERROR(IF(VLOOKUP($A77,'Use cases'!$A$5:$B$34,2,FALSE())=0,"",VLOOKUP($A77,'Use cases'!$A$5:$B$34,2,FALSE())),"")))</f>
        <v>Unusual SaaS sharing</v>
      </c>
      <c r="C77" s="12" t="str">
        <f>IF(OR($B77="",$B77="Duplicate ID"),"",IFERROR(VLOOKUP($A77,'Use cases'!$A$5:$C$34,3,FALSE()),""))</f>
        <v>Data</v>
      </c>
      <c r="D77" s="13" t="s">
        <v>127</v>
      </c>
      <c r="E77" s="23" t="s">
        <v>205</v>
      </c>
      <c r="F77" s="23" t="s">
        <v>119</v>
      </c>
      <c r="G77" s="24" t="s">
        <v>115</v>
      </c>
      <c r="H77" s="24" t="s">
        <v>116</v>
      </c>
      <c r="I77" s="13" t="str">
        <f>IF(OR($B77="",$B77="Duplicate ID"),"",IFERROR(VLOOKUP($A77,'Use cases'!$A$5:$E$34,5,FALSE()),""))</f>
        <v>Progressive</v>
      </c>
      <c r="J77" s="11" t="str">
        <f>IF(OR($B77="",$B77="Duplicate ID"),"",IF(OR($F77="",$G77=""),"",IF(Policy!$B$24&lt;&gt;"OK","Config error",IFERROR(INDEX(Scales!$B$6:$B$10,1+INDEX(Policy!$C$5:$E$16,MATCH($F77&amp;"|"&amp;$G77,Policy!$G$5:$G$16,0),MATCH($I77,Policy!$C$4:$E$4,0))),"Config error"))))</f>
        <v>L4 Autonomous</v>
      </c>
      <c r="K77" s="13">
        <f>IF($H77="","",IF($F77=Scales!$B$24,"exempt",IFERROR(IF(VLOOKUP($H77,Conf_Check,3,FALSE())="valid",VLOOKUP($H77,Conf_Adjust,2,FALSE()),"n/a"),"n/a")))</f>
        <v>0</v>
      </c>
      <c r="L77" s="13">
        <f>IF(OR($J77="",$J77="Config error"),"",IF(OR($F77=Scales!$B$24,AND(ISNUMBER($K77),$K77=0)),4,IF(ISNUMBER($K77),MAX(1,MATCH($J77,Scales!$B$6:$B$10,0)-1+$K77),1)))</f>
        <v>4</v>
      </c>
      <c r="M77" s="5"/>
      <c r="N77" s="5"/>
      <c r="O77" s="8">
        <f>IF(OR($J77="",$J77="Config error",$E77="",$F77="",$G77="",$H77="",$R77=""),"",IF($M77="",MATCH($J77,Scales!$B$6:$B$10,0),IFERROR(MATCH($M77,Scales!$B$6:$B$10,0),MATCH($J77,Scales!$B$6:$B$10,0)))-1)</f>
        <v>4</v>
      </c>
      <c r="P77" s="12" t="str">
        <f>IF($J77="",IF(AND($B77&lt;&gt;"",$B77&lt;&gt;"Duplicate ID"),"Incomplete assessment",""),IF($J77="Config error","Config error",IF($O77="","Incomplete assessment",IF($M77="","As recommended",IF(ISERROR(MATCH($M77,Scales!$B$6:$B$10,0)),"Invalid choice",IF(MATCH($M77,Scales!$B$6:$B$10,0)&gt;MATCH($J77,Scales!$B$6:$B$10,0),"Above policy: needs sign-off",IF(MATCH($M77,Scales!$B$6:$B$10,0)&lt;MATCH($J77,Scales!$B$6:$B$10,0),"More cautious than policy","As recommended")))))))</f>
        <v>As recommended</v>
      </c>
      <c r="Q77" s="13">
        <f>IF(OR($O77="",Policy!$B$24&lt;&gt;"OK"),"",IFERROR(MIN($O77,INDEX(Policy!$C$5:$E$16,MATCH($F77&amp;"|"&amp;Scales!$B$33,Policy!$G$5:$G$16,0),MATCH($I77,Policy!$C$4:$E$4,0))),""))</f>
        <v>3</v>
      </c>
      <c r="R77" s="5">
        <v>1</v>
      </c>
      <c r="S77" s="13" t="str">
        <f>IF($B77="","",IF(COUNTIF('Readiness gate'!$A$7:$A$36,$A77)&lt;&gt;1,"Incomplete",IFERROR(IF(VLOOKUP($A77,GateTab,IF($F77=Scales!$B$24,11,9),FALSE())="","Incomplete",VLOOKUP($A77,GateTab,IF($F77=Scales!$B$24,11,9),FALSE())),"Incomplete")))</f>
        <v>Not passed</v>
      </c>
      <c r="T77" s="8">
        <f>IF($O77="","",MIN(IF(AND($O77&gt;MATCH($J77,Scales!$B$6:$B$10,0)-1,$N77&lt;&gt;"Yes"),MATCH($J77,Scales!$B$6:$B$10,0)-1,$O77),$L77,IF($F77=Scales!$B$24,IF($S77="Passed",4,IF(NOT(ISNUMBER($R77)),0,IF(OR($R77&lt;0,$R77&gt;4,$R77&lt;&gt;INT($R77)),0,$R77))),IF(NOT(ISNUMBER($R77)),0,IF(OR($R77&lt;0,$R77&gt;4,$R77&lt;&gt;INT($R77)),0,$R77))+IF($S77="Passed",1,0)),IF(AND($F77&lt;&gt;Scales!$B$24,OR($F77=Scales!$B$27,$G77=Scales!$B$33)),3,4)))</f>
        <v>1</v>
      </c>
      <c r="U77" s="13" t="str">
        <f>IF($O77="",IF(AND($B77&lt;&gt;"",$B77&lt;&gt;"Duplicate ID"),IF($J77="Config error","Config error","Incomplete assessment"),""),IF($T77&gt;=$O77,IF(LEFT($P77,4)="More","Own choice","None"),MID(IF(AND($O77&gt;MATCH($J77,Scales!$B$6:$B$10,0)-1,$N77&lt;&gt;"Yes",$T77=MATCH($J77,Scales!$B$6:$B$10,0)-1)," + Exception not approved","")&amp;IF(AND($F77&lt;&gt;Scales!$B$24,OR($F77=Scales!$B$27,$G77=Scales!$B$33),$T77=3)," + Human-signature guardrail","")&amp;IF($T77=$L77," + Model confidence","")&amp;IF($T77=IF($F77=Scales!$B$24,IF($S77="Passed",4,IF(NOT(ISNUMBER($R77)),0,IF(OR($R77&lt;0,$R77&gt;4,$R77&lt;&gt;INT($R77)),0,$R77))),IF(NOT(ISNUMBER($R77)),0,IF(OR($R77&lt;0,$R77&gt;4,$R77&lt;&gt;INT($R77)),0,$R77))+IF($S77="Passed",1,0))," + "&amp;IF($S77&lt;&gt;"Passed","Readiness gate","Readiness gate (one level per gate)"),""),4,200)))</f>
        <v>Readiness gate</v>
      </c>
      <c r="V77" s="23"/>
    </row>
    <row r="78" spans="1:22" x14ac:dyDescent="0.25">
      <c r="A78" s="8" t="s">
        <v>206</v>
      </c>
      <c r="B78" s="11" t="str">
        <f>IF($A78="","",IF(COUNTIF('Use cases'!$A$5:$A$34,$A78)&gt;1,"Duplicate ID",IFERROR(IF(VLOOKUP($A78,'Use cases'!$A$5:$B$34,2,FALSE())=0,"",VLOOKUP($A78,'Use cases'!$A$5:$B$34,2,FALSE())),"")))</f>
        <v>Cloud key leak</v>
      </c>
      <c r="C78" s="12" t="str">
        <f>IF(OR($B78="",$B78="Duplicate ID"),"",IFERROR(VLOOKUP($A78,'Use cases'!$A$5:$C$34,3,FALSE()),""))</f>
        <v>Cloud</v>
      </c>
      <c r="D78" s="13" t="s">
        <v>112</v>
      </c>
      <c r="E78" s="23" t="s">
        <v>207</v>
      </c>
      <c r="F78" s="23" t="s">
        <v>114</v>
      </c>
      <c r="G78" s="24" t="s">
        <v>115</v>
      </c>
      <c r="H78" s="24" t="s">
        <v>116</v>
      </c>
      <c r="I78" s="13" t="str">
        <f>IF(OR($B78="",$B78="Duplicate ID"),"",IFERROR(VLOOKUP($A78,'Use cases'!$A$5:$E$34,5,FALSE()),""))</f>
        <v>Progressive</v>
      </c>
      <c r="J78" s="11" t="str">
        <f>IF(OR($B78="",$B78="Duplicate ID"),"",IF(OR($F78="",$G78=""),"",IF(Policy!$B$24&lt;&gt;"OK","Config error",IFERROR(INDEX(Scales!$B$6:$B$10,1+INDEX(Policy!$C$5:$E$16,MATCH($F78&amp;"|"&amp;$G78,Policy!$G$5:$G$16,0),MATCH($I78,Policy!$C$4:$E$4,0))),"Config error"))))</f>
        <v>L4 Autonomous</v>
      </c>
      <c r="K78" s="13" t="str">
        <f>IF($H78="","",IF($F78=Scales!$B$24,"exempt",IFERROR(IF(VLOOKUP($H78,Conf_Check,3,FALSE())="valid",VLOOKUP($H78,Conf_Adjust,2,FALSE()),"n/a"),"n/a")))</f>
        <v>exempt</v>
      </c>
      <c r="L78" s="13">
        <f>IF(OR($J78="",$J78="Config error"),"",IF(OR($F78=Scales!$B$24,AND(ISNUMBER($K78),$K78=0)),4,IF(ISNUMBER($K78),MAX(1,MATCH($J78,Scales!$B$6:$B$10,0)-1+$K78),1)))</f>
        <v>4</v>
      </c>
      <c r="M78" s="5"/>
      <c r="N78" s="5"/>
      <c r="O78" s="8">
        <f>IF(OR($J78="",$J78="Config error",$E78="",$F78="",$G78="",$H78="",$R78=""),"",IF($M78="",MATCH($J78,Scales!$B$6:$B$10,0),IFERROR(MATCH($M78,Scales!$B$6:$B$10,0),MATCH($J78,Scales!$B$6:$B$10,0)))-1)</f>
        <v>4</v>
      </c>
      <c r="P78" s="12" t="str">
        <f>IF($J78="",IF(AND($B78&lt;&gt;"",$B78&lt;&gt;"Duplicate ID"),"Incomplete assessment",""),IF($J78="Config error","Config error",IF($O78="","Incomplete assessment",IF($M78="","As recommended",IF(ISERROR(MATCH($M78,Scales!$B$6:$B$10,0)),"Invalid choice",IF(MATCH($M78,Scales!$B$6:$B$10,0)&gt;MATCH($J78,Scales!$B$6:$B$10,0),"Above policy: needs sign-off",IF(MATCH($M78,Scales!$B$6:$B$10,0)&lt;MATCH($J78,Scales!$B$6:$B$10,0),"More cautious than policy","As recommended")))))))</f>
        <v>As recommended</v>
      </c>
      <c r="Q78" s="13">
        <f>IF(OR($O78="",Policy!$B$24&lt;&gt;"OK"),"",IFERROR(MIN($O78,INDEX(Policy!$C$5:$E$16,MATCH($F78&amp;"|"&amp;Scales!$B$33,Policy!$G$5:$G$16,0),MATCH($I78,Policy!$C$4:$E$4,0))),""))</f>
        <v>4</v>
      </c>
      <c r="R78" s="5">
        <v>1</v>
      </c>
      <c r="S78" s="13" t="str">
        <f>IF($B78="","",IF(COUNTIF('Readiness gate'!$A$7:$A$36,$A78)&lt;&gt;1,"Incomplete",IFERROR(IF(VLOOKUP($A78,GateTab,IF($F78=Scales!$B$24,11,9),FALSE())="","Incomplete",VLOOKUP($A78,GateTab,IF($F78=Scales!$B$24,11,9),FALSE())),"Incomplete")))</f>
        <v>Passed</v>
      </c>
      <c r="T78" s="8">
        <f>IF($O78="","",MIN(IF(AND($O78&gt;MATCH($J78,Scales!$B$6:$B$10,0)-1,$N78&lt;&gt;"Yes"),MATCH($J78,Scales!$B$6:$B$10,0)-1,$O78),$L78,IF($F78=Scales!$B$24,IF($S78="Passed",4,IF(NOT(ISNUMBER($R78)),0,IF(OR($R78&lt;0,$R78&gt;4,$R78&lt;&gt;INT($R78)),0,$R78))),IF(NOT(ISNUMBER($R78)),0,IF(OR($R78&lt;0,$R78&gt;4,$R78&lt;&gt;INT($R78)),0,$R78))+IF($S78="Passed",1,0)),IF(AND($F78&lt;&gt;Scales!$B$24,OR($F78=Scales!$B$27,$G78=Scales!$B$33)),3,4)))</f>
        <v>4</v>
      </c>
      <c r="U78" s="13" t="str">
        <f>IF($O78="",IF(AND($B78&lt;&gt;"",$B78&lt;&gt;"Duplicate ID"),IF($J78="Config error","Config error","Incomplete assessment"),""),IF($T78&gt;=$O78,IF(LEFT($P78,4)="More","Own choice","None"),MID(IF(AND($O78&gt;MATCH($J78,Scales!$B$6:$B$10,0)-1,$N78&lt;&gt;"Yes",$T78=MATCH($J78,Scales!$B$6:$B$10,0)-1)," + Exception not approved","")&amp;IF(AND($F78&lt;&gt;Scales!$B$24,OR($F78=Scales!$B$27,$G78=Scales!$B$33),$T78=3)," + Human-signature guardrail","")&amp;IF($T78=$L78," + Model confidence","")&amp;IF($T78=IF($F78=Scales!$B$24,IF($S78="Passed",4,IF(NOT(ISNUMBER($R78)),0,IF(OR($R78&lt;0,$R78&gt;4,$R78&lt;&gt;INT($R78)),0,$R78))),IF(NOT(ISNUMBER($R78)),0,IF(OR($R78&lt;0,$R78&gt;4,$R78&lt;&gt;INT($R78)),0,$R78))+IF($S78="Passed",1,0))," + "&amp;IF($S78&lt;&gt;"Passed","Readiness gate","Readiness gate (one level per gate)"),""),4,200)))</f>
        <v>None</v>
      </c>
      <c r="V78" s="23"/>
    </row>
    <row r="79" spans="1:22" x14ac:dyDescent="0.25">
      <c r="A79" s="8" t="s">
        <v>206</v>
      </c>
      <c r="B79" s="11" t="str">
        <f>IF($A79="","",IF(COUNTIF('Use cases'!$A$5:$A$34,$A79)&gt;1,"Duplicate ID",IFERROR(IF(VLOOKUP($A79,'Use cases'!$A$5:$B$34,2,FALSE())=0,"",VLOOKUP($A79,'Use cases'!$A$5:$B$34,2,FALSE())),"")))</f>
        <v>Cloud key leak</v>
      </c>
      <c r="C79" s="12" t="str">
        <f>IF(OR($B79="",$B79="Duplicate ID"),"",IFERROR(VLOOKUP($A79,'Use cases'!$A$5:$C$34,3,FALSE()),""))</f>
        <v>Cloud</v>
      </c>
      <c r="D79" s="13" t="s">
        <v>117</v>
      </c>
      <c r="E79" s="23" t="s">
        <v>208</v>
      </c>
      <c r="F79" s="23" t="s">
        <v>119</v>
      </c>
      <c r="G79" s="24" t="s">
        <v>115</v>
      </c>
      <c r="H79" s="24" t="s">
        <v>122</v>
      </c>
      <c r="I79" s="13" t="str">
        <f>IF(OR($B79="",$B79="Duplicate ID"),"",IFERROR(VLOOKUP($A79,'Use cases'!$A$5:$E$34,5,FALSE()),""))</f>
        <v>Progressive</v>
      </c>
      <c r="J79" s="11" t="str">
        <f>IF(OR($B79="",$B79="Duplicate ID"),"",IF(OR($F79="",$G79=""),"",IF(Policy!$B$24&lt;&gt;"OK","Config error",IFERROR(INDEX(Scales!$B$6:$B$10,1+INDEX(Policy!$C$5:$E$16,MATCH($F79&amp;"|"&amp;$G79,Policy!$G$5:$G$16,0),MATCH($I79,Policy!$C$4:$E$4,0))),"Config error"))))</f>
        <v>L4 Autonomous</v>
      </c>
      <c r="K79" s="13">
        <f>IF($H79="","",IF($F79=Scales!$B$24,"exempt",IFERROR(IF(VLOOKUP($H79,Conf_Check,3,FALSE())="valid",VLOOKUP($H79,Conf_Adjust,2,FALSE()),"n/a"),"n/a")))</f>
        <v>-1</v>
      </c>
      <c r="L79" s="13">
        <f>IF(OR($J79="",$J79="Config error"),"",IF(OR($F79=Scales!$B$24,AND(ISNUMBER($K79),$K79=0)),4,IF(ISNUMBER($K79),MAX(1,MATCH($J79,Scales!$B$6:$B$10,0)-1+$K79),1)))</f>
        <v>3</v>
      </c>
      <c r="M79" s="5"/>
      <c r="N79" s="5"/>
      <c r="O79" s="8">
        <f>IF(OR($J79="",$J79="Config error",$E79="",$F79="",$G79="",$H79="",$R79=""),"",IF($M79="",MATCH($J79,Scales!$B$6:$B$10,0),IFERROR(MATCH($M79,Scales!$B$6:$B$10,0),MATCH($J79,Scales!$B$6:$B$10,0)))-1)</f>
        <v>4</v>
      </c>
      <c r="P79" s="12" t="str">
        <f>IF($J79="",IF(AND($B79&lt;&gt;"",$B79&lt;&gt;"Duplicate ID"),"Incomplete assessment",""),IF($J79="Config error","Config error",IF($O79="","Incomplete assessment",IF($M79="","As recommended",IF(ISERROR(MATCH($M79,Scales!$B$6:$B$10,0)),"Invalid choice",IF(MATCH($M79,Scales!$B$6:$B$10,0)&gt;MATCH($J79,Scales!$B$6:$B$10,0),"Above policy: needs sign-off",IF(MATCH($M79,Scales!$B$6:$B$10,0)&lt;MATCH($J79,Scales!$B$6:$B$10,0),"More cautious than policy","As recommended")))))))</f>
        <v>As recommended</v>
      </c>
      <c r="Q79" s="13">
        <f>IF(OR($O79="",Policy!$B$24&lt;&gt;"OK"),"",IFERROR(MIN($O79,INDEX(Policy!$C$5:$E$16,MATCH($F79&amp;"|"&amp;Scales!$B$33,Policy!$G$5:$G$16,0),MATCH($I79,Policy!$C$4:$E$4,0))),""))</f>
        <v>3</v>
      </c>
      <c r="R79" s="5">
        <v>1</v>
      </c>
      <c r="S79" s="13" t="str">
        <f>IF($B79="","",IF(COUNTIF('Readiness gate'!$A$7:$A$36,$A79)&lt;&gt;1,"Incomplete",IFERROR(IF(VLOOKUP($A79,GateTab,IF($F79=Scales!$B$24,11,9),FALSE())="","Incomplete",VLOOKUP($A79,GateTab,IF($F79=Scales!$B$24,11,9),FALSE())),"Incomplete")))</f>
        <v>Passed</v>
      </c>
      <c r="T79" s="8">
        <f>IF($O79="","",MIN(IF(AND($O79&gt;MATCH($J79,Scales!$B$6:$B$10,0)-1,$N79&lt;&gt;"Yes"),MATCH($J79,Scales!$B$6:$B$10,0)-1,$O79),$L79,IF($F79=Scales!$B$24,IF($S79="Passed",4,IF(NOT(ISNUMBER($R79)),0,IF(OR($R79&lt;0,$R79&gt;4,$R79&lt;&gt;INT($R79)),0,$R79))),IF(NOT(ISNUMBER($R79)),0,IF(OR($R79&lt;0,$R79&gt;4,$R79&lt;&gt;INT($R79)),0,$R79))+IF($S79="Passed",1,0)),IF(AND($F79&lt;&gt;Scales!$B$24,OR($F79=Scales!$B$27,$G79=Scales!$B$33)),3,4)))</f>
        <v>2</v>
      </c>
      <c r="U79" s="13" t="str">
        <f>IF($O79="",IF(AND($B79&lt;&gt;"",$B79&lt;&gt;"Duplicate ID"),IF($J79="Config error","Config error","Incomplete assessment"),""),IF($T79&gt;=$O79,IF(LEFT($P79,4)="More","Own choice","None"),MID(IF(AND($O79&gt;MATCH($J79,Scales!$B$6:$B$10,0)-1,$N79&lt;&gt;"Yes",$T79=MATCH($J79,Scales!$B$6:$B$10,0)-1)," + Exception not approved","")&amp;IF(AND($F79&lt;&gt;Scales!$B$24,OR($F79=Scales!$B$27,$G79=Scales!$B$33),$T79=3)," + Human-signature guardrail","")&amp;IF($T79=$L79," + Model confidence","")&amp;IF($T79=IF($F79=Scales!$B$24,IF($S79="Passed",4,IF(NOT(ISNUMBER($R79)),0,IF(OR($R79&lt;0,$R79&gt;4,$R79&lt;&gt;INT($R79)),0,$R79))),IF(NOT(ISNUMBER($R79)),0,IF(OR($R79&lt;0,$R79&gt;4,$R79&lt;&gt;INT($R79)),0,$R79))+IF($S79="Passed",1,0))," + "&amp;IF($S79&lt;&gt;"Passed","Readiness gate","Readiness gate (one level per gate)"),""),4,200)))</f>
        <v>Readiness gate (one level per gate)</v>
      </c>
      <c r="V79" s="23"/>
    </row>
    <row r="80" spans="1:22" x14ac:dyDescent="0.25">
      <c r="A80" s="8" t="s">
        <v>206</v>
      </c>
      <c r="B80" s="11" t="str">
        <f>IF($A80="","",IF(COUNTIF('Use cases'!$A$5:$A$34,$A80)&gt;1,"Duplicate ID",IFERROR(IF(VLOOKUP($A80,'Use cases'!$A$5:$B$34,2,FALSE())=0,"",VLOOKUP($A80,'Use cases'!$A$5:$B$34,2,FALSE())),"")))</f>
        <v>Cloud key leak</v>
      </c>
      <c r="C80" s="12" t="str">
        <f>IF(OR($B80="",$B80="Duplicate ID"),"",IFERROR(VLOOKUP($A80,'Use cases'!$A$5:$C$34,3,FALSE()),""))</f>
        <v>Cloud</v>
      </c>
      <c r="D80" s="13" t="s">
        <v>120</v>
      </c>
      <c r="E80" s="23" t="s">
        <v>209</v>
      </c>
      <c r="F80" s="23" t="s">
        <v>119</v>
      </c>
      <c r="G80" s="24" t="s">
        <v>122</v>
      </c>
      <c r="H80" s="24" t="s">
        <v>116</v>
      </c>
      <c r="I80" s="13" t="str">
        <f>IF(OR($B80="",$B80="Duplicate ID"),"",IFERROR(VLOOKUP($A80,'Use cases'!$A$5:$E$34,5,FALSE()),""))</f>
        <v>Progressive</v>
      </c>
      <c r="J80" s="11" t="str">
        <f>IF(OR($B80="",$B80="Duplicate ID"),"",IF(OR($F80="",$G80=""),"",IF(Policy!$B$24&lt;&gt;"OK","Config error",IFERROR(INDEX(Scales!$B$6:$B$10,1+INDEX(Policy!$C$5:$E$16,MATCH($F80&amp;"|"&amp;$G80,Policy!$G$5:$G$16,0),MATCH($I80,Policy!$C$4:$E$4,0))),"Config error"))))</f>
        <v>L4 Autonomous</v>
      </c>
      <c r="K80" s="13">
        <f>IF($H80="","",IF($F80=Scales!$B$24,"exempt",IFERROR(IF(VLOOKUP($H80,Conf_Check,3,FALSE())="valid",VLOOKUP($H80,Conf_Adjust,2,FALSE()),"n/a"),"n/a")))</f>
        <v>0</v>
      </c>
      <c r="L80" s="13">
        <f>IF(OR($J80="",$J80="Config error"),"",IF(OR($F80=Scales!$B$24,AND(ISNUMBER($K80),$K80=0)),4,IF(ISNUMBER($K80),MAX(1,MATCH($J80,Scales!$B$6:$B$10,0)-1+$K80),1)))</f>
        <v>4</v>
      </c>
      <c r="M80" s="5"/>
      <c r="N80" s="5"/>
      <c r="O80" s="8">
        <f>IF(OR($J80="",$J80="Config error",$E80="",$F80="",$G80="",$H80="",$R80=""),"",IF($M80="",MATCH($J80,Scales!$B$6:$B$10,0),IFERROR(MATCH($M80,Scales!$B$6:$B$10,0),MATCH($J80,Scales!$B$6:$B$10,0)))-1)</f>
        <v>4</v>
      </c>
      <c r="P80" s="12" t="str">
        <f>IF($J80="",IF(AND($B80&lt;&gt;"",$B80&lt;&gt;"Duplicate ID"),"Incomplete assessment",""),IF($J80="Config error","Config error",IF($O80="","Incomplete assessment",IF($M80="","As recommended",IF(ISERROR(MATCH($M80,Scales!$B$6:$B$10,0)),"Invalid choice",IF(MATCH($M80,Scales!$B$6:$B$10,0)&gt;MATCH($J80,Scales!$B$6:$B$10,0),"Above policy: needs sign-off",IF(MATCH($M80,Scales!$B$6:$B$10,0)&lt;MATCH($J80,Scales!$B$6:$B$10,0),"More cautious than policy","As recommended")))))))</f>
        <v>As recommended</v>
      </c>
      <c r="Q80" s="13">
        <f>IF(OR($O80="",Policy!$B$24&lt;&gt;"OK"),"",IFERROR(MIN($O80,INDEX(Policy!$C$5:$E$16,MATCH($F80&amp;"|"&amp;Scales!$B$33,Policy!$G$5:$G$16,0),MATCH($I80,Policy!$C$4:$E$4,0))),""))</f>
        <v>3</v>
      </c>
      <c r="R80" s="5">
        <v>2</v>
      </c>
      <c r="S80" s="13" t="str">
        <f>IF($B80="","",IF(COUNTIF('Readiness gate'!$A$7:$A$36,$A80)&lt;&gt;1,"Incomplete",IFERROR(IF(VLOOKUP($A80,GateTab,IF($F80=Scales!$B$24,11,9),FALSE())="","Incomplete",VLOOKUP($A80,GateTab,IF($F80=Scales!$B$24,11,9),FALSE())),"Incomplete")))</f>
        <v>Passed</v>
      </c>
      <c r="T80" s="8">
        <f>IF($O80="","",MIN(IF(AND($O80&gt;MATCH($J80,Scales!$B$6:$B$10,0)-1,$N80&lt;&gt;"Yes"),MATCH($J80,Scales!$B$6:$B$10,0)-1,$O80),$L80,IF($F80=Scales!$B$24,IF($S80="Passed",4,IF(NOT(ISNUMBER($R80)),0,IF(OR($R80&lt;0,$R80&gt;4,$R80&lt;&gt;INT($R80)),0,$R80))),IF(NOT(ISNUMBER($R80)),0,IF(OR($R80&lt;0,$R80&gt;4,$R80&lt;&gt;INT($R80)),0,$R80))+IF($S80="Passed",1,0)),IF(AND($F80&lt;&gt;Scales!$B$24,OR($F80=Scales!$B$27,$G80=Scales!$B$33)),3,4)))</f>
        <v>3</v>
      </c>
      <c r="U80" s="13" t="str">
        <f>IF($O80="",IF(AND($B80&lt;&gt;"",$B80&lt;&gt;"Duplicate ID"),IF($J80="Config error","Config error","Incomplete assessment"),""),IF($T80&gt;=$O80,IF(LEFT($P80,4)="More","Own choice","None"),MID(IF(AND($O80&gt;MATCH($J80,Scales!$B$6:$B$10,0)-1,$N80&lt;&gt;"Yes",$T80=MATCH($J80,Scales!$B$6:$B$10,0)-1)," + Exception not approved","")&amp;IF(AND($F80&lt;&gt;Scales!$B$24,OR($F80=Scales!$B$27,$G80=Scales!$B$33),$T80=3)," + Human-signature guardrail","")&amp;IF($T80=$L80," + Model confidence","")&amp;IF($T80=IF($F80=Scales!$B$24,IF($S80="Passed",4,IF(NOT(ISNUMBER($R80)),0,IF(OR($R80&lt;0,$R80&gt;4,$R80&lt;&gt;INT($R80)),0,$R80))),IF(NOT(ISNUMBER($R80)),0,IF(OR($R80&lt;0,$R80&gt;4,$R80&lt;&gt;INT($R80)),0,$R80))+IF($S80="Passed",1,0))," + "&amp;IF($S80&lt;&gt;"Passed","Readiness gate","Readiness gate (one level per gate)"),""),4,200)))</f>
        <v>Readiness gate (one level per gate)</v>
      </c>
      <c r="V80" s="23"/>
    </row>
    <row r="81" spans="1:22" x14ac:dyDescent="0.25">
      <c r="A81" s="8" t="s">
        <v>206</v>
      </c>
      <c r="B81" s="11" t="str">
        <f>IF($A81="","",IF(COUNTIF('Use cases'!$A$5:$A$34,$A81)&gt;1,"Duplicate ID",IFERROR(IF(VLOOKUP($A81,'Use cases'!$A$5:$B$34,2,FALSE())=0,"",VLOOKUP($A81,'Use cases'!$A$5:$B$34,2,FALSE())),"")))</f>
        <v>Cloud key leak</v>
      </c>
      <c r="C81" s="12" t="str">
        <f>IF(OR($B81="",$B81="Duplicate ID"),"",IFERROR(VLOOKUP($A81,'Use cases'!$A$5:$C$34,3,FALSE()),""))</f>
        <v>Cloud</v>
      </c>
      <c r="D81" s="13" t="s">
        <v>123</v>
      </c>
      <c r="E81" s="23" t="s">
        <v>210</v>
      </c>
      <c r="F81" s="23" t="s">
        <v>134</v>
      </c>
      <c r="G81" s="24" t="s">
        <v>122</v>
      </c>
      <c r="H81" s="24" t="s">
        <v>122</v>
      </c>
      <c r="I81" s="13" t="str">
        <f>IF(OR($B81="",$B81="Duplicate ID"),"",IFERROR(VLOOKUP($A81,'Use cases'!$A$5:$E$34,5,FALSE()),""))</f>
        <v>Progressive</v>
      </c>
      <c r="J81" s="11" t="str">
        <f>IF(OR($B81="",$B81="Duplicate ID"),"",IF(OR($F81="",$G81=""),"",IF(Policy!$B$24&lt;&gt;"OK","Config error",IFERROR(INDEX(Scales!$B$6:$B$10,1+INDEX(Policy!$C$5:$E$16,MATCH($F81&amp;"|"&amp;$G81,Policy!$G$5:$G$16,0),MATCH($I81,Policy!$C$4:$E$4,0))),"Config error"))))</f>
        <v>L3 Human-approved</v>
      </c>
      <c r="K81" s="13">
        <f>IF($H81="","",IF($F81=Scales!$B$24,"exempt",IFERROR(IF(VLOOKUP($H81,Conf_Check,3,FALSE())="valid",VLOOKUP($H81,Conf_Adjust,2,FALSE()),"n/a"),"n/a")))</f>
        <v>-1</v>
      </c>
      <c r="L81" s="13">
        <f>IF(OR($J81="",$J81="Config error"),"",IF(OR($F81=Scales!$B$24,AND(ISNUMBER($K81),$K81=0)),4,IF(ISNUMBER($K81),MAX(1,MATCH($J81,Scales!$B$6:$B$10,0)-1+$K81),1)))</f>
        <v>2</v>
      </c>
      <c r="M81" s="5"/>
      <c r="N81" s="5"/>
      <c r="O81" s="8">
        <f>IF(OR($J81="",$J81="Config error",$E81="",$F81="",$G81="",$H81="",$R81=""),"",IF($M81="",MATCH($J81,Scales!$B$6:$B$10,0),IFERROR(MATCH($M81,Scales!$B$6:$B$10,0),MATCH($J81,Scales!$B$6:$B$10,0)))-1)</f>
        <v>3</v>
      </c>
      <c r="P81" s="12" t="str">
        <f>IF($J81="",IF(AND($B81&lt;&gt;"",$B81&lt;&gt;"Duplicate ID"),"Incomplete assessment",""),IF($J81="Config error","Config error",IF($O81="","Incomplete assessment",IF($M81="","As recommended",IF(ISERROR(MATCH($M81,Scales!$B$6:$B$10,0)),"Invalid choice",IF(MATCH($M81,Scales!$B$6:$B$10,0)&gt;MATCH($J81,Scales!$B$6:$B$10,0),"Above policy: needs sign-off",IF(MATCH($M81,Scales!$B$6:$B$10,0)&lt;MATCH($J81,Scales!$B$6:$B$10,0),"More cautious than policy","As recommended")))))))</f>
        <v>As recommended</v>
      </c>
      <c r="Q81" s="13">
        <f>IF(OR($O81="",Policy!$B$24&lt;&gt;"OK"),"",IFERROR(MIN($O81,INDEX(Policy!$C$5:$E$16,MATCH($F81&amp;"|"&amp;Scales!$B$33,Policy!$G$5:$G$16,0),MATCH($I81,Policy!$C$4:$E$4,0))),""))</f>
        <v>3</v>
      </c>
      <c r="R81" s="5">
        <v>1</v>
      </c>
      <c r="S81" s="13" t="str">
        <f>IF($B81="","",IF(COUNTIF('Readiness gate'!$A$7:$A$36,$A81)&lt;&gt;1,"Incomplete",IFERROR(IF(VLOOKUP($A81,GateTab,IF($F81=Scales!$B$24,11,9),FALSE())="","Incomplete",VLOOKUP($A81,GateTab,IF($F81=Scales!$B$24,11,9),FALSE())),"Incomplete")))</f>
        <v>Passed</v>
      </c>
      <c r="T81" s="8">
        <f>IF($O81="","",MIN(IF(AND($O81&gt;MATCH($J81,Scales!$B$6:$B$10,0)-1,$N81&lt;&gt;"Yes"),MATCH($J81,Scales!$B$6:$B$10,0)-1,$O81),$L81,IF($F81=Scales!$B$24,IF($S81="Passed",4,IF(NOT(ISNUMBER($R81)),0,IF(OR($R81&lt;0,$R81&gt;4,$R81&lt;&gt;INT($R81)),0,$R81))),IF(NOT(ISNUMBER($R81)),0,IF(OR($R81&lt;0,$R81&gt;4,$R81&lt;&gt;INT($R81)),0,$R81))+IF($S81="Passed",1,0)),IF(AND($F81&lt;&gt;Scales!$B$24,OR($F81=Scales!$B$27,$G81=Scales!$B$33)),3,4)))</f>
        <v>2</v>
      </c>
      <c r="U81" s="13" t="str">
        <f>IF($O81="",IF(AND($B81&lt;&gt;"",$B81&lt;&gt;"Duplicate ID"),IF($J81="Config error","Config error","Incomplete assessment"),""),IF($T81&gt;=$O81,IF(LEFT($P81,4)="More","Own choice","None"),MID(IF(AND($O81&gt;MATCH($J81,Scales!$B$6:$B$10,0)-1,$N81&lt;&gt;"Yes",$T81=MATCH($J81,Scales!$B$6:$B$10,0)-1)," + Exception not approved","")&amp;IF(AND($F81&lt;&gt;Scales!$B$24,OR($F81=Scales!$B$27,$G81=Scales!$B$33),$T81=3)," + Human-signature guardrail","")&amp;IF($T81=$L81," + Model confidence","")&amp;IF($T81=IF($F81=Scales!$B$24,IF($S81="Passed",4,IF(NOT(ISNUMBER($R81)),0,IF(OR($R81&lt;0,$R81&gt;4,$R81&lt;&gt;INT($R81)),0,$R81))),IF(NOT(ISNUMBER($R81)),0,IF(OR($R81&lt;0,$R81&gt;4,$R81&lt;&gt;INT($R81)),0,$R81))+IF($S81="Passed",1,0))," + "&amp;IF($S81&lt;&gt;"Passed","Readiness gate","Readiness gate (one level per gate)"),""),4,200)))</f>
        <v>Model confidence + Readiness gate (one level per gate)</v>
      </c>
      <c r="V81" s="23"/>
    </row>
    <row r="82" spans="1:22" x14ac:dyDescent="0.25">
      <c r="A82" s="8" t="s">
        <v>206</v>
      </c>
      <c r="B82" s="11" t="str">
        <f>IF($A82="","",IF(COUNTIF('Use cases'!$A$5:$A$34,$A82)&gt;1,"Duplicate ID",IFERROR(IF(VLOOKUP($A82,'Use cases'!$A$5:$B$34,2,FALSE())=0,"",VLOOKUP($A82,'Use cases'!$A$5:$B$34,2,FALSE())),"")))</f>
        <v>Cloud key leak</v>
      </c>
      <c r="C82" s="12" t="str">
        <f>IF(OR($B82="",$B82="Duplicate ID"),"",IFERROR(VLOOKUP($A82,'Use cases'!$A$5:$C$34,3,FALSE()),""))</f>
        <v>Cloud</v>
      </c>
      <c r="D82" s="13" t="s">
        <v>125</v>
      </c>
      <c r="E82" s="23" t="s">
        <v>211</v>
      </c>
      <c r="F82" s="23" t="s">
        <v>119</v>
      </c>
      <c r="G82" s="24" t="s">
        <v>122</v>
      </c>
      <c r="H82" s="24" t="s">
        <v>122</v>
      </c>
      <c r="I82" s="13" t="str">
        <f>IF(OR($B82="",$B82="Duplicate ID"),"",IFERROR(VLOOKUP($A82,'Use cases'!$A$5:$E$34,5,FALSE()),""))</f>
        <v>Progressive</v>
      </c>
      <c r="J82" s="11" t="str">
        <f>IF(OR($B82="",$B82="Duplicate ID"),"",IF(OR($F82="",$G82=""),"",IF(Policy!$B$24&lt;&gt;"OK","Config error",IFERROR(INDEX(Scales!$B$6:$B$10,1+INDEX(Policy!$C$5:$E$16,MATCH($F82&amp;"|"&amp;$G82,Policy!$G$5:$G$16,0),MATCH($I82,Policy!$C$4:$E$4,0))),"Config error"))))</f>
        <v>L4 Autonomous</v>
      </c>
      <c r="K82" s="13">
        <f>IF($H82="","",IF($F82=Scales!$B$24,"exempt",IFERROR(IF(VLOOKUP($H82,Conf_Check,3,FALSE())="valid",VLOOKUP($H82,Conf_Adjust,2,FALSE()),"n/a"),"n/a")))</f>
        <v>-1</v>
      </c>
      <c r="L82" s="13">
        <f>IF(OR($J82="",$J82="Config error"),"",IF(OR($F82=Scales!$B$24,AND(ISNUMBER($K82),$K82=0)),4,IF(ISNUMBER($K82),MAX(1,MATCH($J82,Scales!$B$6:$B$10,0)-1+$K82),1)))</f>
        <v>3</v>
      </c>
      <c r="M82" s="5"/>
      <c r="N82" s="5"/>
      <c r="O82" s="8">
        <f>IF(OR($J82="",$J82="Config error",$E82="",$F82="",$G82="",$H82="",$R82=""),"",IF($M82="",MATCH($J82,Scales!$B$6:$B$10,0),IFERROR(MATCH($M82,Scales!$B$6:$B$10,0),MATCH($J82,Scales!$B$6:$B$10,0)))-1)</f>
        <v>4</v>
      </c>
      <c r="P82" s="12" t="str">
        <f>IF($J82="",IF(AND($B82&lt;&gt;"",$B82&lt;&gt;"Duplicate ID"),"Incomplete assessment",""),IF($J82="Config error","Config error",IF($O82="","Incomplete assessment",IF($M82="","As recommended",IF(ISERROR(MATCH($M82,Scales!$B$6:$B$10,0)),"Invalid choice",IF(MATCH($M82,Scales!$B$6:$B$10,0)&gt;MATCH($J82,Scales!$B$6:$B$10,0),"Above policy: needs sign-off",IF(MATCH($M82,Scales!$B$6:$B$10,0)&lt;MATCH($J82,Scales!$B$6:$B$10,0),"More cautious than policy","As recommended")))))))</f>
        <v>As recommended</v>
      </c>
      <c r="Q82" s="13">
        <f>IF(OR($O82="",Policy!$B$24&lt;&gt;"OK"),"",IFERROR(MIN($O82,INDEX(Policy!$C$5:$E$16,MATCH($F82&amp;"|"&amp;Scales!$B$33,Policy!$G$5:$G$16,0),MATCH($I82,Policy!$C$4:$E$4,0))),""))</f>
        <v>3</v>
      </c>
      <c r="R82" s="5">
        <v>1</v>
      </c>
      <c r="S82" s="13" t="str">
        <f>IF($B82="","",IF(COUNTIF('Readiness gate'!$A$7:$A$36,$A82)&lt;&gt;1,"Incomplete",IFERROR(IF(VLOOKUP($A82,GateTab,IF($F82=Scales!$B$24,11,9),FALSE())="","Incomplete",VLOOKUP($A82,GateTab,IF($F82=Scales!$B$24,11,9),FALSE())),"Incomplete")))</f>
        <v>Passed</v>
      </c>
      <c r="T82" s="8">
        <f>IF($O82="","",MIN(IF(AND($O82&gt;MATCH($J82,Scales!$B$6:$B$10,0)-1,$N82&lt;&gt;"Yes"),MATCH($J82,Scales!$B$6:$B$10,0)-1,$O82),$L82,IF($F82=Scales!$B$24,IF($S82="Passed",4,IF(NOT(ISNUMBER($R82)),0,IF(OR($R82&lt;0,$R82&gt;4,$R82&lt;&gt;INT($R82)),0,$R82))),IF(NOT(ISNUMBER($R82)),0,IF(OR($R82&lt;0,$R82&gt;4,$R82&lt;&gt;INT($R82)),0,$R82))+IF($S82="Passed",1,0)),IF(AND($F82&lt;&gt;Scales!$B$24,OR($F82=Scales!$B$27,$G82=Scales!$B$33)),3,4)))</f>
        <v>2</v>
      </c>
      <c r="U82" s="13" t="str">
        <f>IF($O82="",IF(AND($B82&lt;&gt;"",$B82&lt;&gt;"Duplicate ID"),IF($J82="Config error","Config error","Incomplete assessment"),""),IF($T82&gt;=$O82,IF(LEFT($P82,4)="More","Own choice","None"),MID(IF(AND($O82&gt;MATCH($J82,Scales!$B$6:$B$10,0)-1,$N82&lt;&gt;"Yes",$T82=MATCH($J82,Scales!$B$6:$B$10,0)-1)," + Exception not approved","")&amp;IF(AND($F82&lt;&gt;Scales!$B$24,OR($F82=Scales!$B$27,$G82=Scales!$B$33),$T82=3)," + Human-signature guardrail","")&amp;IF($T82=$L82," + Model confidence","")&amp;IF($T82=IF($F82=Scales!$B$24,IF($S82="Passed",4,IF(NOT(ISNUMBER($R82)),0,IF(OR($R82&lt;0,$R82&gt;4,$R82&lt;&gt;INT($R82)),0,$R82))),IF(NOT(ISNUMBER($R82)),0,IF(OR($R82&lt;0,$R82&gt;4,$R82&lt;&gt;INT($R82)),0,$R82))+IF($S82="Passed",1,0))," + "&amp;IF($S82&lt;&gt;"Passed","Readiness gate","Readiness gate (one level per gate)"),""),4,200)))</f>
        <v>Readiness gate (one level per gate)</v>
      </c>
      <c r="V82" s="23"/>
    </row>
    <row r="83" spans="1:22" x14ac:dyDescent="0.25">
      <c r="A83" s="8" t="s">
        <v>206</v>
      </c>
      <c r="B83" s="11" t="str">
        <f>IF($A83="","",IF(COUNTIF('Use cases'!$A$5:$A$34,$A83)&gt;1,"Duplicate ID",IFERROR(IF(VLOOKUP($A83,'Use cases'!$A$5:$B$34,2,FALSE())=0,"",VLOOKUP($A83,'Use cases'!$A$5:$B$34,2,FALSE())),"")))</f>
        <v>Cloud key leak</v>
      </c>
      <c r="C83" s="12" t="str">
        <f>IF(OR($B83="",$B83="Duplicate ID"),"",IFERROR(VLOOKUP($A83,'Use cases'!$A$5:$C$34,3,FALSE()),""))</f>
        <v>Cloud</v>
      </c>
      <c r="D83" s="13" t="s">
        <v>127</v>
      </c>
      <c r="E83" s="23" t="s">
        <v>212</v>
      </c>
      <c r="F83" s="23" t="s">
        <v>119</v>
      </c>
      <c r="G83" s="24" t="s">
        <v>115</v>
      </c>
      <c r="H83" s="24" t="s">
        <v>122</v>
      </c>
      <c r="I83" s="13" t="str">
        <f>IF(OR($B83="",$B83="Duplicate ID"),"",IFERROR(VLOOKUP($A83,'Use cases'!$A$5:$E$34,5,FALSE()),""))</f>
        <v>Progressive</v>
      </c>
      <c r="J83" s="11" t="str">
        <f>IF(OR($B83="",$B83="Duplicate ID"),"",IF(OR($F83="",$G83=""),"",IF(Policy!$B$24&lt;&gt;"OK","Config error",IFERROR(INDEX(Scales!$B$6:$B$10,1+INDEX(Policy!$C$5:$E$16,MATCH($F83&amp;"|"&amp;$G83,Policy!$G$5:$G$16,0),MATCH($I83,Policy!$C$4:$E$4,0))),"Config error"))))</f>
        <v>L4 Autonomous</v>
      </c>
      <c r="K83" s="13">
        <f>IF($H83="","",IF($F83=Scales!$B$24,"exempt",IFERROR(IF(VLOOKUP($H83,Conf_Check,3,FALSE())="valid",VLOOKUP($H83,Conf_Adjust,2,FALSE()),"n/a"),"n/a")))</f>
        <v>-1</v>
      </c>
      <c r="L83" s="13">
        <f>IF(OR($J83="",$J83="Config error"),"",IF(OR($F83=Scales!$B$24,AND(ISNUMBER($K83),$K83=0)),4,IF(ISNUMBER($K83),MAX(1,MATCH($J83,Scales!$B$6:$B$10,0)-1+$K83),1)))</f>
        <v>3</v>
      </c>
      <c r="M83" s="5"/>
      <c r="N83" s="5"/>
      <c r="O83" s="8">
        <f>IF(OR($J83="",$J83="Config error",$E83="",$F83="",$G83="",$H83="",$R83=""),"",IF($M83="",MATCH($J83,Scales!$B$6:$B$10,0),IFERROR(MATCH($M83,Scales!$B$6:$B$10,0),MATCH($J83,Scales!$B$6:$B$10,0)))-1)</f>
        <v>4</v>
      </c>
      <c r="P83" s="12" t="str">
        <f>IF($J83="",IF(AND($B83&lt;&gt;"",$B83&lt;&gt;"Duplicate ID"),"Incomplete assessment",""),IF($J83="Config error","Config error",IF($O83="","Incomplete assessment",IF($M83="","As recommended",IF(ISERROR(MATCH($M83,Scales!$B$6:$B$10,0)),"Invalid choice",IF(MATCH($M83,Scales!$B$6:$B$10,0)&gt;MATCH($J83,Scales!$B$6:$B$10,0),"Above policy: needs sign-off",IF(MATCH($M83,Scales!$B$6:$B$10,0)&lt;MATCH($J83,Scales!$B$6:$B$10,0),"More cautious than policy","As recommended")))))))</f>
        <v>As recommended</v>
      </c>
      <c r="Q83" s="13">
        <f>IF(OR($O83="",Policy!$B$24&lt;&gt;"OK"),"",IFERROR(MIN($O83,INDEX(Policy!$C$5:$E$16,MATCH($F83&amp;"|"&amp;Scales!$B$33,Policy!$G$5:$G$16,0),MATCH($I83,Policy!$C$4:$E$4,0))),""))</f>
        <v>3</v>
      </c>
      <c r="R83" s="5">
        <v>1</v>
      </c>
      <c r="S83" s="13" t="str">
        <f>IF($B83="","",IF(COUNTIF('Readiness gate'!$A$7:$A$36,$A83)&lt;&gt;1,"Incomplete",IFERROR(IF(VLOOKUP($A83,GateTab,IF($F83=Scales!$B$24,11,9),FALSE())="","Incomplete",VLOOKUP($A83,GateTab,IF($F83=Scales!$B$24,11,9),FALSE())),"Incomplete")))</f>
        <v>Passed</v>
      </c>
      <c r="T83" s="8">
        <f>IF($O83="","",MIN(IF(AND($O83&gt;MATCH($J83,Scales!$B$6:$B$10,0)-1,$N83&lt;&gt;"Yes"),MATCH($J83,Scales!$B$6:$B$10,0)-1,$O83),$L83,IF($F83=Scales!$B$24,IF($S83="Passed",4,IF(NOT(ISNUMBER($R83)),0,IF(OR($R83&lt;0,$R83&gt;4,$R83&lt;&gt;INT($R83)),0,$R83))),IF(NOT(ISNUMBER($R83)),0,IF(OR($R83&lt;0,$R83&gt;4,$R83&lt;&gt;INT($R83)),0,$R83))+IF($S83="Passed",1,0)),IF(AND($F83&lt;&gt;Scales!$B$24,OR($F83=Scales!$B$27,$G83=Scales!$B$33)),3,4)))</f>
        <v>2</v>
      </c>
      <c r="U83" s="13" t="str">
        <f>IF($O83="",IF(AND($B83&lt;&gt;"",$B83&lt;&gt;"Duplicate ID"),IF($J83="Config error","Config error","Incomplete assessment"),""),IF($T83&gt;=$O83,IF(LEFT($P83,4)="More","Own choice","None"),MID(IF(AND($O83&gt;MATCH($J83,Scales!$B$6:$B$10,0)-1,$N83&lt;&gt;"Yes",$T83=MATCH($J83,Scales!$B$6:$B$10,0)-1)," + Exception not approved","")&amp;IF(AND($F83&lt;&gt;Scales!$B$24,OR($F83=Scales!$B$27,$G83=Scales!$B$33),$T83=3)," + Human-signature guardrail","")&amp;IF($T83=$L83," + Model confidence","")&amp;IF($T83=IF($F83=Scales!$B$24,IF($S83="Passed",4,IF(NOT(ISNUMBER($R83)),0,IF(OR($R83&lt;0,$R83&gt;4,$R83&lt;&gt;INT($R83)),0,$R83))),IF(NOT(ISNUMBER($R83)),0,IF(OR($R83&lt;0,$R83&gt;4,$R83&lt;&gt;INT($R83)),0,$R83))+IF($S83="Passed",1,0))," + "&amp;IF($S83&lt;&gt;"Passed","Readiness gate","Readiness gate (one level per gate)"),""),4,200)))</f>
        <v>Readiness gate (one level per gate)</v>
      </c>
      <c r="V83" s="23"/>
    </row>
    <row r="84" spans="1:22" x14ac:dyDescent="0.25">
      <c r="A84" s="8" t="s">
        <v>213</v>
      </c>
      <c r="B84" s="11" t="str">
        <f>IF($A84="","",IF(COUNTIF('Use cases'!$A$5:$A$34,$A84)&gt;1,"Duplicate ID",IFERROR(IF(VLOOKUP($A84,'Use cases'!$A$5:$B$34,2,FALSE())=0,"",VLOOKUP($A84,'Use cases'!$A$5:$B$34,2,FALSE())),"")))</f>
        <v>Public S3 or blob exposure</v>
      </c>
      <c r="C84" s="12" t="str">
        <f>IF(OR($B84="",$B84="Duplicate ID"),"",IFERROR(VLOOKUP($A84,'Use cases'!$A$5:$C$34,3,FALSE()),""))</f>
        <v>Cloud</v>
      </c>
      <c r="D84" s="13" t="s">
        <v>112</v>
      </c>
      <c r="E84" s="23" t="s">
        <v>214</v>
      </c>
      <c r="F84" s="23" t="s">
        <v>114</v>
      </c>
      <c r="G84" s="24" t="s">
        <v>115</v>
      </c>
      <c r="H84" s="24" t="s">
        <v>116</v>
      </c>
      <c r="I84" s="13" t="str">
        <f>IF(OR($B84="",$B84="Duplicate ID"),"",IFERROR(VLOOKUP($A84,'Use cases'!$A$5:$E$34,5,FALSE()),""))</f>
        <v>Progressive</v>
      </c>
      <c r="J84" s="11" t="str">
        <f>IF(OR($B84="",$B84="Duplicate ID"),"",IF(OR($F84="",$G84=""),"",IF(Policy!$B$24&lt;&gt;"OK","Config error",IFERROR(INDEX(Scales!$B$6:$B$10,1+INDEX(Policy!$C$5:$E$16,MATCH($F84&amp;"|"&amp;$G84,Policy!$G$5:$G$16,0),MATCH($I84,Policy!$C$4:$E$4,0))),"Config error"))))</f>
        <v>L4 Autonomous</v>
      </c>
      <c r="K84" s="13" t="str">
        <f>IF($H84="","",IF($F84=Scales!$B$24,"exempt",IFERROR(IF(VLOOKUP($H84,Conf_Check,3,FALSE())="valid",VLOOKUP($H84,Conf_Adjust,2,FALSE()),"n/a"),"n/a")))</f>
        <v>exempt</v>
      </c>
      <c r="L84" s="13">
        <f>IF(OR($J84="",$J84="Config error"),"",IF(OR($F84=Scales!$B$24,AND(ISNUMBER($K84),$K84=0)),4,IF(ISNUMBER($K84),MAX(1,MATCH($J84,Scales!$B$6:$B$10,0)-1+$K84),1)))</f>
        <v>4</v>
      </c>
      <c r="M84" s="5"/>
      <c r="N84" s="5"/>
      <c r="O84" s="8">
        <f>IF(OR($J84="",$J84="Config error",$E84="",$F84="",$G84="",$H84="",$R84=""),"",IF($M84="",MATCH($J84,Scales!$B$6:$B$10,0),IFERROR(MATCH($M84,Scales!$B$6:$B$10,0),MATCH($J84,Scales!$B$6:$B$10,0)))-1)</f>
        <v>4</v>
      </c>
      <c r="P84" s="12" t="str">
        <f>IF($J84="",IF(AND($B84&lt;&gt;"",$B84&lt;&gt;"Duplicate ID"),"Incomplete assessment",""),IF($J84="Config error","Config error",IF($O84="","Incomplete assessment",IF($M84="","As recommended",IF(ISERROR(MATCH($M84,Scales!$B$6:$B$10,0)),"Invalid choice",IF(MATCH($M84,Scales!$B$6:$B$10,0)&gt;MATCH($J84,Scales!$B$6:$B$10,0),"Above policy: needs sign-off",IF(MATCH($M84,Scales!$B$6:$B$10,0)&lt;MATCH($J84,Scales!$B$6:$B$10,0),"More cautious than policy","As recommended")))))))</f>
        <v>As recommended</v>
      </c>
      <c r="Q84" s="13">
        <f>IF(OR($O84="",Policy!$B$24&lt;&gt;"OK"),"",IFERROR(MIN($O84,INDEX(Policy!$C$5:$E$16,MATCH($F84&amp;"|"&amp;Scales!$B$33,Policy!$G$5:$G$16,0),MATCH($I84,Policy!$C$4:$E$4,0))),""))</f>
        <v>4</v>
      </c>
      <c r="R84" s="5">
        <v>1</v>
      </c>
      <c r="S84" s="13" t="str">
        <f>IF($B84="","",IF(COUNTIF('Readiness gate'!$A$7:$A$36,$A84)&lt;&gt;1,"Incomplete",IFERROR(IF(VLOOKUP($A84,GateTab,IF($F84=Scales!$B$24,11,9),FALSE())="","Incomplete",VLOOKUP($A84,GateTab,IF($F84=Scales!$B$24,11,9),FALSE())),"Incomplete")))</f>
        <v>Passed</v>
      </c>
      <c r="T84" s="8">
        <f>IF($O84="","",MIN(IF(AND($O84&gt;MATCH($J84,Scales!$B$6:$B$10,0)-1,$N84&lt;&gt;"Yes"),MATCH($J84,Scales!$B$6:$B$10,0)-1,$O84),$L84,IF($F84=Scales!$B$24,IF($S84="Passed",4,IF(NOT(ISNUMBER($R84)),0,IF(OR($R84&lt;0,$R84&gt;4,$R84&lt;&gt;INT($R84)),0,$R84))),IF(NOT(ISNUMBER($R84)),0,IF(OR($R84&lt;0,$R84&gt;4,$R84&lt;&gt;INT($R84)),0,$R84))+IF($S84="Passed",1,0)),IF(AND($F84&lt;&gt;Scales!$B$24,OR($F84=Scales!$B$27,$G84=Scales!$B$33)),3,4)))</f>
        <v>4</v>
      </c>
      <c r="U84" s="13" t="str">
        <f>IF($O84="",IF(AND($B84&lt;&gt;"",$B84&lt;&gt;"Duplicate ID"),IF($J84="Config error","Config error","Incomplete assessment"),""),IF($T84&gt;=$O84,IF(LEFT($P84,4)="More","Own choice","None"),MID(IF(AND($O84&gt;MATCH($J84,Scales!$B$6:$B$10,0)-1,$N84&lt;&gt;"Yes",$T84=MATCH($J84,Scales!$B$6:$B$10,0)-1)," + Exception not approved","")&amp;IF(AND($F84&lt;&gt;Scales!$B$24,OR($F84=Scales!$B$27,$G84=Scales!$B$33),$T84=3)," + Human-signature guardrail","")&amp;IF($T84=$L84," + Model confidence","")&amp;IF($T84=IF($F84=Scales!$B$24,IF($S84="Passed",4,IF(NOT(ISNUMBER($R84)),0,IF(OR($R84&lt;0,$R84&gt;4,$R84&lt;&gt;INT($R84)),0,$R84))),IF(NOT(ISNUMBER($R84)),0,IF(OR($R84&lt;0,$R84&gt;4,$R84&lt;&gt;INT($R84)),0,$R84))+IF($S84="Passed",1,0))," + "&amp;IF($S84&lt;&gt;"Passed","Readiness gate","Readiness gate (one level per gate)"),""),4,200)))</f>
        <v>None</v>
      </c>
      <c r="V84" s="23"/>
    </row>
    <row r="85" spans="1:22" x14ac:dyDescent="0.25">
      <c r="A85" s="8" t="s">
        <v>213</v>
      </c>
      <c r="B85" s="11" t="str">
        <f>IF($A85="","",IF(COUNTIF('Use cases'!$A$5:$A$34,$A85)&gt;1,"Duplicate ID",IFERROR(IF(VLOOKUP($A85,'Use cases'!$A$5:$B$34,2,FALSE())=0,"",VLOOKUP($A85,'Use cases'!$A$5:$B$34,2,FALSE())),"")))</f>
        <v>Public S3 or blob exposure</v>
      </c>
      <c r="C85" s="12" t="str">
        <f>IF(OR($B85="",$B85="Duplicate ID"),"",IFERROR(VLOOKUP($A85,'Use cases'!$A$5:$C$34,3,FALSE()),""))</f>
        <v>Cloud</v>
      </c>
      <c r="D85" s="13" t="s">
        <v>117</v>
      </c>
      <c r="E85" s="23" t="s">
        <v>215</v>
      </c>
      <c r="F85" s="23" t="s">
        <v>119</v>
      </c>
      <c r="G85" s="24" t="s">
        <v>115</v>
      </c>
      <c r="H85" s="24" t="s">
        <v>116</v>
      </c>
      <c r="I85" s="13" t="str">
        <f>IF(OR($B85="",$B85="Duplicate ID"),"",IFERROR(VLOOKUP($A85,'Use cases'!$A$5:$E$34,5,FALSE()),""))</f>
        <v>Progressive</v>
      </c>
      <c r="J85" s="11" t="str">
        <f>IF(OR($B85="",$B85="Duplicate ID"),"",IF(OR($F85="",$G85=""),"",IF(Policy!$B$24&lt;&gt;"OK","Config error",IFERROR(INDEX(Scales!$B$6:$B$10,1+INDEX(Policy!$C$5:$E$16,MATCH($F85&amp;"|"&amp;$G85,Policy!$G$5:$G$16,0),MATCH($I85,Policy!$C$4:$E$4,0))),"Config error"))))</f>
        <v>L4 Autonomous</v>
      </c>
      <c r="K85" s="13">
        <f>IF($H85="","",IF($F85=Scales!$B$24,"exempt",IFERROR(IF(VLOOKUP($H85,Conf_Check,3,FALSE())="valid",VLOOKUP($H85,Conf_Adjust,2,FALSE()),"n/a"),"n/a")))</f>
        <v>0</v>
      </c>
      <c r="L85" s="13">
        <f>IF(OR($J85="",$J85="Config error"),"",IF(OR($F85=Scales!$B$24,AND(ISNUMBER($K85),$K85=0)),4,IF(ISNUMBER($K85),MAX(1,MATCH($J85,Scales!$B$6:$B$10,0)-1+$K85),1)))</f>
        <v>4</v>
      </c>
      <c r="M85" s="5"/>
      <c r="N85" s="5"/>
      <c r="O85" s="8">
        <f>IF(OR($J85="",$J85="Config error",$E85="",$F85="",$G85="",$H85="",$R85=""),"",IF($M85="",MATCH($J85,Scales!$B$6:$B$10,0),IFERROR(MATCH($M85,Scales!$B$6:$B$10,0),MATCH($J85,Scales!$B$6:$B$10,0)))-1)</f>
        <v>4</v>
      </c>
      <c r="P85" s="12" t="str">
        <f>IF($J85="",IF(AND($B85&lt;&gt;"",$B85&lt;&gt;"Duplicate ID"),"Incomplete assessment",""),IF($J85="Config error","Config error",IF($O85="","Incomplete assessment",IF($M85="","As recommended",IF(ISERROR(MATCH($M85,Scales!$B$6:$B$10,0)),"Invalid choice",IF(MATCH($M85,Scales!$B$6:$B$10,0)&gt;MATCH($J85,Scales!$B$6:$B$10,0),"Above policy: needs sign-off",IF(MATCH($M85,Scales!$B$6:$B$10,0)&lt;MATCH($J85,Scales!$B$6:$B$10,0),"More cautious than policy","As recommended")))))))</f>
        <v>As recommended</v>
      </c>
      <c r="Q85" s="13">
        <f>IF(OR($O85="",Policy!$B$24&lt;&gt;"OK"),"",IFERROR(MIN($O85,INDEX(Policy!$C$5:$E$16,MATCH($F85&amp;"|"&amp;Scales!$B$33,Policy!$G$5:$G$16,0),MATCH($I85,Policy!$C$4:$E$4,0))),""))</f>
        <v>3</v>
      </c>
      <c r="R85" s="5">
        <v>1</v>
      </c>
      <c r="S85" s="13" t="str">
        <f>IF($B85="","",IF(COUNTIF('Readiness gate'!$A$7:$A$36,$A85)&lt;&gt;1,"Incomplete",IFERROR(IF(VLOOKUP($A85,GateTab,IF($F85=Scales!$B$24,11,9),FALSE())="","Incomplete",VLOOKUP($A85,GateTab,IF($F85=Scales!$B$24,11,9),FALSE())),"Incomplete")))</f>
        <v>Passed</v>
      </c>
      <c r="T85" s="8">
        <f>IF($O85="","",MIN(IF(AND($O85&gt;MATCH($J85,Scales!$B$6:$B$10,0)-1,$N85&lt;&gt;"Yes"),MATCH($J85,Scales!$B$6:$B$10,0)-1,$O85),$L85,IF($F85=Scales!$B$24,IF($S85="Passed",4,IF(NOT(ISNUMBER($R85)),0,IF(OR($R85&lt;0,$R85&gt;4,$R85&lt;&gt;INT($R85)),0,$R85))),IF(NOT(ISNUMBER($R85)),0,IF(OR($R85&lt;0,$R85&gt;4,$R85&lt;&gt;INT($R85)),0,$R85))+IF($S85="Passed",1,0)),IF(AND($F85&lt;&gt;Scales!$B$24,OR($F85=Scales!$B$27,$G85=Scales!$B$33)),3,4)))</f>
        <v>2</v>
      </c>
      <c r="U85" s="13" t="str">
        <f>IF($O85="",IF(AND($B85&lt;&gt;"",$B85&lt;&gt;"Duplicate ID"),IF($J85="Config error","Config error","Incomplete assessment"),""),IF($T85&gt;=$O85,IF(LEFT($P85,4)="More","Own choice","None"),MID(IF(AND($O85&gt;MATCH($J85,Scales!$B$6:$B$10,0)-1,$N85&lt;&gt;"Yes",$T85=MATCH($J85,Scales!$B$6:$B$10,0)-1)," + Exception not approved","")&amp;IF(AND($F85&lt;&gt;Scales!$B$24,OR($F85=Scales!$B$27,$G85=Scales!$B$33),$T85=3)," + Human-signature guardrail","")&amp;IF($T85=$L85," + Model confidence","")&amp;IF($T85=IF($F85=Scales!$B$24,IF($S85="Passed",4,IF(NOT(ISNUMBER($R85)),0,IF(OR($R85&lt;0,$R85&gt;4,$R85&lt;&gt;INT($R85)),0,$R85))),IF(NOT(ISNUMBER($R85)),0,IF(OR($R85&lt;0,$R85&gt;4,$R85&lt;&gt;INT($R85)),0,$R85))+IF($S85="Passed",1,0))," + "&amp;IF($S85&lt;&gt;"Passed","Readiness gate","Readiness gate (one level per gate)"),""),4,200)))</f>
        <v>Readiness gate (one level per gate)</v>
      </c>
      <c r="V85" s="23"/>
    </row>
    <row r="86" spans="1:22" x14ac:dyDescent="0.25">
      <c r="A86" s="8" t="s">
        <v>213</v>
      </c>
      <c r="B86" s="11" t="str">
        <f>IF($A86="","",IF(COUNTIF('Use cases'!$A$5:$A$34,$A86)&gt;1,"Duplicate ID",IFERROR(IF(VLOOKUP($A86,'Use cases'!$A$5:$B$34,2,FALSE())=0,"",VLOOKUP($A86,'Use cases'!$A$5:$B$34,2,FALSE())),"")))</f>
        <v>Public S3 or blob exposure</v>
      </c>
      <c r="C86" s="12" t="str">
        <f>IF(OR($B86="",$B86="Duplicate ID"),"",IFERROR(VLOOKUP($A86,'Use cases'!$A$5:$C$34,3,FALSE()),""))</f>
        <v>Cloud</v>
      </c>
      <c r="D86" s="13" t="s">
        <v>120</v>
      </c>
      <c r="E86" s="23" t="s">
        <v>216</v>
      </c>
      <c r="F86" s="23" t="s">
        <v>119</v>
      </c>
      <c r="G86" s="24" t="s">
        <v>122</v>
      </c>
      <c r="H86" s="24" t="s">
        <v>116</v>
      </c>
      <c r="I86" s="13" t="str">
        <f>IF(OR($B86="",$B86="Duplicate ID"),"",IFERROR(VLOOKUP($A86,'Use cases'!$A$5:$E$34,5,FALSE()),""))</f>
        <v>Progressive</v>
      </c>
      <c r="J86" s="11" t="str">
        <f>IF(OR($B86="",$B86="Duplicate ID"),"",IF(OR($F86="",$G86=""),"",IF(Policy!$B$24&lt;&gt;"OK","Config error",IFERROR(INDEX(Scales!$B$6:$B$10,1+INDEX(Policy!$C$5:$E$16,MATCH($F86&amp;"|"&amp;$G86,Policy!$G$5:$G$16,0),MATCH($I86,Policy!$C$4:$E$4,0))),"Config error"))))</f>
        <v>L4 Autonomous</v>
      </c>
      <c r="K86" s="13">
        <f>IF($H86="","",IF($F86=Scales!$B$24,"exempt",IFERROR(IF(VLOOKUP($H86,Conf_Check,3,FALSE())="valid",VLOOKUP($H86,Conf_Adjust,2,FALSE()),"n/a"),"n/a")))</f>
        <v>0</v>
      </c>
      <c r="L86" s="13">
        <f>IF(OR($J86="",$J86="Config error"),"",IF(OR($F86=Scales!$B$24,AND(ISNUMBER($K86),$K86=0)),4,IF(ISNUMBER($K86),MAX(1,MATCH($J86,Scales!$B$6:$B$10,0)-1+$K86),1)))</f>
        <v>4</v>
      </c>
      <c r="M86" s="5"/>
      <c r="N86" s="5"/>
      <c r="O86" s="8">
        <f>IF(OR($J86="",$J86="Config error",$E86="",$F86="",$G86="",$H86="",$R86=""),"",IF($M86="",MATCH($J86,Scales!$B$6:$B$10,0),IFERROR(MATCH($M86,Scales!$B$6:$B$10,0),MATCH($J86,Scales!$B$6:$B$10,0)))-1)</f>
        <v>4</v>
      </c>
      <c r="P86" s="12" t="str">
        <f>IF($J86="",IF(AND($B86&lt;&gt;"",$B86&lt;&gt;"Duplicate ID"),"Incomplete assessment",""),IF($J86="Config error","Config error",IF($O86="","Incomplete assessment",IF($M86="","As recommended",IF(ISERROR(MATCH($M86,Scales!$B$6:$B$10,0)),"Invalid choice",IF(MATCH($M86,Scales!$B$6:$B$10,0)&gt;MATCH($J86,Scales!$B$6:$B$10,0),"Above policy: needs sign-off",IF(MATCH($M86,Scales!$B$6:$B$10,0)&lt;MATCH($J86,Scales!$B$6:$B$10,0),"More cautious than policy","As recommended")))))))</f>
        <v>As recommended</v>
      </c>
      <c r="Q86" s="13">
        <f>IF(OR($O86="",Policy!$B$24&lt;&gt;"OK"),"",IFERROR(MIN($O86,INDEX(Policy!$C$5:$E$16,MATCH($F86&amp;"|"&amp;Scales!$B$33,Policy!$G$5:$G$16,0),MATCH($I86,Policy!$C$4:$E$4,0))),""))</f>
        <v>3</v>
      </c>
      <c r="R86" s="5">
        <v>2</v>
      </c>
      <c r="S86" s="13" t="str">
        <f>IF($B86="","",IF(COUNTIF('Readiness gate'!$A$7:$A$36,$A86)&lt;&gt;1,"Incomplete",IFERROR(IF(VLOOKUP($A86,GateTab,IF($F86=Scales!$B$24,11,9),FALSE())="","Incomplete",VLOOKUP($A86,GateTab,IF($F86=Scales!$B$24,11,9),FALSE())),"Incomplete")))</f>
        <v>Passed</v>
      </c>
      <c r="T86" s="8">
        <f>IF($O86="","",MIN(IF(AND($O86&gt;MATCH($J86,Scales!$B$6:$B$10,0)-1,$N86&lt;&gt;"Yes"),MATCH($J86,Scales!$B$6:$B$10,0)-1,$O86),$L86,IF($F86=Scales!$B$24,IF($S86="Passed",4,IF(NOT(ISNUMBER($R86)),0,IF(OR($R86&lt;0,$R86&gt;4,$R86&lt;&gt;INT($R86)),0,$R86))),IF(NOT(ISNUMBER($R86)),0,IF(OR($R86&lt;0,$R86&gt;4,$R86&lt;&gt;INT($R86)),0,$R86))+IF($S86="Passed",1,0)),IF(AND($F86&lt;&gt;Scales!$B$24,OR($F86=Scales!$B$27,$G86=Scales!$B$33)),3,4)))</f>
        <v>3</v>
      </c>
      <c r="U86" s="13" t="str">
        <f>IF($O86="",IF(AND($B86&lt;&gt;"",$B86&lt;&gt;"Duplicate ID"),IF($J86="Config error","Config error","Incomplete assessment"),""),IF($T86&gt;=$O86,IF(LEFT($P86,4)="More","Own choice","None"),MID(IF(AND($O86&gt;MATCH($J86,Scales!$B$6:$B$10,0)-1,$N86&lt;&gt;"Yes",$T86=MATCH($J86,Scales!$B$6:$B$10,0)-1)," + Exception not approved","")&amp;IF(AND($F86&lt;&gt;Scales!$B$24,OR($F86=Scales!$B$27,$G86=Scales!$B$33),$T86=3)," + Human-signature guardrail","")&amp;IF($T86=$L86," + Model confidence","")&amp;IF($T86=IF($F86=Scales!$B$24,IF($S86="Passed",4,IF(NOT(ISNUMBER($R86)),0,IF(OR($R86&lt;0,$R86&gt;4,$R86&lt;&gt;INT($R86)),0,$R86))),IF(NOT(ISNUMBER($R86)),0,IF(OR($R86&lt;0,$R86&gt;4,$R86&lt;&gt;INT($R86)),0,$R86))+IF($S86="Passed",1,0))," + "&amp;IF($S86&lt;&gt;"Passed","Readiness gate","Readiness gate (one level per gate)"),""),4,200)))</f>
        <v>Readiness gate (one level per gate)</v>
      </c>
      <c r="V86" s="23"/>
    </row>
    <row r="87" spans="1:22" x14ac:dyDescent="0.25">
      <c r="A87" s="8" t="s">
        <v>213</v>
      </c>
      <c r="B87" s="11" t="str">
        <f>IF($A87="","",IF(COUNTIF('Use cases'!$A$5:$A$34,$A87)&gt;1,"Duplicate ID",IFERROR(IF(VLOOKUP($A87,'Use cases'!$A$5:$B$34,2,FALSE())=0,"",VLOOKUP($A87,'Use cases'!$A$5:$B$34,2,FALSE())),"")))</f>
        <v>Public S3 or blob exposure</v>
      </c>
      <c r="C87" s="12" t="str">
        <f>IF(OR($B87="",$B87="Duplicate ID"),"",IFERROR(VLOOKUP($A87,'Use cases'!$A$5:$C$34,3,FALSE()),""))</f>
        <v>Cloud</v>
      </c>
      <c r="D87" s="13" t="s">
        <v>123</v>
      </c>
      <c r="E87" s="23" t="s">
        <v>217</v>
      </c>
      <c r="F87" s="23" t="s">
        <v>134</v>
      </c>
      <c r="G87" s="24" t="s">
        <v>122</v>
      </c>
      <c r="H87" s="24" t="s">
        <v>122</v>
      </c>
      <c r="I87" s="13" t="str">
        <f>IF(OR($B87="",$B87="Duplicate ID"),"",IFERROR(VLOOKUP($A87,'Use cases'!$A$5:$E$34,5,FALSE()),""))</f>
        <v>Progressive</v>
      </c>
      <c r="J87" s="11" t="str">
        <f>IF(OR($B87="",$B87="Duplicate ID"),"",IF(OR($F87="",$G87=""),"",IF(Policy!$B$24&lt;&gt;"OK","Config error",IFERROR(INDEX(Scales!$B$6:$B$10,1+INDEX(Policy!$C$5:$E$16,MATCH($F87&amp;"|"&amp;$G87,Policy!$G$5:$G$16,0),MATCH($I87,Policy!$C$4:$E$4,0))),"Config error"))))</f>
        <v>L3 Human-approved</v>
      </c>
      <c r="K87" s="13">
        <f>IF($H87="","",IF($F87=Scales!$B$24,"exempt",IFERROR(IF(VLOOKUP($H87,Conf_Check,3,FALSE())="valid",VLOOKUP($H87,Conf_Adjust,2,FALSE()),"n/a"),"n/a")))</f>
        <v>-1</v>
      </c>
      <c r="L87" s="13">
        <f>IF(OR($J87="",$J87="Config error"),"",IF(OR($F87=Scales!$B$24,AND(ISNUMBER($K87),$K87=0)),4,IF(ISNUMBER($K87),MAX(1,MATCH($J87,Scales!$B$6:$B$10,0)-1+$K87),1)))</f>
        <v>2</v>
      </c>
      <c r="M87" s="5"/>
      <c r="N87" s="5"/>
      <c r="O87" s="8">
        <f>IF(OR($J87="",$J87="Config error",$E87="",$F87="",$G87="",$H87="",$R87=""),"",IF($M87="",MATCH($J87,Scales!$B$6:$B$10,0),IFERROR(MATCH($M87,Scales!$B$6:$B$10,0),MATCH($J87,Scales!$B$6:$B$10,0)))-1)</f>
        <v>3</v>
      </c>
      <c r="P87" s="12" t="str">
        <f>IF($J87="",IF(AND($B87&lt;&gt;"",$B87&lt;&gt;"Duplicate ID"),"Incomplete assessment",""),IF($J87="Config error","Config error",IF($O87="","Incomplete assessment",IF($M87="","As recommended",IF(ISERROR(MATCH($M87,Scales!$B$6:$B$10,0)),"Invalid choice",IF(MATCH($M87,Scales!$B$6:$B$10,0)&gt;MATCH($J87,Scales!$B$6:$B$10,0),"Above policy: needs sign-off",IF(MATCH($M87,Scales!$B$6:$B$10,0)&lt;MATCH($J87,Scales!$B$6:$B$10,0),"More cautious than policy","As recommended")))))))</f>
        <v>As recommended</v>
      </c>
      <c r="Q87" s="13">
        <f>IF(OR($O87="",Policy!$B$24&lt;&gt;"OK"),"",IFERROR(MIN($O87,INDEX(Policy!$C$5:$E$16,MATCH($F87&amp;"|"&amp;Scales!$B$33,Policy!$G$5:$G$16,0),MATCH($I87,Policy!$C$4:$E$4,0))),""))</f>
        <v>3</v>
      </c>
      <c r="R87" s="5">
        <v>1</v>
      </c>
      <c r="S87" s="13" t="str">
        <f>IF($B87="","",IF(COUNTIF('Readiness gate'!$A$7:$A$36,$A87)&lt;&gt;1,"Incomplete",IFERROR(IF(VLOOKUP($A87,GateTab,IF($F87=Scales!$B$24,11,9),FALSE())="","Incomplete",VLOOKUP($A87,GateTab,IF($F87=Scales!$B$24,11,9),FALSE())),"Incomplete")))</f>
        <v>Passed</v>
      </c>
      <c r="T87" s="8">
        <f>IF($O87="","",MIN(IF(AND($O87&gt;MATCH($J87,Scales!$B$6:$B$10,0)-1,$N87&lt;&gt;"Yes"),MATCH($J87,Scales!$B$6:$B$10,0)-1,$O87),$L87,IF($F87=Scales!$B$24,IF($S87="Passed",4,IF(NOT(ISNUMBER($R87)),0,IF(OR($R87&lt;0,$R87&gt;4,$R87&lt;&gt;INT($R87)),0,$R87))),IF(NOT(ISNUMBER($R87)),0,IF(OR($R87&lt;0,$R87&gt;4,$R87&lt;&gt;INT($R87)),0,$R87))+IF($S87="Passed",1,0)),IF(AND($F87&lt;&gt;Scales!$B$24,OR($F87=Scales!$B$27,$G87=Scales!$B$33)),3,4)))</f>
        <v>2</v>
      </c>
      <c r="U87" s="13" t="str">
        <f>IF($O87="",IF(AND($B87&lt;&gt;"",$B87&lt;&gt;"Duplicate ID"),IF($J87="Config error","Config error","Incomplete assessment"),""),IF($T87&gt;=$O87,IF(LEFT($P87,4)="More","Own choice","None"),MID(IF(AND($O87&gt;MATCH($J87,Scales!$B$6:$B$10,0)-1,$N87&lt;&gt;"Yes",$T87=MATCH($J87,Scales!$B$6:$B$10,0)-1)," + Exception not approved","")&amp;IF(AND($F87&lt;&gt;Scales!$B$24,OR($F87=Scales!$B$27,$G87=Scales!$B$33),$T87=3)," + Human-signature guardrail","")&amp;IF($T87=$L87," + Model confidence","")&amp;IF($T87=IF($F87=Scales!$B$24,IF($S87="Passed",4,IF(NOT(ISNUMBER($R87)),0,IF(OR($R87&lt;0,$R87&gt;4,$R87&lt;&gt;INT($R87)),0,$R87))),IF(NOT(ISNUMBER($R87)),0,IF(OR($R87&lt;0,$R87&gt;4,$R87&lt;&gt;INT($R87)),0,$R87))+IF($S87="Passed",1,0))," + "&amp;IF($S87&lt;&gt;"Passed","Readiness gate","Readiness gate (one level per gate)"),""),4,200)))</f>
        <v>Model confidence + Readiness gate (one level per gate)</v>
      </c>
      <c r="V87" s="23"/>
    </row>
    <row r="88" spans="1:22" x14ac:dyDescent="0.25">
      <c r="A88" s="8" t="s">
        <v>213</v>
      </c>
      <c r="B88" s="11" t="str">
        <f>IF($A88="","",IF(COUNTIF('Use cases'!$A$5:$A$34,$A88)&gt;1,"Duplicate ID",IFERROR(IF(VLOOKUP($A88,'Use cases'!$A$5:$B$34,2,FALSE())=0,"",VLOOKUP($A88,'Use cases'!$A$5:$B$34,2,FALSE())),"")))</f>
        <v>Public S3 or blob exposure</v>
      </c>
      <c r="C88" s="12" t="str">
        <f>IF(OR($B88="",$B88="Duplicate ID"),"",IFERROR(VLOOKUP($A88,'Use cases'!$A$5:$C$34,3,FALSE()),""))</f>
        <v>Cloud</v>
      </c>
      <c r="D88" s="13" t="s">
        <v>125</v>
      </c>
      <c r="E88" s="23" t="s">
        <v>218</v>
      </c>
      <c r="F88" s="23" t="s">
        <v>119</v>
      </c>
      <c r="G88" s="24" t="s">
        <v>115</v>
      </c>
      <c r="H88" s="24" t="s">
        <v>122</v>
      </c>
      <c r="I88" s="13" t="str">
        <f>IF(OR($B88="",$B88="Duplicate ID"),"",IFERROR(VLOOKUP($A88,'Use cases'!$A$5:$E$34,5,FALSE()),""))</f>
        <v>Progressive</v>
      </c>
      <c r="J88" s="11" t="str">
        <f>IF(OR($B88="",$B88="Duplicate ID"),"",IF(OR($F88="",$G88=""),"",IF(Policy!$B$24&lt;&gt;"OK","Config error",IFERROR(INDEX(Scales!$B$6:$B$10,1+INDEX(Policy!$C$5:$E$16,MATCH($F88&amp;"|"&amp;$G88,Policy!$G$5:$G$16,0),MATCH($I88,Policy!$C$4:$E$4,0))),"Config error"))))</f>
        <v>L4 Autonomous</v>
      </c>
      <c r="K88" s="13">
        <f>IF($H88="","",IF($F88=Scales!$B$24,"exempt",IFERROR(IF(VLOOKUP($H88,Conf_Check,3,FALSE())="valid",VLOOKUP($H88,Conf_Adjust,2,FALSE()),"n/a"),"n/a")))</f>
        <v>-1</v>
      </c>
      <c r="L88" s="13">
        <f>IF(OR($J88="",$J88="Config error"),"",IF(OR($F88=Scales!$B$24,AND(ISNUMBER($K88),$K88=0)),4,IF(ISNUMBER($K88),MAX(1,MATCH($J88,Scales!$B$6:$B$10,0)-1+$K88),1)))</f>
        <v>3</v>
      </c>
      <c r="M88" s="5"/>
      <c r="N88" s="5"/>
      <c r="O88" s="8">
        <f>IF(OR($J88="",$J88="Config error",$E88="",$F88="",$G88="",$H88="",$R88=""),"",IF($M88="",MATCH($J88,Scales!$B$6:$B$10,0),IFERROR(MATCH($M88,Scales!$B$6:$B$10,0),MATCH($J88,Scales!$B$6:$B$10,0)))-1)</f>
        <v>4</v>
      </c>
      <c r="P88" s="12" t="str">
        <f>IF($J88="",IF(AND($B88&lt;&gt;"",$B88&lt;&gt;"Duplicate ID"),"Incomplete assessment",""),IF($J88="Config error","Config error",IF($O88="","Incomplete assessment",IF($M88="","As recommended",IF(ISERROR(MATCH($M88,Scales!$B$6:$B$10,0)),"Invalid choice",IF(MATCH($M88,Scales!$B$6:$B$10,0)&gt;MATCH($J88,Scales!$B$6:$B$10,0),"Above policy: needs sign-off",IF(MATCH($M88,Scales!$B$6:$B$10,0)&lt;MATCH($J88,Scales!$B$6:$B$10,0),"More cautious than policy","As recommended")))))))</f>
        <v>As recommended</v>
      </c>
      <c r="Q88" s="13">
        <f>IF(OR($O88="",Policy!$B$24&lt;&gt;"OK"),"",IFERROR(MIN($O88,INDEX(Policy!$C$5:$E$16,MATCH($F88&amp;"|"&amp;Scales!$B$33,Policy!$G$5:$G$16,0),MATCH($I88,Policy!$C$4:$E$4,0))),""))</f>
        <v>3</v>
      </c>
      <c r="R88" s="5">
        <v>1</v>
      </c>
      <c r="S88" s="13" t="str">
        <f>IF($B88="","",IF(COUNTIF('Readiness gate'!$A$7:$A$36,$A88)&lt;&gt;1,"Incomplete",IFERROR(IF(VLOOKUP($A88,GateTab,IF($F88=Scales!$B$24,11,9),FALSE())="","Incomplete",VLOOKUP($A88,GateTab,IF($F88=Scales!$B$24,11,9),FALSE())),"Incomplete")))</f>
        <v>Passed</v>
      </c>
      <c r="T88" s="8">
        <f>IF($O88="","",MIN(IF(AND($O88&gt;MATCH($J88,Scales!$B$6:$B$10,0)-1,$N88&lt;&gt;"Yes"),MATCH($J88,Scales!$B$6:$B$10,0)-1,$O88),$L88,IF($F88=Scales!$B$24,IF($S88="Passed",4,IF(NOT(ISNUMBER($R88)),0,IF(OR($R88&lt;0,$R88&gt;4,$R88&lt;&gt;INT($R88)),0,$R88))),IF(NOT(ISNUMBER($R88)),0,IF(OR($R88&lt;0,$R88&gt;4,$R88&lt;&gt;INT($R88)),0,$R88))+IF($S88="Passed",1,0)),IF(AND($F88&lt;&gt;Scales!$B$24,OR($F88=Scales!$B$27,$G88=Scales!$B$33)),3,4)))</f>
        <v>2</v>
      </c>
      <c r="U88" s="13" t="str">
        <f>IF($O88="",IF(AND($B88&lt;&gt;"",$B88&lt;&gt;"Duplicate ID"),IF($J88="Config error","Config error","Incomplete assessment"),""),IF($T88&gt;=$O88,IF(LEFT($P88,4)="More","Own choice","None"),MID(IF(AND($O88&gt;MATCH($J88,Scales!$B$6:$B$10,0)-1,$N88&lt;&gt;"Yes",$T88=MATCH($J88,Scales!$B$6:$B$10,0)-1)," + Exception not approved","")&amp;IF(AND($F88&lt;&gt;Scales!$B$24,OR($F88=Scales!$B$27,$G88=Scales!$B$33),$T88=3)," + Human-signature guardrail","")&amp;IF($T88=$L88," + Model confidence","")&amp;IF($T88=IF($F88=Scales!$B$24,IF($S88="Passed",4,IF(NOT(ISNUMBER($R88)),0,IF(OR($R88&lt;0,$R88&gt;4,$R88&lt;&gt;INT($R88)),0,$R88))),IF(NOT(ISNUMBER($R88)),0,IF(OR($R88&lt;0,$R88&gt;4,$R88&lt;&gt;INT($R88)),0,$R88))+IF($S88="Passed",1,0))," + "&amp;IF($S88&lt;&gt;"Passed","Readiness gate","Readiness gate (one level per gate)"),""),4,200)))</f>
        <v>Readiness gate (one level per gate)</v>
      </c>
      <c r="V88" s="23"/>
    </row>
    <row r="89" spans="1:22" x14ac:dyDescent="0.25">
      <c r="A89" s="8" t="s">
        <v>213</v>
      </c>
      <c r="B89" s="11" t="str">
        <f>IF($A89="","",IF(COUNTIF('Use cases'!$A$5:$A$34,$A89)&gt;1,"Duplicate ID",IFERROR(IF(VLOOKUP($A89,'Use cases'!$A$5:$B$34,2,FALSE())=0,"",VLOOKUP($A89,'Use cases'!$A$5:$B$34,2,FALSE())),"")))</f>
        <v>Public S3 or blob exposure</v>
      </c>
      <c r="C89" s="12" t="str">
        <f>IF(OR($B89="",$B89="Duplicate ID"),"",IFERROR(VLOOKUP($A89,'Use cases'!$A$5:$C$34,3,FALSE()),""))</f>
        <v>Cloud</v>
      </c>
      <c r="D89" s="13" t="s">
        <v>127</v>
      </c>
      <c r="E89" s="23" t="s">
        <v>219</v>
      </c>
      <c r="F89" s="23" t="s">
        <v>169</v>
      </c>
      <c r="G89" s="24" t="s">
        <v>116</v>
      </c>
      <c r="H89" s="24" t="s">
        <v>122</v>
      </c>
      <c r="I89" s="13" t="str">
        <f>IF(OR($B89="",$B89="Duplicate ID"),"",IFERROR(VLOOKUP($A89,'Use cases'!$A$5:$E$34,5,FALSE()),""))</f>
        <v>Progressive</v>
      </c>
      <c r="J89" s="11" t="str">
        <f>IF(OR($B89="",$B89="Duplicate ID"),"",IF(OR($F89="",$G89=""),"",IF(Policy!$B$24&lt;&gt;"OK","Config error",IFERROR(INDEX(Scales!$B$6:$B$10,1+INDEX(Policy!$C$5:$E$16,MATCH($F89&amp;"|"&amp;$G89,Policy!$G$5:$G$16,0),MATCH($I89,Policy!$C$4:$E$4,0))),"Config error"))))</f>
        <v>L2 AI-recommended</v>
      </c>
      <c r="K89" s="13">
        <f>IF($H89="","",IF($F89=Scales!$B$24,"exempt",IFERROR(IF(VLOOKUP($H89,Conf_Check,3,FALSE())="valid",VLOOKUP($H89,Conf_Adjust,2,FALSE()),"n/a"),"n/a")))</f>
        <v>-1</v>
      </c>
      <c r="L89" s="13">
        <f>IF(OR($J89="",$J89="Config error"),"",IF(OR($F89=Scales!$B$24,AND(ISNUMBER($K89),$K89=0)),4,IF(ISNUMBER($K89),MAX(1,MATCH($J89,Scales!$B$6:$B$10,0)-1+$K89),1)))</f>
        <v>1</v>
      </c>
      <c r="M89" s="5"/>
      <c r="N89" s="5"/>
      <c r="O89" s="8">
        <f>IF(OR($J89="",$J89="Config error",$E89="",$F89="",$G89="",$H89="",$R89=""),"",IF($M89="",MATCH($J89,Scales!$B$6:$B$10,0),IFERROR(MATCH($M89,Scales!$B$6:$B$10,0),MATCH($J89,Scales!$B$6:$B$10,0)))-1)</f>
        <v>2</v>
      </c>
      <c r="P89" s="12" t="str">
        <f>IF($J89="",IF(AND($B89&lt;&gt;"",$B89&lt;&gt;"Duplicate ID"),"Incomplete assessment",""),IF($J89="Config error","Config error",IF($O89="","Incomplete assessment",IF($M89="","As recommended",IF(ISERROR(MATCH($M89,Scales!$B$6:$B$10,0)),"Invalid choice",IF(MATCH($M89,Scales!$B$6:$B$10,0)&gt;MATCH($J89,Scales!$B$6:$B$10,0),"Above policy: needs sign-off",IF(MATCH($M89,Scales!$B$6:$B$10,0)&lt;MATCH($J89,Scales!$B$6:$B$10,0),"More cautious than policy","As recommended")))))))</f>
        <v>As recommended</v>
      </c>
      <c r="Q89" s="13">
        <f>IF(OR($O89="",Policy!$B$24&lt;&gt;"OK"),"",IFERROR(MIN($O89,INDEX(Policy!$C$5:$E$16,MATCH($F89&amp;"|"&amp;Scales!$B$33,Policy!$G$5:$G$16,0),MATCH($I89,Policy!$C$4:$E$4,0))),""))</f>
        <v>2</v>
      </c>
      <c r="R89" s="5">
        <v>1</v>
      </c>
      <c r="S89" s="13" t="str">
        <f>IF($B89="","",IF(COUNTIF('Readiness gate'!$A$7:$A$36,$A89)&lt;&gt;1,"Incomplete",IFERROR(IF(VLOOKUP($A89,GateTab,IF($F89=Scales!$B$24,11,9),FALSE())="","Incomplete",VLOOKUP($A89,GateTab,IF($F89=Scales!$B$24,11,9),FALSE())),"Incomplete")))</f>
        <v>Passed</v>
      </c>
      <c r="T89" s="8">
        <f>IF($O89="","",MIN(IF(AND($O89&gt;MATCH($J89,Scales!$B$6:$B$10,0)-1,$N89&lt;&gt;"Yes"),MATCH($J89,Scales!$B$6:$B$10,0)-1,$O89),$L89,IF($F89=Scales!$B$24,IF($S89="Passed",4,IF(NOT(ISNUMBER($R89)),0,IF(OR($R89&lt;0,$R89&gt;4,$R89&lt;&gt;INT($R89)),0,$R89))),IF(NOT(ISNUMBER($R89)),0,IF(OR($R89&lt;0,$R89&gt;4,$R89&lt;&gt;INT($R89)),0,$R89))+IF($S89="Passed",1,0)),IF(AND($F89&lt;&gt;Scales!$B$24,OR($F89=Scales!$B$27,$G89=Scales!$B$33)),3,4)))</f>
        <v>1</v>
      </c>
      <c r="U89" s="13" t="str">
        <f>IF($O89="",IF(AND($B89&lt;&gt;"",$B89&lt;&gt;"Duplicate ID"),IF($J89="Config error","Config error","Incomplete assessment"),""),IF($T89&gt;=$O89,IF(LEFT($P89,4)="More","Own choice","None"),MID(IF(AND($O89&gt;MATCH($J89,Scales!$B$6:$B$10,0)-1,$N89&lt;&gt;"Yes",$T89=MATCH($J89,Scales!$B$6:$B$10,0)-1)," + Exception not approved","")&amp;IF(AND($F89&lt;&gt;Scales!$B$24,OR($F89=Scales!$B$27,$G89=Scales!$B$33),$T89=3)," + Human-signature guardrail","")&amp;IF($T89=$L89," + Model confidence","")&amp;IF($T89=IF($F89=Scales!$B$24,IF($S89="Passed",4,IF(NOT(ISNUMBER($R89)),0,IF(OR($R89&lt;0,$R89&gt;4,$R89&lt;&gt;INT($R89)),0,$R89))),IF(NOT(ISNUMBER($R89)),0,IF(OR($R89&lt;0,$R89&gt;4,$R89&lt;&gt;INT($R89)),0,$R89))+IF($S89="Passed",1,0))," + "&amp;IF($S89&lt;&gt;"Passed","Readiness gate","Readiness gate (one level per gate)"),""),4,200)))</f>
        <v>Model confidence</v>
      </c>
      <c r="V89" s="23"/>
    </row>
    <row r="90" spans="1:22" x14ac:dyDescent="0.25">
      <c r="A90" s="8" t="s">
        <v>220</v>
      </c>
      <c r="B90" s="11" t="str">
        <f>IF($A90="","",IF(COUNTIF('Use cases'!$A$5:$A$34,$A90)&gt;1,"Duplicate ID",IFERROR(IF(VLOOKUP($A90,'Use cases'!$A$5:$B$34,2,FALSE())=0,"",VLOOKUP($A90,'Use cases'!$A$5:$B$34,2,FALSE())),"")))</f>
        <v>New internet-exposed critical CVE</v>
      </c>
      <c r="C90" s="12" t="str">
        <f>IF(OR($B90="",$B90="Duplicate ID"),"",IFERROR(VLOOKUP($A90,'Use cases'!$A$5:$C$34,3,FALSE()),""))</f>
        <v>Exposure</v>
      </c>
      <c r="D90" s="13" t="s">
        <v>112</v>
      </c>
      <c r="E90" s="23" t="s">
        <v>221</v>
      </c>
      <c r="F90" s="23" t="s">
        <v>114</v>
      </c>
      <c r="G90" s="24" t="s">
        <v>115</v>
      </c>
      <c r="H90" s="24" t="s">
        <v>116</v>
      </c>
      <c r="I90" s="13" t="str">
        <f>IF(OR($B90="",$B90="Duplicate ID"),"",IFERROR(VLOOKUP($A90,'Use cases'!$A$5:$E$34,5,FALSE()),""))</f>
        <v>Progressive</v>
      </c>
      <c r="J90" s="11" t="str">
        <f>IF(OR($B90="",$B90="Duplicate ID"),"",IF(OR($F90="",$G90=""),"",IF(Policy!$B$24&lt;&gt;"OK","Config error",IFERROR(INDEX(Scales!$B$6:$B$10,1+INDEX(Policy!$C$5:$E$16,MATCH($F90&amp;"|"&amp;$G90,Policy!$G$5:$G$16,0),MATCH($I90,Policy!$C$4:$E$4,0))),"Config error"))))</f>
        <v>L4 Autonomous</v>
      </c>
      <c r="K90" s="13" t="str">
        <f>IF($H90="","",IF($F90=Scales!$B$24,"exempt",IFERROR(IF(VLOOKUP($H90,Conf_Check,3,FALSE())="valid",VLOOKUP($H90,Conf_Adjust,2,FALSE()),"n/a"),"n/a")))</f>
        <v>exempt</v>
      </c>
      <c r="L90" s="13">
        <f>IF(OR($J90="",$J90="Config error"),"",IF(OR($F90=Scales!$B$24,AND(ISNUMBER($K90),$K90=0)),4,IF(ISNUMBER($K90),MAX(1,MATCH($J90,Scales!$B$6:$B$10,0)-1+$K90),1)))</f>
        <v>4</v>
      </c>
      <c r="M90" s="5"/>
      <c r="N90" s="5"/>
      <c r="O90" s="8">
        <f>IF(OR($J90="",$J90="Config error",$E90="",$F90="",$G90="",$H90="",$R90=""),"",IF($M90="",MATCH($J90,Scales!$B$6:$B$10,0),IFERROR(MATCH($M90,Scales!$B$6:$B$10,0),MATCH($J90,Scales!$B$6:$B$10,0)))-1)</f>
        <v>4</v>
      </c>
      <c r="P90" s="12" t="str">
        <f>IF($J90="",IF(AND($B90&lt;&gt;"",$B90&lt;&gt;"Duplicate ID"),"Incomplete assessment",""),IF($J90="Config error","Config error",IF($O90="","Incomplete assessment",IF($M90="","As recommended",IF(ISERROR(MATCH($M90,Scales!$B$6:$B$10,0)),"Invalid choice",IF(MATCH($M90,Scales!$B$6:$B$10,0)&gt;MATCH($J90,Scales!$B$6:$B$10,0),"Above policy: needs sign-off",IF(MATCH($M90,Scales!$B$6:$B$10,0)&lt;MATCH($J90,Scales!$B$6:$B$10,0),"More cautious than policy","As recommended")))))))</f>
        <v>As recommended</v>
      </c>
      <c r="Q90" s="13">
        <f>IF(OR($O90="",Policy!$B$24&lt;&gt;"OK"),"",IFERROR(MIN($O90,INDEX(Policy!$C$5:$E$16,MATCH($F90&amp;"|"&amp;Scales!$B$33,Policy!$G$5:$G$16,0),MATCH($I90,Policy!$C$4:$E$4,0))),""))</f>
        <v>4</v>
      </c>
      <c r="R90" s="5">
        <v>1</v>
      </c>
      <c r="S90" s="13" t="str">
        <f>IF($B90="","",IF(COUNTIF('Readiness gate'!$A$7:$A$36,$A90)&lt;&gt;1,"Incomplete",IFERROR(IF(VLOOKUP($A90,GateTab,IF($F90=Scales!$B$24,11,9),FALSE())="","Incomplete",VLOOKUP($A90,GateTab,IF($F90=Scales!$B$24,11,9),FALSE())),"Incomplete")))</f>
        <v>Passed</v>
      </c>
      <c r="T90" s="8">
        <f>IF($O90="","",MIN(IF(AND($O90&gt;MATCH($J90,Scales!$B$6:$B$10,0)-1,$N90&lt;&gt;"Yes"),MATCH($J90,Scales!$B$6:$B$10,0)-1,$O90),$L90,IF($F90=Scales!$B$24,IF($S90="Passed",4,IF(NOT(ISNUMBER($R90)),0,IF(OR($R90&lt;0,$R90&gt;4,$R90&lt;&gt;INT($R90)),0,$R90))),IF(NOT(ISNUMBER($R90)),0,IF(OR($R90&lt;0,$R90&gt;4,$R90&lt;&gt;INT($R90)),0,$R90))+IF($S90="Passed",1,0)),IF(AND($F90&lt;&gt;Scales!$B$24,OR($F90=Scales!$B$27,$G90=Scales!$B$33)),3,4)))</f>
        <v>4</v>
      </c>
      <c r="U90" s="13" t="str">
        <f>IF($O90="",IF(AND($B90&lt;&gt;"",$B90&lt;&gt;"Duplicate ID"),IF($J90="Config error","Config error","Incomplete assessment"),""),IF($T90&gt;=$O90,IF(LEFT($P90,4)="More","Own choice","None"),MID(IF(AND($O90&gt;MATCH($J90,Scales!$B$6:$B$10,0)-1,$N90&lt;&gt;"Yes",$T90=MATCH($J90,Scales!$B$6:$B$10,0)-1)," + Exception not approved","")&amp;IF(AND($F90&lt;&gt;Scales!$B$24,OR($F90=Scales!$B$27,$G90=Scales!$B$33),$T90=3)," + Human-signature guardrail","")&amp;IF($T90=$L90," + Model confidence","")&amp;IF($T90=IF($F90=Scales!$B$24,IF($S90="Passed",4,IF(NOT(ISNUMBER($R90)),0,IF(OR($R90&lt;0,$R90&gt;4,$R90&lt;&gt;INT($R90)),0,$R90))),IF(NOT(ISNUMBER($R90)),0,IF(OR($R90&lt;0,$R90&gt;4,$R90&lt;&gt;INT($R90)),0,$R90))+IF($S90="Passed",1,0))," + "&amp;IF($S90&lt;&gt;"Passed","Readiness gate","Readiness gate (one level per gate)"),""),4,200)))</f>
        <v>None</v>
      </c>
      <c r="V90" s="23"/>
    </row>
    <row r="91" spans="1:22" x14ac:dyDescent="0.25">
      <c r="A91" s="8" t="s">
        <v>220</v>
      </c>
      <c r="B91" s="11" t="str">
        <f>IF($A91="","",IF(COUNTIF('Use cases'!$A$5:$A$34,$A91)&gt;1,"Duplicate ID",IFERROR(IF(VLOOKUP($A91,'Use cases'!$A$5:$B$34,2,FALSE())=0,"",VLOOKUP($A91,'Use cases'!$A$5:$B$34,2,FALSE())),"")))</f>
        <v>New internet-exposed critical CVE</v>
      </c>
      <c r="C91" s="12" t="str">
        <f>IF(OR($B91="",$B91="Duplicate ID"),"",IFERROR(VLOOKUP($A91,'Use cases'!$A$5:$C$34,3,FALSE()),""))</f>
        <v>Exposure</v>
      </c>
      <c r="D91" s="13" t="s">
        <v>117</v>
      </c>
      <c r="E91" s="23" t="s">
        <v>222</v>
      </c>
      <c r="F91" s="23" t="s">
        <v>119</v>
      </c>
      <c r="G91" s="24" t="s">
        <v>115</v>
      </c>
      <c r="H91" s="24" t="s">
        <v>122</v>
      </c>
      <c r="I91" s="13" t="str">
        <f>IF(OR($B91="",$B91="Duplicate ID"),"",IFERROR(VLOOKUP($A91,'Use cases'!$A$5:$E$34,5,FALSE()),""))</f>
        <v>Progressive</v>
      </c>
      <c r="J91" s="11" t="str">
        <f>IF(OR($B91="",$B91="Duplicate ID"),"",IF(OR($F91="",$G91=""),"",IF(Policy!$B$24&lt;&gt;"OK","Config error",IFERROR(INDEX(Scales!$B$6:$B$10,1+INDEX(Policy!$C$5:$E$16,MATCH($F91&amp;"|"&amp;$G91,Policy!$G$5:$G$16,0),MATCH($I91,Policy!$C$4:$E$4,0))),"Config error"))))</f>
        <v>L4 Autonomous</v>
      </c>
      <c r="K91" s="13">
        <f>IF($H91="","",IF($F91=Scales!$B$24,"exempt",IFERROR(IF(VLOOKUP($H91,Conf_Check,3,FALSE())="valid",VLOOKUP($H91,Conf_Adjust,2,FALSE()),"n/a"),"n/a")))</f>
        <v>-1</v>
      </c>
      <c r="L91" s="13">
        <f>IF(OR($J91="",$J91="Config error"),"",IF(OR($F91=Scales!$B$24,AND(ISNUMBER($K91),$K91=0)),4,IF(ISNUMBER($K91),MAX(1,MATCH($J91,Scales!$B$6:$B$10,0)-1+$K91),1)))</f>
        <v>3</v>
      </c>
      <c r="M91" s="5"/>
      <c r="N91" s="5"/>
      <c r="O91" s="8">
        <f>IF(OR($J91="",$J91="Config error",$E91="",$F91="",$G91="",$H91="",$R91=""),"",IF($M91="",MATCH($J91,Scales!$B$6:$B$10,0),IFERROR(MATCH($M91,Scales!$B$6:$B$10,0),MATCH($J91,Scales!$B$6:$B$10,0)))-1)</f>
        <v>4</v>
      </c>
      <c r="P91" s="12" t="str">
        <f>IF($J91="",IF(AND($B91&lt;&gt;"",$B91&lt;&gt;"Duplicate ID"),"Incomplete assessment",""),IF($J91="Config error","Config error",IF($O91="","Incomplete assessment",IF($M91="","As recommended",IF(ISERROR(MATCH($M91,Scales!$B$6:$B$10,0)),"Invalid choice",IF(MATCH($M91,Scales!$B$6:$B$10,0)&gt;MATCH($J91,Scales!$B$6:$B$10,0),"Above policy: needs sign-off",IF(MATCH($M91,Scales!$B$6:$B$10,0)&lt;MATCH($J91,Scales!$B$6:$B$10,0),"More cautious than policy","As recommended")))))))</f>
        <v>As recommended</v>
      </c>
      <c r="Q91" s="13">
        <f>IF(OR($O91="",Policy!$B$24&lt;&gt;"OK"),"",IFERROR(MIN($O91,INDEX(Policy!$C$5:$E$16,MATCH($F91&amp;"|"&amp;Scales!$B$33,Policy!$G$5:$G$16,0),MATCH($I91,Policy!$C$4:$E$4,0))),""))</f>
        <v>3</v>
      </c>
      <c r="R91" s="5">
        <v>1</v>
      </c>
      <c r="S91" s="13" t="str">
        <f>IF($B91="","",IF(COUNTIF('Readiness gate'!$A$7:$A$36,$A91)&lt;&gt;1,"Incomplete",IFERROR(IF(VLOOKUP($A91,GateTab,IF($F91=Scales!$B$24,11,9),FALSE())="","Incomplete",VLOOKUP($A91,GateTab,IF($F91=Scales!$B$24,11,9),FALSE())),"Incomplete")))</f>
        <v>Passed</v>
      </c>
      <c r="T91" s="8">
        <f>IF($O91="","",MIN(IF(AND($O91&gt;MATCH($J91,Scales!$B$6:$B$10,0)-1,$N91&lt;&gt;"Yes"),MATCH($J91,Scales!$B$6:$B$10,0)-1,$O91),$L91,IF($F91=Scales!$B$24,IF($S91="Passed",4,IF(NOT(ISNUMBER($R91)),0,IF(OR($R91&lt;0,$R91&gt;4,$R91&lt;&gt;INT($R91)),0,$R91))),IF(NOT(ISNUMBER($R91)),0,IF(OR($R91&lt;0,$R91&gt;4,$R91&lt;&gt;INT($R91)),0,$R91))+IF($S91="Passed",1,0)),IF(AND($F91&lt;&gt;Scales!$B$24,OR($F91=Scales!$B$27,$G91=Scales!$B$33)),3,4)))</f>
        <v>2</v>
      </c>
      <c r="U91" s="13" t="str">
        <f>IF($O91="",IF(AND($B91&lt;&gt;"",$B91&lt;&gt;"Duplicate ID"),IF($J91="Config error","Config error","Incomplete assessment"),""),IF($T91&gt;=$O91,IF(LEFT($P91,4)="More","Own choice","None"),MID(IF(AND($O91&gt;MATCH($J91,Scales!$B$6:$B$10,0)-1,$N91&lt;&gt;"Yes",$T91=MATCH($J91,Scales!$B$6:$B$10,0)-1)," + Exception not approved","")&amp;IF(AND($F91&lt;&gt;Scales!$B$24,OR($F91=Scales!$B$27,$G91=Scales!$B$33),$T91=3)," + Human-signature guardrail","")&amp;IF($T91=$L91," + Model confidence","")&amp;IF($T91=IF($F91=Scales!$B$24,IF($S91="Passed",4,IF(NOT(ISNUMBER($R91)),0,IF(OR($R91&lt;0,$R91&gt;4,$R91&lt;&gt;INT($R91)),0,$R91))),IF(NOT(ISNUMBER($R91)),0,IF(OR($R91&lt;0,$R91&gt;4,$R91&lt;&gt;INT($R91)),0,$R91))+IF($S91="Passed",1,0))," + "&amp;IF($S91&lt;&gt;"Passed","Readiness gate","Readiness gate (one level per gate)"),""),4,200)))</f>
        <v>Readiness gate (one level per gate)</v>
      </c>
      <c r="V91" s="23"/>
    </row>
    <row r="92" spans="1:22" x14ac:dyDescent="0.25">
      <c r="A92" s="8" t="s">
        <v>220</v>
      </c>
      <c r="B92" s="11" t="str">
        <f>IF($A92="","",IF(COUNTIF('Use cases'!$A$5:$A$34,$A92)&gt;1,"Duplicate ID",IFERROR(IF(VLOOKUP($A92,'Use cases'!$A$5:$B$34,2,FALSE())=0,"",VLOOKUP($A92,'Use cases'!$A$5:$B$34,2,FALSE())),"")))</f>
        <v>New internet-exposed critical CVE</v>
      </c>
      <c r="C92" s="12" t="str">
        <f>IF(OR($B92="",$B92="Duplicate ID"),"",IFERROR(VLOOKUP($A92,'Use cases'!$A$5:$C$34,3,FALSE()),""))</f>
        <v>Exposure</v>
      </c>
      <c r="D92" s="13" t="s">
        <v>120</v>
      </c>
      <c r="E92" s="23" t="s">
        <v>223</v>
      </c>
      <c r="F92" s="23" t="s">
        <v>119</v>
      </c>
      <c r="G92" s="24" t="s">
        <v>122</v>
      </c>
      <c r="H92" s="24" t="s">
        <v>116</v>
      </c>
      <c r="I92" s="13" t="str">
        <f>IF(OR($B92="",$B92="Duplicate ID"),"",IFERROR(VLOOKUP($A92,'Use cases'!$A$5:$E$34,5,FALSE()),""))</f>
        <v>Progressive</v>
      </c>
      <c r="J92" s="11" t="str">
        <f>IF(OR($B92="",$B92="Duplicate ID"),"",IF(OR($F92="",$G92=""),"",IF(Policy!$B$24&lt;&gt;"OK","Config error",IFERROR(INDEX(Scales!$B$6:$B$10,1+INDEX(Policy!$C$5:$E$16,MATCH($F92&amp;"|"&amp;$G92,Policy!$G$5:$G$16,0),MATCH($I92,Policy!$C$4:$E$4,0))),"Config error"))))</f>
        <v>L4 Autonomous</v>
      </c>
      <c r="K92" s="13">
        <f>IF($H92="","",IF($F92=Scales!$B$24,"exempt",IFERROR(IF(VLOOKUP($H92,Conf_Check,3,FALSE())="valid",VLOOKUP($H92,Conf_Adjust,2,FALSE()),"n/a"),"n/a")))</f>
        <v>0</v>
      </c>
      <c r="L92" s="13">
        <f>IF(OR($J92="",$J92="Config error"),"",IF(OR($F92=Scales!$B$24,AND(ISNUMBER($K92),$K92=0)),4,IF(ISNUMBER($K92),MAX(1,MATCH($J92,Scales!$B$6:$B$10,0)-1+$K92),1)))</f>
        <v>4</v>
      </c>
      <c r="M92" s="5"/>
      <c r="N92" s="5"/>
      <c r="O92" s="8">
        <f>IF(OR($J92="",$J92="Config error",$E92="",$F92="",$G92="",$H92="",$R92=""),"",IF($M92="",MATCH($J92,Scales!$B$6:$B$10,0),IFERROR(MATCH($M92,Scales!$B$6:$B$10,0),MATCH($J92,Scales!$B$6:$B$10,0)))-1)</f>
        <v>4</v>
      </c>
      <c r="P92" s="12" t="str">
        <f>IF($J92="",IF(AND($B92&lt;&gt;"",$B92&lt;&gt;"Duplicate ID"),"Incomplete assessment",""),IF($J92="Config error","Config error",IF($O92="","Incomplete assessment",IF($M92="","As recommended",IF(ISERROR(MATCH($M92,Scales!$B$6:$B$10,0)),"Invalid choice",IF(MATCH($M92,Scales!$B$6:$B$10,0)&gt;MATCH($J92,Scales!$B$6:$B$10,0),"Above policy: needs sign-off",IF(MATCH($M92,Scales!$B$6:$B$10,0)&lt;MATCH($J92,Scales!$B$6:$B$10,0),"More cautious than policy","As recommended")))))))</f>
        <v>As recommended</v>
      </c>
      <c r="Q92" s="13">
        <f>IF(OR($O92="",Policy!$B$24&lt;&gt;"OK"),"",IFERROR(MIN($O92,INDEX(Policy!$C$5:$E$16,MATCH($F92&amp;"|"&amp;Scales!$B$33,Policy!$G$5:$G$16,0),MATCH($I92,Policy!$C$4:$E$4,0))),""))</f>
        <v>3</v>
      </c>
      <c r="R92" s="5">
        <v>2</v>
      </c>
      <c r="S92" s="13" t="str">
        <f>IF($B92="","",IF(COUNTIF('Readiness gate'!$A$7:$A$36,$A92)&lt;&gt;1,"Incomplete",IFERROR(IF(VLOOKUP($A92,GateTab,IF($F92=Scales!$B$24,11,9),FALSE())="","Incomplete",VLOOKUP($A92,GateTab,IF($F92=Scales!$B$24,11,9),FALSE())),"Incomplete")))</f>
        <v>Passed</v>
      </c>
      <c r="T92" s="8">
        <f>IF($O92="","",MIN(IF(AND($O92&gt;MATCH($J92,Scales!$B$6:$B$10,0)-1,$N92&lt;&gt;"Yes"),MATCH($J92,Scales!$B$6:$B$10,0)-1,$O92),$L92,IF($F92=Scales!$B$24,IF($S92="Passed",4,IF(NOT(ISNUMBER($R92)),0,IF(OR($R92&lt;0,$R92&gt;4,$R92&lt;&gt;INT($R92)),0,$R92))),IF(NOT(ISNUMBER($R92)),0,IF(OR($R92&lt;0,$R92&gt;4,$R92&lt;&gt;INT($R92)),0,$R92))+IF($S92="Passed",1,0)),IF(AND($F92&lt;&gt;Scales!$B$24,OR($F92=Scales!$B$27,$G92=Scales!$B$33)),3,4)))</f>
        <v>3</v>
      </c>
      <c r="U92" s="13" t="str">
        <f>IF($O92="",IF(AND($B92&lt;&gt;"",$B92&lt;&gt;"Duplicate ID"),IF($J92="Config error","Config error","Incomplete assessment"),""),IF($T92&gt;=$O92,IF(LEFT($P92,4)="More","Own choice","None"),MID(IF(AND($O92&gt;MATCH($J92,Scales!$B$6:$B$10,0)-1,$N92&lt;&gt;"Yes",$T92=MATCH($J92,Scales!$B$6:$B$10,0)-1)," + Exception not approved","")&amp;IF(AND($F92&lt;&gt;Scales!$B$24,OR($F92=Scales!$B$27,$G92=Scales!$B$33),$T92=3)," + Human-signature guardrail","")&amp;IF($T92=$L92," + Model confidence","")&amp;IF($T92=IF($F92=Scales!$B$24,IF($S92="Passed",4,IF(NOT(ISNUMBER($R92)),0,IF(OR($R92&lt;0,$R92&gt;4,$R92&lt;&gt;INT($R92)),0,$R92))),IF(NOT(ISNUMBER($R92)),0,IF(OR($R92&lt;0,$R92&gt;4,$R92&lt;&gt;INT($R92)),0,$R92))+IF($S92="Passed",1,0))," + "&amp;IF($S92&lt;&gt;"Passed","Readiness gate","Readiness gate (one level per gate)"),""),4,200)))</f>
        <v>Readiness gate (one level per gate)</v>
      </c>
      <c r="V92" s="23"/>
    </row>
    <row r="93" spans="1:22" x14ac:dyDescent="0.25">
      <c r="A93" s="8" t="s">
        <v>220</v>
      </c>
      <c r="B93" s="11" t="str">
        <f>IF($A93="","",IF(COUNTIF('Use cases'!$A$5:$A$34,$A93)&gt;1,"Duplicate ID",IFERROR(IF(VLOOKUP($A93,'Use cases'!$A$5:$B$34,2,FALSE())=0,"",VLOOKUP($A93,'Use cases'!$A$5:$B$34,2,FALSE())),"")))</f>
        <v>New internet-exposed critical CVE</v>
      </c>
      <c r="C93" s="12" t="str">
        <f>IF(OR($B93="",$B93="Duplicate ID"),"",IFERROR(VLOOKUP($A93,'Use cases'!$A$5:$C$34,3,FALSE()),""))</f>
        <v>Exposure</v>
      </c>
      <c r="D93" s="13" t="s">
        <v>123</v>
      </c>
      <c r="E93" s="23" t="s">
        <v>224</v>
      </c>
      <c r="F93" s="23" t="s">
        <v>134</v>
      </c>
      <c r="G93" s="24" t="s">
        <v>116</v>
      </c>
      <c r="H93" s="24" t="s">
        <v>122</v>
      </c>
      <c r="I93" s="13" t="str">
        <f>IF(OR($B93="",$B93="Duplicate ID"),"",IFERROR(VLOOKUP($A93,'Use cases'!$A$5:$E$34,5,FALSE()),""))</f>
        <v>Progressive</v>
      </c>
      <c r="J93" s="11" t="str">
        <f>IF(OR($B93="",$B93="Duplicate ID"),"",IF(OR($F93="",$G93=""),"",IF(Policy!$B$24&lt;&gt;"OK","Config error",IFERROR(INDEX(Scales!$B$6:$B$10,1+INDEX(Policy!$C$5:$E$16,MATCH($F93&amp;"|"&amp;$G93,Policy!$G$5:$G$16,0),MATCH($I93,Policy!$C$4:$E$4,0))),"Config error"))))</f>
        <v>L3 Human-approved</v>
      </c>
      <c r="K93" s="13">
        <f>IF($H93="","",IF($F93=Scales!$B$24,"exempt",IFERROR(IF(VLOOKUP($H93,Conf_Check,3,FALSE())="valid",VLOOKUP($H93,Conf_Adjust,2,FALSE()),"n/a"),"n/a")))</f>
        <v>-1</v>
      </c>
      <c r="L93" s="13">
        <f>IF(OR($J93="",$J93="Config error"),"",IF(OR($F93=Scales!$B$24,AND(ISNUMBER($K93),$K93=0)),4,IF(ISNUMBER($K93),MAX(1,MATCH($J93,Scales!$B$6:$B$10,0)-1+$K93),1)))</f>
        <v>2</v>
      </c>
      <c r="M93" s="5"/>
      <c r="N93" s="5"/>
      <c r="O93" s="8">
        <f>IF(OR($J93="",$J93="Config error",$E93="",$F93="",$G93="",$H93="",$R93=""),"",IF($M93="",MATCH($J93,Scales!$B$6:$B$10,0),IFERROR(MATCH($M93,Scales!$B$6:$B$10,0),MATCH($J93,Scales!$B$6:$B$10,0)))-1)</f>
        <v>3</v>
      </c>
      <c r="P93" s="12" t="str">
        <f>IF($J93="",IF(AND($B93&lt;&gt;"",$B93&lt;&gt;"Duplicate ID"),"Incomplete assessment",""),IF($J93="Config error","Config error",IF($O93="","Incomplete assessment",IF($M93="","As recommended",IF(ISERROR(MATCH($M93,Scales!$B$6:$B$10,0)),"Invalid choice",IF(MATCH($M93,Scales!$B$6:$B$10,0)&gt;MATCH($J93,Scales!$B$6:$B$10,0),"Above policy: needs sign-off",IF(MATCH($M93,Scales!$B$6:$B$10,0)&lt;MATCH($J93,Scales!$B$6:$B$10,0),"More cautious than policy","As recommended")))))))</f>
        <v>As recommended</v>
      </c>
      <c r="Q93" s="13">
        <f>IF(OR($O93="",Policy!$B$24&lt;&gt;"OK"),"",IFERROR(MIN($O93,INDEX(Policy!$C$5:$E$16,MATCH($F93&amp;"|"&amp;Scales!$B$33,Policy!$G$5:$G$16,0),MATCH($I93,Policy!$C$4:$E$4,0))),""))</f>
        <v>3</v>
      </c>
      <c r="R93" s="5">
        <v>1</v>
      </c>
      <c r="S93" s="13" t="str">
        <f>IF($B93="","",IF(COUNTIF('Readiness gate'!$A$7:$A$36,$A93)&lt;&gt;1,"Incomplete",IFERROR(IF(VLOOKUP($A93,GateTab,IF($F93=Scales!$B$24,11,9),FALSE())="","Incomplete",VLOOKUP($A93,GateTab,IF($F93=Scales!$B$24,11,9),FALSE())),"Incomplete")))</f>
        <v>Passed</v>
      </c>
      <c r="T93" s="8">
        <f>IF($O93="","",MIN(IF(AND($O93&gt;MATCH($J93,Scales!$B$6:$B$10,0)-1,$N93&lt;&gt;"Yes"),MATCH($J93,Scales!$B$6:$B$10,0)-1,$O93),$L93,IF($F93=Scales!$B$24,IF($S93="Passed",4,IF(NOT(ISNUMBER($R93)),0,IF(OR($R93&lt;0,$R93&gt;4,$R93&lt;&gt;INT($R93)),0,$R93))),IF(NOT(ISNUMBER($R93)),0,IF(OR($R93&lt;0,$R93&gt;4,$R93&lt;&gt;INT($R93)),0,$R93))+IF($S93="Passed",1,0)),IF(AND($F93&lt;&gt;Scales!$B$24,OR($F93=Scales!$B$27,$G93=Scales!$B$33)),3,4)))</f>
        <v>2</v>
      </c>
      <c r="U93" s="13" t="str">
        <f>IF($O93="",IF(AND($B93&lt;&gt;"",$B93&lt;&gt;"Duplicate ID"),IF($J93="Config error","Config error","Incomplete assessment"),""),IF($T93&gt;=$O93,IF(LEFT($P93,4)="More","Own choice","None"),MID(IF(AND($O93&gt;MATCH($J93,Scales!$B$6:$B$10,0)-1,$N93&lt;&gt;"Yes",$T93=MATCH($J93,Scales!$B$6:$B$10,0)-1)," + Exception not approved","")&amp;IF(AND($F93&lt;&gt;Scales!$B$24,OR($F93=Scales!$B$27,$G93=Scales!$B$33),$T93=3)," + Human-signature guardrail","")&amp;IF($T93=$L93," + Model confidence","")&amp;IF($T93=IF($F93=Scales!$B$24,IF($S93="Passed",4,IF(NOT(ISNUMBER($R93)),0,IF(OR($R93&lt;0,$R93&gt;4,$R93&lt;&gt;INT($R93)),0,$R93))),IF(NOT(ISNUMBER($R93)),0,IF(OR($R93&lt;0,$R93&gt;4,$R93&lt;&gt;INT($R93)),0,$R93))+IF($S93="Passed",1,0))," + "&amp;IF($S93&lt;&gt;"Passed","Readiness gate","Readiness gate (one level per gate)"),""),4,200)))</f>
        <v>Model confidence + Readiness gate (one level per gate)</v>
      </c>
      <c r="V93" s="23"/>
    </row>
    <row r="94" spans="1:22" x14ac:dyDescent="0.25">
      <c r="A94" s="8" t="s">
        <v>220</v>
      </c>
      <c r="B94" s="11" t="str">
        <f>IF($A94="","",IF(COUNTIF('Use cases'!$A$5:$A$34,$A94)&gt;1,"Duplicate ID",IFERROR(IF(VLOOKUP($A94,'Use cases'!$A$5:$B$34,2,FALSE())=0,"",VLOOKUP($A94,'Use cases'!$A$5:$B$34,2,FALSE())),"")))</f>
        <v>New internet-exposed critical CVE</v>
      </c>
      <c r="C94" s="12" t="str">
        <f>IF(OR($B94="",$B94="Duplicate ID"),"",IFERROR(VLOOKUP($A94,'Use cases'!$A$5:$C$34,3,FALSE()),""))</f>
        <v>Exposure</v>
      </c>
      <c r="D94" s="13" t="s">
        <v>125</v>
      </c>
      <c r="E94" s="23" t="s">
        <v>225</v>
      </c>
      <c r="F94" s="23" t="s">
        <v>119</v>
      </c>
      <c r="G94" s="24" t="s">
        <v>115</v>
      </c>
      <c r="H94" s="24" t="s">
        <v>122</v>
      </c>
      <c r="I94" s="13" t="str">
        <f>IF(OR($B94="",$B94="Duplicate ID"),"",IFERROR(VLOOKUP($A94,'Use cases'!$A$5:$E$34,5,FALSE()),""))</f>
        <v>Progressive</v>
      </c>
      <c r="J94" s="11" t="str">
        <f>IF(OR($B94="",$B94="Duplicate ID"),"",IF(OR($F94="",$G94=""),"",IF(Policy!$B$24&lt;&gt;"OK","Config error",IFERROR(INDEX(Scales!$B$6:$B$10,1+INDEX(Policy!$C$5:$E$16,MATCH($F94&amp;"|"&amp;$G94,Policy!$G$5:$G$16,0),MATCH($I94,Policy!$C$4:$E$4,0))),"Config error"))))</f>
        <v>L4 Autonomous</v>
      </c>
      <c r="K94" s="13">
        <f>IF($H94="","",IF($F94=Scales!$B$24,"exempt",IFERROR(IF(VLOOKUP($H94,Conf_Check,3,FALSE())="valid",VLOOKUP($H94,Conf_Adjust,2,FALSE()),"n/a"),"n/a")))</f>
        <v>-1</v>
      </c>
      <c r="L94" s="13">
        <f>IF(OR($J94="",$J94="Config error"),"",IF(OR($F94=Scales!$B$24,AND(ISNUMBER($K94),$K94=0)),4,IF(ISNUMBER($K94),MAX(1,MATCH($J94,Scales!$B$6:$B$10,0)-1+$K94),1)))</f>
        <v>3</v>
      </c>
      <c r="M94" s="5"/>
      <c r="N94" s="5"/>
      <c r="O94" s="8">
        <f>IF(OR($J94="",$J94="Config error",$E94="",$F94="",$G94="",$H94="",$R94=""),"",IF($M94="",MATCH($J94,Scales!$B$6:$B$10,0),IFERROR(MATCH($M94,Scales!$B$6:$B$10,0),MATCH($J94,Scales!$B$6:$B$10,0)))-1)</f>
        <v>4</v>
      </c>
      <c r="P94" s="12" t="str">
        <f>IF($J94="",IF(AND($B94&lt;&gt;"",$B94&lt;&gt;"Duplicate ID"),"Incomplete assessment",""),IF($J94="Config error","Config error",IF($O94="","Incomplete assessment",IF($M94="","As recommended",IF(ISERROR(MATCH($M94,Scales!$B$6:$B$10,0)),"Invalid choice",IF(MATCH($M94,Scales!$B$6:$B$10,0)&gt;MATCH($J94,Scales!$B$6:$B$10,0),"Above policy: needs sign-off",IF(MATCH($M94,Scales!$B$6:$B$10,0)&lt;MATCH($J94,Scales!$B$6:$B$10,0),"More cautious than policy","As recommended")))))))</f>
        <v>As recommended</v>
      </c>
      <c r="Q94" s="13">
        <f>IF(OR($O94="",Policy!$B$24&lt;&gt;"OK"),"",IFERROR(MIN($O94,INDEX(Policy!$C$5:$E$16,MATCH($F94&amp;"|"&amp;Scales!$B$33,Policy!$G$5:$G$16,0),MATCH($I94,Policy!$C$4:$E$4,0))),""))</f>
        <v>3</v>
      </c>
      <c r="R94" s="5">
        <v>1</v>
      </c>
      <c r="S94" s="13" t="str">
        <f>IF($B94="","",IF(COUNTIF('Readiness gate'!$A$7:$A$36,$A94)&lt;&gt;1,"Incomplete",IFERROR(IF(VLOOKUP($A94,GateTab,IF($F94=Scales!$B$24,11,9),FALSE())="","Incomplete",VLOOKUP($A94,GateTab,IF($F94=Scales!$B$24,11,9),FALSE())),"Incomplete")))</f>
        <v>Passed</v>
      </c>
      <c r="T94" s="8">
        <f>IF($O94="","",MIN(IF(AND($O94&gt;MATCH($J94,Scales!$B$6:$B$10,0)-1,$N94&lt;&gt;"Yes"),MATCH($J94,Scales!$B$6:$B$10,0)-1,$O94),$L94,IF($F94=Scales!$B$24,IF($S94="Passed",4,IF(NOT(ISNUMBER($R94)),0,IF(OR($R94&lt;0,$R94&gt;4,$R94&lt;&gt;INT($R94)),0,$R94))),IF(NOT(ISNUMBER($R94)),0,IF(OR($R94&lt;0,$R94&gt;4,$R94&lt;&gt;INT($R94)),0,$R94))+IF($S94="Passed",1,0)),IF(AND($F94&lt;&gt;Scales!$B$24,OR($F94=Scales!$B$27,$G94=Scales!$B$33)),3,4)))</f>
        <v>2</v>
      </c>
      <c r="U94" s="13" t="str">
        <f>IF($O94="",IF(AND($B94&lt;&gt;"",$B94&lt;&gt;"Duplicate ID"),IF($J94="Config error","Config error","Incomplete assessment"),""),IF($T94&gt;=$O94,IF(LEFT($P94,4)="More","Own choice","None"),MID(IF(AND($O94&gt;MATCH($J94,Scales!$B$6:$B$10,0)-1,$N94&lt;&gt;"Yes",$T94=MATCH($J94,Scales!$B$6:$B$10,0)-1)," + Exception not approved","")&amp;IF(AND($F94&lt;&gt;Scales!$B$24,OR($F94=Scales!$B$27,$G94=Scales!$B$33),$T94=3)," + Human-signature guardrail","")&amp;IF($T94=$L94," + Model confidence","")&amp;IF($T94=IF($F94=Scales!$B$24,IF($S94="Passed",4,IF(NOT(ISNUMBER($R94)),0,IF(OR($R94&lt;0,$R94&gt;4,$R94&lt;&gt;INT($R94)),0,$R94))),IF(NOT(ISNUMBER($R94)),0,IF(OR($R94&lt;0,$R94&gt;4,$R94&lt;&gt;INT($R94)),0,$R94))+IF($S94="Passed",1,0))," + "&amp;IF($S94&lt;&gt;"Passed","Readiness gate","Readiness gate (one level per gate)"),""),4,200)))</f>
        <v>Readiness gate (one level per gate)</v>
      </c>
      <c r="V94" s="23"/>
    </row>
    <row r="95" spans="1:22" x14ac:dyDescent="0.25">
      <c r="A95" s="8" t="s">
        <v>220</v>
      </c>
      <c r="B95" s="11" t="str">
        <f>IF($A95="","",IF(COUNTIF('Use cases'!$A$5:$A$34,$A95)&gt;1,"Duplicate ID",IFERROR(IF(VLOOKUP($A95,'Use cases'!$A$5:$B$34,2,FALSE())=0,"",VLOOKUP($A95,'Use cases'!$A$5:$B$34,2,FALSE())),"")))</f>
        <v>New internet-exposed critical CVE</v>
      </c>
      <c r="C95" s="12" t="str">
        <f>IF(OR($B95="",$B95="Duplicate ID"),"",IFERROR(VLOOKUP($A95,'Use cases'!$A$5:$C$34,3,FALSE()),""))</f>
        <v>Exposure</v>
      </c>
      <c r="D95" s="13" t="s">
        <v>127</v>
      </c>
      <c r="E95" s="23" t="s">
        <v>226</v>
      </c>
      <c r="F95" s="23" t="s">
        <v>119</v>
      </c>
      <c r="G95" s="24" t="s">
        <v>115</v>
      </c>
      <c r="H95" s="24" t="s">
        <v>116</v>
      </c>
      <c r="I95" s="13" t="str">
        <f>IF(OR($B95="",$B95="Duplicate ID"),"",IFERROR(VLOOKUP($A95,'Use cases'!$A$5:$E$34,5,FALSE()),""))</f>
        <v>Progressive</v>
      </c>
      <c r="J95" s="11" t="str">
        <f>IF(OR($B95="",$B95="Duplicate ID"),"",IF(OR($F95="",$G95=""),"",IF(Policy!$B$24&lt;&gt;"OK","Config error",IFERROR(INDEX(Scales!$B$6:$B$10,1+INDEX(Policy!$C$5:$E$16,MATCH($F95&amp;"|"&amp;$G95,Policy!$G$5:$G$16,0),MATCH($I95,Policy!$C$4:$E$4,0))),"Config error"))))</f>
        <v>L4 Autonomous</v>
      </c>
      <c r="K95" s="13">
        <f>IF($H95="","",IF($F95=Scales!$B$24,"exempt",IFERROR(IF(VLOOKUP($H95,Conf_Check,3,FALSE())="valid",VLOOKUP($H95,Conf_Adjust,2,FALSE()),"n/a"),"n/a")))</f>
        <v>0</v>
      </c>
      <c r="L95" s="13">
        <f>IF(OR($J95="",$J95="Config error"),"",IF(OR($F95=Scales!$B$24,AND(ISNUMBER($K95),$K95=0)),4,IF(ISNUMBER($K95),MAX(1,MATCH($J95,Scales!$B$6:$B$10,0)-1+$K95),1)))</f>
        <v>4</v>
      </c>
      <c r="M95" s="5"/>
      <c r="N95" s="5"/>
      <c r="O95" s="8">
        <f>IF(OR($J95="",$J95="Config error",$E95="",$F95="",$G95="",$H95="",$R95=""),"",IF($M95="",MATCH($J95,Scales!$B$6:$B$10,0),IFERROR(MATCH($M95,Scales!$B$6:$B$10,0),MATCH($J95,Scales!$B$6:$B$10,0)))-1)</f>
        <v>4</v>
      </c>
      <c r="P95" s="12" t="str">
        <f>IF($J95="",IF(AND($B95&lt;&gt;"",$B95&lt;&gt;"Duplicate ID"),"Incomplete assessment",""),IF($J95="Config error","Config error",IF($O95="","Incomplete assessment",IF($M95="","As recommended",IF(ISERROR(MATCH($M95,Scales!$B$6:$B$10,0)),"Invalid choice",IF(MATCH($M95,Scales!$B$6:$B$10,0)&gt;MATCH($J95,Scales!$B$6:$B$10,0),"Above policy: needs sign-off",IF(MATCH($M95,Scales!$B$6:$B$10,0)&lt;MATCH($J95,Scales!$B$6:$B$10,0),"More cautious than policy","As recommended")))))))</f>
        <v>As recommended</v>
      </c>
      <c r="Q95" s="13">
        <f>IF(OR($O95="",Policy!$B$24&lt;&gt;"OK"),"",IFERROR(MIN($O95,INDEX(Policy!$C$5:$E$16,MATCH($F95&amp;"|"&amp;Scales!$B$33,Policy!$G$5:$G$16,0),MATCH($I95,Policy!$C$4:$E$4,0))),""))</f>
        <v>3</v>
      </c>
      <c r="R95" s="5">
        <v>1</v>
      </c>
      <c r="S95" s="13" t="str">
        <f>IF($B95="","",IF(COUNTIF('Readiness gate'!$A$7:$A$36,$A95)&lt;&gt;1,"Incomplete",IFERROR(IF(VLOOKUP($A95,GateTab,IF($F95=Scales!$B$24,11,9),FALSE())="","Incomplete",VLOOKUP($A95,GateTab,IF($F95=Scales!$B$24,11,9),FALSE())),"Incomplete")))</f>
        <v>Passed</v>
      </c>
      <c r="T95" s="8">
        <f>IF($O95="","",MIN(IF(AND($O95&gt;MATCH($J95,Scales!$B$6:$B$10,0)-1,$N95&lt;&gt;"Yes"),MATCH($J95,Scales!$B$6:$B$10,0)-1,$O95),$L95,IF($F95=Scales!$B$24,IF($S95="Passed",4,IF(NOT(ISNUMBER($R95)),0,IF(OR($R95&lt;0,$R95&gt;4,$R95&lt;&gt;INT($R95)),0,$R95))),IF(NOT(ISNUMBER($R95)),0,IF(OR($R95&lt;0,$R95&gt;4,$R95&lt;&gt;INT($R95)),0,$R95))+IF($S95="Passed",1,0)),IF(AND($F95&lt;&gt;Scales!$B$24,OR($F95=Scales!$B$27,$G95=Scales!$B$33)),3,4)))</f>
        <v>2</v>
      </c>
      <c r="U95" s="13" t="str">
        <f>IF($O95="",IF(AND($B95&lt;&gt;"",$B95&lt;&gt;"Duplicate ID"),IF($J95="Config error","Config error","Incomplete assessment"),""),IF($T95&gt;=$O95,IF(LEFT($P95,4)="More","Own choice","None"),MID(IF(AND($O95&gt;MATCH($J95,Scales!$B$6:$B$10,0)-1,$N95&lt;&gt;"Yes",$T95=MATCH($J95,Scales!$B$6:$B$10,0)-1)," + Exception not approved","")&amp;IF(AND($F95&lt;&gt;Scales!$B$24,OR($F95=Scales!$B$27,$G95=Scales!$B$33),$T95=3)," + Human-signature guardrail","")&amp;IF($T95=$L95," + Model confidence","")&amp;IF($T95=IF($F95=Scales!$B$24,IF($S95="Passed",4,IF(NOT(ISNUMBER($R95)),0,IF(OR($R95&lt;0,$R95&gt;4,$R95&lt;&gt;INT($R95)),0,$R95))),IF(NOT(ISNUMBER($R95)),0,IF(OR($R95&lt;0,$R95&gt;4,$R95&lt;&gt;INT($R95)),0,$R95))+IF($S95="Passed",1,0))," + "&amp;IF($S95&lt;&gt;"Passed","Readiness gate","Readiness gate (one level per gate)"),""),4,200)))</f>
        <v>Readiness gate (one level per gate)</v>
      </c>
      <c r="V95" s="23"/>
    </row>
    <row r="96" spans="1:22" x14ac:dyDescent="0.25">
      <c r="A96" s="8" t="s">
        <v>227</v>
      </c>
      <c r="B96" s="11" t="str">
        <f>IF($A96="","",IF(COUNTIF('Use cases'!$A$5:$A$34,$A96)&gt;1,"Duplicate ID",IFERROR(IF(VLOOKUP($A96,'Use cases'!$A$5:$B$34,2,FALSE())=0,"",VLOOKUP($A96,'Use cases'!$A$5:$B$34,2,FALSE())),"")))</f>
        <v>Suspicious admin creation</v>
      </c>
      <c r="C96" s="12" t="str">
        <f>IF(OR($B96="",$B96="Duplicate ID"),"",IFERROR(VLOOKUP($A96,'Use cases'!$A$5:$C$34,3,FALSE()),""))</f>
        <v>Identity</v>
      </c>
      <c r="D96" s="13" t="s">
        <v>112</v>
      </c>
      <c r="E96" s="23" t="s">
        <v>228</v>
      </c>
      <c r="F96" s="23" t="s">
        <v>114</v>
      </c>
      <c r="G96" s="24" t="s">
        <v>115</v>
      </c>
      <c r="H96" s="24" t="s">
        <v>122</v>
      </c>
      <c r="I96" s="13" t="str">
        <f>IF(OR($B96="",$B96="Duplicate ID"),"",IFERROR(VLOOKUP($A96,'Use cases'!$A$5:$E$34,5,FALSE()),""))</f>
        <v>Progressive</v>
      </c>
      <c r="J96" s="11" t="str">
        <f>IF(OR($B96="",$B96="Duplicate ID"),"",IF(OR($F96="",$G96=""),"",IF(Policy!$B$24&lt;&gt;"OK","Config error",IFERROR(INDEX(Scales!$B$6:$B$10,1+INDEX(Policy!$C$5:$E$16,MATCH($F96&amp;"|"&amp;$G96,Policy!$G$5:$G$16,0),MATCH($I96,Policy!$C$4:$E$4,0))),"Config error"))))</f>
        <v>L4 Autonomous</v>
      </c>
      <c r="K96" s="13" t="str">
        <f>IF($H96="","",IF($F96=Scales!$B$24,"exempt",IFERROR(IF(VLOOKUP($H96,Conf_Check,3,FALSE())="valid",VLOOKUP($H96,Conf_Adjust,2,FALSE()),"n/a"),"n/a")))</f>
        <v>exempt</v>
      </c>
      <c r="L96" s="13">
        <f>IF(OR($J96="",$J96="Config error"),"",IF(OR($F96=Scales!$B$24,AND(ISNUMBER($K96),$K96=0)),4,IF(ISNUMBER($K96),MAX(1,MATCH($J96,Scales!$B$6:$B$10,0)-1+$K96),1)))</f>
        <v>4</v>
      </c>
      <c r="M96" s="5"/>
      <c r="N96" s="5"/>
      <c r="O96" s="8">
        <f>IF(OR($J96="",$J96="Config error",$E96="",$F96="",$G96="",$H96="",$R96=""),"",IF($M96="",MATCH($J96,Scales!$B$6:$B$10,0),IFERROR(MATCH($M96,Scales!$B$6:$B$10,0),MATCH($J96,Scales!$B$6:$B$10,0)))-1)</f>
        <v>4</v>
      </c>
      <c r="P96" s="12" t="str">
        <f>IF($J96="",IF(AND($B96&lt;&gt;"",$B96&lt;&gt;"Duplicate ID"),"Incomplete assessment",""),IF($J96="Config error","Config error",IF($O96="","Incomplete assessment",IF($M96="","As recommended",IF(ISERROR(MATCH($M96,Scales!$B$6:$B$10,0)),"Invalid choice",IF(MATCH($M96,Scales!$B$6:$B$10,0)&gt;MATCH($J96,Scales!$B$6:$B$10,0),"Above policy: needs sign-off",IF(MATCH($M96,Scales!$B$6:$B$10,0)&lt;MATCH($J96,Scales!$B$6:$B$10,0),"More cautious than policy","As recommended")))))))</f>
        <v>As recommended</v>
      </c>
      <c r="Q96" s="13">
        <f>IF(OR($O96="",Policy!$B$24&lt;&gt;"OK"),"",IFERROR(MIN($O96,INDEX(Policy!$C$5:$E$16,MATCH($F96&amp;"|"&amp;Scales!$B$33,Policy!$G$5:$G$16,0),MATCH($I96,Policy!$C$4:$E$4,0))),""))</f>
        <v>4</v>
      </c>
      <c r="R96" s="5">
        <v>1</v>
      </c>
      <c r="S96" s="13" t="str">
        <f>IF($B96="","",IF(COUNTIF('Readiness gate'!$A$7:$A$36,$A96)&lt;&gt;1,"Incomplete",IFERROR(IF(VLOOKUP($A96,GateTab,IF($F96=Scales!$B$24,11,9),FALSE())="","Incomplete",VLOOKUP($A96,GateTab,IF($F96=Scales!$B$24,11,9),FALSE())),"Incomplete")))</f>
        <v>Not passed</v>
      </c>
      <c r="T96" s="8">
        <f>IF($O96="","",MIN(IF(AND($O96&gt;MATCH($J96,Scales!$B$6:$B$10,0)-1,$N96&lt;&gt;"Yes"),MATCH($J96,Scales!$B$6:$B$10,0)-1,$O96),$L96,IF($F96=Scales!$B$24,IF($S96="Passed",4,IF(NOT(ISNUMBER($R96)),0,IF(OR($R96&lt;0,$R96&gt;4,$R96&lt;&gt;INT($R96)),0,$R96))),IF(NOT(ISNUMBER($R96)),0,IF(OR($R96&lt;0,$R96&gt;4,$R96&lt;&gt;INT($R96)),0,$R96))+IF($S96="Passed",1,0)),IF(AND($F96&lt;&gt;Scales!$B$24,OR($F96=Scales!$B$27,$G96=Scales!$B$33)),3,4)))</f>
        <v>1</v>
      </c>
      <c r="U96" s="13" t="str">
        <f>IF($O96="",IF(AND($B96&lt;&gt;"",$B96&lt;&gt;"Duplicate ID"),IF($J96="Config error","Config error","Incomplete assessment"),""),IF($T96&gt;=$O96,IF(LEFT($P96,4)="More","Own choice","None"),MID(IF(AND($O96&gt;MATCH($J96,Scales!$B$6:$B$10,0)-1,$N96&lt;&gt;"Yes",$T96=MATCH($J96,Scales!$B$6:$B$10,0)-1)," + Exception not approved","")&amp;IF(AND($F96&lt;&gt;Scales!$B$24,OR($F96=Scales!$B$27,$G96=Scales!$B$33),$T96=3)," + Human-signature guardrail","")&amp;IF($T96=$L96," + Model confidence","")&amp;IF($T96=IF($F96=Scales!$B$24,IF($S96="Passed",4,IF(NOT(ISNUMBER($R96)),0,IF(OR($R96&lt;0,$R96&gt;4,$R96&lt;&gt;INT($R96)),0,$R96))),IF(NOT(ISNUMBER($R96)),0,IF(OR($R96&lt;0,$R96&gt;4,$R96&lt;&gt;INT($R96)),0,$R96))+IF($S96="Passed",1,0))," + "&amp;IF($S96&lt;&gt;"Passed","Readiness gate","Readiness gate (one level per gate)"),""),4,200)))</f>
        <v>Readiness gate</v>
      </c>
      <c r="V96" s="23"/>
    </row>
    <row r="97" spans="1:22" x14ac:dyDescent="0.25">
      <c r="A97" s="8" t="s">
        <v>227</v>
      </c>
      <c r="B97" s="11" t="str">
        <f>IF($A97="","",IF(COUNTIF('Use cases'!$A$5:$A$34,$A97)&gt;1,"Duplicate ID",IFERROR(IF(VLOOKUP($A97,'Use cases'!$A$5:$B$34,2,FALSE())=0,"",VLOOKUP($A97,'Use cases'!$A$5:$B$34,2,FALSE())),"")))</f>
        <v>Suspicious admin creation</v>
      </c>
      <c r="C97" s="12" t="str">
        <f>IF(OR($B97="",$B97="Duplicate ID"),"",IFERROR(VLOOKUP($A97,'Use cases'!$A$5:$C$34,3,FALSE()),""))</f>
        <v>Identity</v>
      </c>
      <c r="D97" s="13" t="s">
        <v>117</v>
      </c>
      <c r="E97" s="23" t="s">
        <v>229</v>
      </c>
      <c r="F97" s="23" t="s">
        <v>119</v>
      </c>
      <c r="G97" s="24" t="s">
        <v>115</v>
      </c>
      <c r="H97" s="24" t="s">
        <v>122</v>
      </c>
      <c r="I97" s="13" t="str">
        <f>IF(OR($B97="",$B97="Duplicate ID"),"",IFERROR(VLOOKUP($A97,'Use cases'!$A$5:$E$34,5,FALSE()),""))</f>
        <v>Progressive</v>
      </c>
      <c r="J97" s="11" t="str">
        <f>IF(OR($B97="",$B97="Duplicate ID"),"",IF(OR($F97="",$G97=""),"",IF(Policy!$B$24&lt;&gt;"OK","Config error",IFERROR(INDEX(Scales!$B$6:$B$10,1+INDEX(Policy!$C$5:$E$16,MATCH($F97&amp;"|"&amp;$G97,Policy!$G$5:$G$16,0),MATCH($I97,Policy!$C$4:$E$4,0))),"Config error"))))</f>
        <v>L4 Autonomous</v>
      </c>
      <c r="K97" s="13">
        <f>IF($H97="","",IF($F97=Scales!$B$24,"exempt",IFERROR(IF(VLOOKUP($H97,Conf_Check,3,FALSE())="valid",VLOOKUP($H97,Conf_Adjust,2,FALSE()),"n/a"),"n/a")))</f>
        <v>-1</v>
      </c>
      <c r="L97" s="13">
        <f>IF(OR($J97="",$J97="Config error"),"",IF(OR($F97=Scales!$B$24,AND(ISNUMBER($K97),$K97=0)),4,IF(ISNUMBER($K97),MAX(1,MATCH($J97,Scales!$B$6:$B$10,0)-1+$K97),1)))</f>
        <v>3</v>
      </c>
      <c r="M97" s="5"/>
      <c r="N97" s="5"/>
      <c r="O97" s="8">
        <f>IF(OR($J97="",$J97="Config error",$E97="",$F97="",$G97="",$H97="",$R97=""),"",IF($M97="",MATCH($J97,Scales!$B$6:$B$10,0),IFERROR(MATCH($M97,Scales!$B$6:$B$10,0),MATCH($J97,Scales!$B$6:$B$10,0)))-1)</f>
        <v>4</v>
      </c>
      <c r="P97" s="12" t="str">
        <f>IF($J97="",IF(AND($B97&lt;&gt;"",$B97&lt;&gt;"Duplicate ID"),"Incomplete assessment",""),IF($J97="Config error","Config error",IF($O97="","Incomplete assessment",IF($M97="","As recommended",IF(ISERROR(MATCH($M97,Scales!$B$6:$B$10,0)),"Invalid choice",IF(MATCH($M97,Scales!$B$6:$B$10,0)&gt;MATCH($J97,Scales!$B$6:$B$10,0),"Above policy: needs sign-off",IF(MATCH($M97,Scales!$B$6:$B$10,0)&lt;MATCH($J97,Scales!$B$6:$B$10,0),"More cautious than policy","As recommended")))))))</f>
        <v>As recommended</v>
      </c>
      <c r="Q97" s="13">
        <f>IF(OR($O97="",Policy!$B$24&lt;&gt;"OK"),"",IFERROR(MIN($O97,INDEX(Policy!$C$5:$E$16,MATCH($F97&amp;"|"&amp;Scales!$B$33,Policy!$G$5:$G$16,0),MATCH($I97,Policy!$C$4:$E$4,0))),""))</f>
        <v>3</v>
      </c>
      <c r="R97" s="5">
        <v>1</v>
      </c>
      <c r="S97" s="13" t="str">
        <f>IF($B97="","",IF(COUNTIF('Readiness gate'!$A$7:$A$36,$A97)&lt;&gt;1,"Incomplete",IFERROR(IF(VLOOKUP($A97,GateTab,IF($F97=Scales!$B$24,11,9),FALSE())="","Incomplete",VLOOKUP($A97,GateTab,IF($F97=Scales!$B$24,11,9),FALSE())),"Incomplete")))</f>
        <v>Not passed</v>
      </c>
      <c r="T97" s="8">
        <f>IF($O97="","",MIN(IF(AND($O97&gt;MATCH($J97,Scales!$B$6:$B$10,0)-1,$N97&lt;&gt;"Yes"),MATCH($J97,Scales!$B$6:$B$10,0)-1,$O97),$L97,IF($F97=Scales!$B$24,IF($S97="Passed",4,IF(NOT(ISNUMBER($R97)),0,IF(OR($R97&lt;0,$R97&gt;4,$R97&lt;&gt;INT($R97)),0,$R97))),IF(NOT(ISNUMBER($R97)),0,IF(OR($R97&lt;0,$R97&gt;4,$R97&lt;&gt;INT($R97)),0,$R97))+IF($S97="Passed",1,0)),IF(AND($F97&lt;&gt;Scales!$B$24,OR($F97=Scales!$B$27,$G97=Scales!$B$33)),3,4)))</f>
        <v>1</v>
      </c>
      <c r="U97" s="13" t="str">
        <f>IF($O97="",IF(AND($B97&lt;&gt;"",$B97&lt;&gt;"Duplicate ID"),IF($J97="Config error","Config error","Incomplete assessment"),""),IF($T97&gt;=$O97,IF(LEFT($P97,4)="More","Own choice","None"),MID(IF(AND($O97&gt;MATCH($J97,Scales!$B$6:$B$10,0)-1,$N97&lt;&gt;"Yes",$T97=MATCH($J97,Scales!$B$6:$B$10,0)-1)," + Exception not approved","")&amp;IF(AND($F97&lt;&gt;Scales!$B$24,OR($F97=Scales!$B$27,$G97=Scales!$B$33),$T97=3)," + Human-signature guardrail","")&amp;IF($T97=$L97," + Model confidence","")&amp;IF($T97=IF($F97=Scales!$B$24,IF($S97="Passed",4,IF(NOT(ISNUMBER($R97)),0,IF(OR($R97&lt;0,$R97&gt;4,$R97&lt;&gt;INT($R97)),0,$R97))),IF(NOT(ISNUMBER($R97)),0,IF(OR($R97&lt;0,$R97&gt;4,$R97&lt;&gt;INT($R97)),0,$R97))+IF($S97="Passed",1,0))," + "&amp;IF($S97&lt;&gt;"Passed","Readiness gate","Readiness gate (one level per gate)"),""),4,200)))</f>
        <v>Readiness gate</v>
      </c>
      <c r="V97" s="23"/>
    </row>
    <row r="98" spans="1:22" x14ac:dyDescent="0.25">
      <c r="A98" s="8" t="s">
        <v>227</v>
      </c>
      <c r="B98" s="11" t="str">
        <f>IF($A98="","",IF(COUNTIF('Use cases'!$A$5:$A$34,$A98)&gt;1,"Duplicate ID",IFERROR(IF(VLOOKUP($A98,'Use cases'!$A$5:$B$34,2,FALSE())=0,"",VLOOKUP($A98,'Use cases'!$A$5:$B$34,2,FALSE())),"")))</f>
        <v>Suspicious admin creation</v>
      </c>
      <c r="C98" s="12" t="str">
        <f>IF(OR($B98="",$B98="Duplicate ID"),"",IFERROR(VLOOKUP($A98,'Use cases'!$A$5:$C$34,3,FALSE()),""))</f>
        <v>Identity</v>
      </c>
      <c r="D98" s="13" t="s">
        <v>120</v>
      </c>
      <c r="E98" s="23" t="s">
        <v>230</v>
      </c>
      <c r="F98" s="23" t="s">
        <v>119</v>
      </c>
      <c r="G98" s="24" t="s">
        <v>115</v>
      </c>
      <c r="H98" s="24" t="s">
        <v>122</v>
      </c>
      <c r="I98" s="13" t="str">
        <f>IF(OR($B98="",$B98="Duplicate ID"),"",IFERROR(VLOOKUP($A98,'Use cases'!$A$5:$E$34,5,FALSE()),""))</f>
        <v>Progressive</v>
      </c>
      <c r="J98" s="11" t="str">
        <f>IF(OR($B98="",$B98="Duplicate ID"),"",IF(OR($F98="",$G98=""),"",IF(Policy!$B$24&lt;&gt;"OK","Config error",IFERROR(INDEX(Scales!$B$6:$B$10,1+INDEX(Policy!$C$5:$E$16,MATCH($F98&amp;"|"&amp;$G98,Policy!$G$5:$G$16,0),MATCH($I98,Policy!$C$4:$E$4,0))),"Config error"))))</f>
        <v>L4 Autonomous</v>
      </c>
      <c r="K98" s="13">
        <f>IF($H98="","",IF($F98=Scales!$B$24,"exempt",IFERROR(IF(VLOOKUP($H98,Conf_Check,3,FALSE())="valid",VLOOKUP($H98,Conf_Adjust,2,FALSE()),"n/a"),"n/a")))</f>
        <v>-1</v>
      </c>
      <c r="L98" s="13">
        <f>IF(OR($J98="",$J98="Config error"),"",IF(OR($F98=Scales!$B$24,AND(ISNUMBER($K98),$K98=0)),4,IF(ISNUMBER($K98),MAX(1,MATCH($J98,Scales!$B$6:$B$10,0)-1+$K98),1)))</f>
        <v>3</v>
      </c>
      <c r="M98" s="5"/>
      <c r="N98" s="5"/>
      <c r="O98" s="8">
        <f>IF(OR($J98="",$J98="Config error",$E98="",$F98="",$G98="",$H98="",$R98=""),"",IF($M98="",MATCH($J98,Scales!$B$6:$B$10,0),IFERROR(MATCH($M98,Scales!$B$6:$B$10,0),MATCH($J98,Scales!$B$6:$B$10,0)))-1)</f>
        <v>4</v>
      </c>
      <c r="P98" s="12" t="str">
        <f>IF($J98="",IF(AND($B98&lt;&gt;"",$B98&lt;&gt;"Duplicate ID"),"Incomplete assessment",""),IF($J98="Config error","Config error",IF($O98="","Incomplete assessment",IF($M98="","As recommended",IF(ISERROR(MATCH($M98,Scales!$B$6:$B$10,0)),"Invalid choice",IF(MATCH($M98,Scales!$B$6:$B$10,0)&gt;MATCH($J98,Scales!$B$6:$B$10,0),"Above policy: needs sign-off",IF(MATCH($M98,Scales!$B$6:$B$10,0)&lt;MATCH($J98,Scales!$B$6:$B$10,0),"More cautious than policy","As recommended")))))))</f>
        <v>As recommended</v>
      </c>
      <c r="Q98" s="13">
        <f>IF(OR($O98="",Policy!$B$24&lt;&gt;"OK"),"",IFERROR(MIN($O98,INDEX(Policy!$C$5:$E$16,MATCH($F98&amp;"|"&amp;Scales!$B$33,Policy!$G$5:$G$16,0),MATCH($I98,Policy!$C$4:$E$4,0))),""))</f>
        <v>3</v>
      </c>
      <c r="R98" s="5">
        <v>2</v>
      </c>
      <c r="S98" s="13" t="str">
        <f>IF($B98="","",IF(COUNTIF('Readiness gate'!$A$7:$A$36,$A98)&lt;&gt;1,"Incomplete",IFERROR(IF(VLOOKUP($A98,GateTab,IF($F98=Scales!$B$24,11,9),FALSE())="","Incomplete",VLOOKUP($A98,GateTab,IF($F98=Scales!$B$24,11,9),FALSE())),"Incomplete")))</f>
        <v>Not passed</v>
      </c>
      <c r="T98" s="8">
        <f>IF($O98="","",MIN(IF(AND($O98&gt;MATCH($J98,Scales!$B$6:$B$10,0)-1,$N98&lt;&gt;"Yes"),MATCH($J98,Scales!$B$6:$B$10,0)-1,$O98),$L98,IF($F98=Scales!$B$24,IF($S98="Passed",4,IF(NOT(ISNUMBER($R98)),0,IF(OR($R98&lt;0,$R98&gt;4,$R98&lt;&gt;INT($R98)),0,$R98))),IF(NOT(ISNUMBER($R98)),0,IF(OR($R98&lt;0,$R98&gt;4,$R98&lt;&gt;INT($R98)),0,$R98))+IF($S98="Passed",1,0)),IF(AND($F98&lt;&gt;Scales!$B$24,OR($F98=Scales!$B$27,$G98=Scales!$B$33)),3,4)))</f>
        <v>2</v>
      </c>
      <c r="U98" s="13" t="str">
        <f>IF($O98="",IF(AND($B98&lt;&gt;"",$B98&lt;&gt;"Duplicate ID"),IF($J98="Config error","Config error","Incomplete assessment"),""),IF($T98&gt;=$O98,IF(LEFT($P98,4)="More","Own choice","None"),MID(IF(AND($O98&gt;MATCH($J98,Scales!$B$6:$B$10,0)-1,$N98&lt;&gt;"Yes",$T98=MATCH($J98,Scales!$B$6:$B$10,0)-1)," + Exception not approved","")&amp;IF(AND($F98&lt;&gt;Scales!$B$24,OR($F98=Scales!$B$27,$G98=Scales!$B$33),$T98=3)," + Human-signature guardrail","")&amp;IF($T98=$L98," + Model confidence","")&amp;IF($T98=IF($F98=Scales!$B$24,IF($S98="Passed",4,IF(NOT(ISNUMBER($R98)),0,IF(OR($R98&lt;0,$R98&gt;4,$R98&lt;&gt;INT($R98)),0,$R98))),IF(NOT(ISNUMBER($R98)),0,IF(OR($R98&lt;0,$R98&gt;4,$R98&lt;&gt;INT($R98)),0,$R98))+IF($S98="Passed",1,0))," + "&amp;IF($S98&lt;&gt;"Passed","Readiness gate","Readiness gate (one level per gate)"),""),4,200)))</f>
        <v>Readiness gate</v>
      </c>
      <c r="V98" s="23"/>
    </row>
    <row r="99" spans="1:22" x14ac:dyDescent="0.25">
      <c r="A99" s="8" t="s">
        <v>227</v>
      </c>
      <c r="B99" s="11" t="str">
        <f>IF($A99="","",IF(COUNTIF('Use cases'!$A$5:$A$34,$A99)&gt;1,"Duplicate ID",IFERROR(IF(VLOOKUP($A99,'Use cases'!$A$5:$B$34,2,FALSE())=0,"",VLOOKUP($A99,'Use cases'!$A$5:$B$34,2,FALSE())),"")))</f>
        <v>Suspicious admin creation</v>
      </c>
      <c r="C99" s="12" t="str">
        <f>IF(OR($B99="",$B99="Duplicate ID"),"",IFERROR(VLOOKUP($A99,'Use cases'!$A$5:$C$34,3,FALSE()),""))</f>
        <v>Identity</v>
      </c>
      <c r="D99" s="13" t="s">
        <v>123</v>
      </c>
      <c r="E99" s="23" t="s">
        <v>231</v>
      </c>
      <c r="F99" s="23" t="s">
        <v>134</v>
      </c>
      <c r="G99" s="24" t="s">
        <v>122</v>
      </c>
      <c r="H99" s="24" t="s">
        <v>122</v>
      </c>
      <c r="I99" s="13" t="str">
        <f>IF(OR($B99="",$B99="Duplicate ID"),"",IFERROR(VLOOKUP($A99,'Use cases'!$A$5:$E$34,5,FALSE()),""))</f>
        <v>Progressive</v>
      </c>
      <c r="J99" s="11" t="str">
        <f>IF(OR($B99="",$B99="Duplicate ID"),"",IF(OR($F99="",$G99=""),"",IF(Policy!$B$24&lt;&gt;"OK","Config error",IFERROR(INDEX(Scales!$B$6:$B$10,1+INDEX(Policy!$C$5:$E$16,MATCH($F99&amp;"|"&amp;$G99,Policy!$G$5:$G$16,0),MATCH($I99,Policy!$C$4:$E$4,0))),"Config error"))))</f>
        <v>L3 Human-approved</v>
      </c>
      <c r="K99" s="13">
        <f>IF($H99="","",IF($F99=Scales!$B$24,"exempt",IFERROR(IF(VLOOKUP($H99,Conf_Check,3,FALSE())="valid",VLOOKUP($H99,Conf_Adjust,2,FALSE()),"n/a"),"n/a")))</f>
        <v>-1</v>
      </c>
      <c r="L99" s="13">
        <f>IF(OR($J99="",$J99="Config error"),"",IF(OR($F99=Scales!$B$24,AND(ISNUMBER($K99),$K99=0)),4,IF(ISNUMBER($K99),MAX(1,MATCH($J99,Scales!$B$6:$B$10,0)-1+$K99),1)))</f>
        <v>2</v>
      </c>
      <c r="M99" s="5"/>
      <c r="N99" s="5"/>
      <c r="O99" s="8">
        <f>IF(OR($J99="",$J99="Config error",$E99="",$F99="",$G99="",$H99="",$R99=""),"",IF($M99="",MATCH($J99,Scales!$B$6:$B$10,0),IFERROR(MATCH($M99,Scales!$B$6:$B$10,0),MATCH($J99,Scales!$B$6:$B$10,0)))-1)</f>
        <v>3</v>
      </c>
      <c r="P99" s="12" t="str">
        <f>IF($J99="",IF(AND($B99&lt;&gt;"",$B99&lt;&gt;"Duplicate ID"),"Incomplete assessment",""),IF($J99="Config error","Config error",IF($O99="","Incomplete assessment",IF($M99="","As recommended",IF(ISERROR(MATCH($M99,Scales!$B$6:$B$10,0)),"Invalid choice",IF(MATCH($M99,Scales!$B$6:$B$10,0)&gt;MATCH($J99,Scales!$B$6:$B$10,0),"Above policy: needs sign-off",IF(MATCH($M99,Scales!$B$6:$B$10,0)&lt;MATCH($J99,Scales!$B$6:$B$10,0),"More cautious than policy","As recommended")))))))</f>
        <v>As recommended</v>
      </c>
      <c r="Q99" s="13">
        <f>IF(OR($O99="",Policy!$B$24&lt;&gt;"OK"),"",IFERROR(MIN($O99,INDEX(Policy!$C$5:$E$16,MATCH($F99&amp;"|"&amp;Scales!$B$33,Policy!$G$5:$G$16,0),MATCH($I99,Policy!$C$4:$E$4,0))),""))</f>
        <v>3</v>
      </c>
      <c r="R99" s="5">
        <v>1</v>
      </c>
      <c r="S99" s="13" t="str">
        <f>IF($B99="","",IF(COUNTIF('Readiness gate'!$A$7:$A$36,$A99)&lt;&gt;1,"Incomplete",IFERROR(IF(VLOOKUP($A99,GateTab,IF($F99=Scales!$B$24,11,9),FALSE())="","Incomplete",VLOOKUP($A99,GateTab,IF($F99=Scales!$B$24,11,9),FALSE())),"Incomplete")))</f>
        <v>Not passed</v>
      </c>
      <c r="T99" s="8">
        <f>IF($O99="","",MIN(IF(AND($O99&gt;MATCH($J99,Scales!$B$6:$B$10,0)-1,$N99&lt;&gt;"Yes"),MATCH($J99,Scales!$B$6:$B$10,0)-1,$O99),$L99,IF($F99=Scales!$B$24,IF($S99="Passed",4,IF(NOT(ISNUMBER($R99)),0,IF(OR($R99&lt;0,$R99&gt;4,$R99&lt;&gt;INT($R99)),0,$R99))),IF(NOT(ISNUMBER($R99)),0,IF(OR($R99&lt;0,$R99&gt;4,$R99&lt;&gt;INT($R99)),0,$R99))+IF($S99="Passed",1,0)),IF(AND($F99&lt;&gt;Scales!$B$24,OR($F99=Scales!$B$27,$G99=Scales!$B$33)),3,4)))</f>
        <v>1</v>
      </c>
      <c r="U99" s="13" t="str">
        <f>IF($O99="",IF(AND($B99&lt;&gt;"",$B99&lt;&gt;"Duplicate ID"),IF($J99="Config error","Config error","Incomplete assessment"),""),IF($T99&gt;=$O99,IF(LEFT($P99,4)="More","Own choice","None"),MID(IF(AND($O99&gt;MATCH($J99,Scales!$B$6:$B$10,0)-1,$N99&lt;&gt;"Yes",$T99=MATCH($J99,Scales!$B$6:$B$10,0)-1)," + Exception not approved","")&amp;IF(AND($F99&lt;&gt;Scales!$B$24,OR($F99=Scales!$B$27,$G99=Scales!$B$33),$T99=3)," + Human-signature guardrail","")&amp;IF($T99=$L99," + Model confidence","")&amp;IF($T99=IF($F99=Scales!$B$24,IF($S99="Passed",4,IF(NOT(ISNUMBER($R99)),0,IF(OR($R99&lt;0,$R99&gt;4,$R99&lt;&gt;INT($R99)),0,$R99))),IF(NOT(ISNUMBER($R99)),0,IF(OR($R99&lt;0,$R99&gt;4,$R99&lt;&gt;INT($R99)),0,$R99))+IF($S99="Passed",1,0))," + "&amp;IF($S99&lt;&gt;"Passed","Readiness gate","Readiness gate (one level per gate)"),""),4,200)))</f>
        <v>Readiness gate</v>
      </c>
      <c r="V99" s="23"/>
    </row>
    <row r="100" spans="1:22" x14ac:dyDescent="0.25">
      <c r="A100" s="8" t="s">
        <v>227</v>
      </c>
      <c r="B100" s="11" t="str">
        <f>IF($A100="","",IF(COUNTIF('Use cases'!$A$5:$A$34,$A100)&gt;1,"Duplicate ID",IFERROR(IF(VLOOKUP($A100,'Use cases'!$A$5:$B$34,2,FALSE())=0,"",VLOOKUP($A100,'Use cases'!$A$5:$B$34,2,FALSE())),"")))</f>
        <v>Suspicious admin creation</v>
      </c>
      <c r="C100" s="12" t="str">
        <f>IF(OR($B100="",$B100="Duplicate ID"),"",IFERROR(VLOOKUP($A100,'Use cases'!$A$5:$C$34,3,FALSE()),""))</f>
        <v>Identity</v>
      </c>
      <c r="D100" s="13" t="s">
        <v>125</v>
      </c>
      <c r="E100" s="23" t="s">
        <v>232</v>
      </c>
      <c r="F100" s="23" t="s">
        <v>119</v>
      </c>
      <c r="G100" s="24" t="s">
        <v>115</v>
      </c>
      <c r="H100" s="24" t="s">
        <v>122</v>
      </c>
      <c r="I100" s="13" t="str">
        <f>IF(OR($B100="",$B100="Duplicate ID"),"",IFERROR(VLOOKUP($A100,'Use cases'!$A$5:$E$34,5,FALSE()),""))</f>
        <v>Progressive</v>
      </c>
      <c r="J100" s="11" t="str">
        <f>IF(OR($B100="",$B100="Duplicate ID"),"",IF(OR($F100="",$G100=""),"",IF(Policy!$B$24&lt;&gt;"OK","Config error",IFERROR(INDEX(Scales!$B$6:$B$10,1+INDEX(Policy!$C$5:$E$16,MATCH($F100&amp;"|"&amp;$G100,Policy!$G$5:$G$16,0),MATCH($I100,Policy!$C$4:$E$4,0))),"Config error"))))</f>
        <v>L4 Autonomous</v>
      </c>
      <c r="K100" s="13">
        <f>IF($H100="","",IF($F100=Scales!$B$24,"exempt",IFERROR(IF(VLOOKUP($H100,Conf_Check,3,FALSE())="valid",VLOOKUP($H100,Conf_Adjust,2,FALSE()),"n/a"),"n/a")))</f>
        <v>-1</v>
      </c>
      <c r="L100" s="13">
        <f>IF(OR($J100="",$J100="Config error"),"",IF(OR($F100=Scales!$B$24,AND(ISNUMBER($K100),$K100=0)),4,IF(ISNUMBER($K100),MAX(1,MATCH($J100,Scales!$B$6:$B$10,0)-1+$K100),1)))</f>
        <v>3</v>
      </c>
      <c r="M100" s="5"/>
      <c r="N100" s="5"/>
      <c r="O100" s="8">
        <f>IF(OR($J100="",$J100="Config error",$E100="",$F100="",$G100="",$H100="",$R100=""),"",IF($M100="",MATCH($J100,Scales!$B$6:$B$10,0),IFERROR(MATCH($M100,Scales!$B$6:$B$10,0),MATCH($J100,Scales!$B$6:$B$10,0)))-1)</f>
        <v>4</v>
      </c>
      <c r="P100" s="12" t="str">
        <f>IF($J100="",IF(AND($B100&lt;&gt;"",$B100&lt;&gt;"Duplicate ID"),"Incomplete assessment",""),IF($J100="Config error","Config error",IF($O100="","Incomplete assessment",IF($M100="","As recommended",IF(ISERROR(MATCH($M100,Scales!$B$6:$B$10,0)),"Invalid choice",IF(MATCH($M100,Scales!$B$6:$B$10,0)&gt;MATCH($J100,Scales!$B$6:$B$10,0),"Above policy: needs sign-off",IF(MATCH($M100,Scales!$B$6:$B$10,0)&lt;MATCH($J100,Scales!$B$6:$B$10,0),"More cautious than policy","As recommended")))))))</f>
        <v>As recommended</v>
      </c>
      <c r="Q100" s="13">
        <f>IF(OR($O100="",Policy!$B$24&lt;&gt;"OK"),"",IFERROR(MIN($O100,INDEX(Policy!$C$5:$E$16,MATCH($F100&amp;"|"&amp;Scales!$B$33,Policy!$G$5:$G$16,0),MATCH($I100,Policy!$C$4:$E$4,0))),""))</f>
        <v>3</v>
      </c>
      <c r="R100" s="5">
        <v>1</v>
      </c>
      <c r="S100" s="13" t="str">
        <f>IF($B100="","",IF(COUNTIF('Readiness gate'!$A$7:$A$36,$A100)&lt;&gt;1,"Incomplete",IFERROR(IF(VLOOKUP($A100,GateTab,IF($F100=Scales!$B$24,11,9),FALSE())="","Incomplete",VLOOKUP($A100,GateTab,IF($F100=Scales!$B$24,11,9),FALSE())),"Incomplete")))</f>
        <v>Not passed</v>
      </c>
      <c r="T100" s="8">
        <f>IF($O100="","",MIN(IF(AND($O100&gt;MATCH($J100,Scales!$B$6:$B$10,0)-1,$N100&lt;&gt;"Yes"),MATCH($J100,Scales!$B$6:$B$10,0)-1,$O100),$L100,IF($F100=Scales!$B$24,IF($S100="Passed",4,IF(NOT(ISNUMBER($R100)),0,IF(OR($R100&lt;0,$R100&gt;4,$R100&lt;&gt;INT($R100)),0,$R100))),IF(NOT(ISNUMBER($R100)),0,IF(OR($R100&lt;0,$R100&gt;4,$R100&lt;&gt;INT($R100)),0,$R100))+IF($S100="Passed",1,0)),IF(AND($F100&lt;&gt;Scales!$B$24,OR($F100=Scales!$B$27,$G100=Scales!$B$33)),3,4)))</f>
        <v>1</v>
      </c>
      <c r="U100" s="13" t="str">
        <f>IF($O100="",IF(AND($B100&lt;&gt;"",$B100&lt;&gt;"Duplicate ID"),IF($J100="Config error","Config error","Incomplete assessment"),""),IF($T100&gt;=$O100,IF(LEFT($P100,4)="More","Own choice","None"),MID(IF(AND($O100&gt;MATCH($J100,Scales!$B$6:$B$10,0)-1,$N100&lt;&gt;"Yes",$T100=MATCH($J100,Scales!$B$6:$B$10,0)-1)," + Exception not approved","")&amp;IF(AND($F100&lt;&gt;Scales!$B$24,OR($F100=Scales!$B$27,$G100=Scales!$B$33),$T100=3)," + Human-signature guardrail","")&amp;IF($T100=$L100," + Model confidence","")&amp;IF($T100=IF($F100=Scales!$B$24,IF($S100="Passed",4,IF(NOT(ISNUMBER($R100)),0,IF(OR($R100&lt;0,$R100&gt;4,$R100&lt;&gt;INT($R100)),0,$R100))),IF(NOT(ISNUMBER($R100)),0,IF(OR($R100&lt;0,$R100&gt;4,$R100&lt;&gt;INT($R100)),0,$R100))+IF($S100="Passed",1,0))," + "&amp;IF($S100&lt;&gt;"Passed","Readiness gate","Readiness gate (one level per gate)"),""),4,200)))</f>
        <v>Readiness gate</v>
      </c>
      <c r="V100" s="23"/>
    </row>
    <row r="101" spans="1:22" x14ac:dyDescent="0.25">
      <c r="A101" s="8" t="s">
        <v>227</v>
      </c>
      <c r="B101" s="11" t="str">
        <f>IF($A101="","",IF(COUNTIF('Use cases'!$A$5:$A$34,$A101)&gt;1,"Duplicate ID",IFERROR(IF(VLOOKUP($A101,'Use cases'!$A$5:$B$34,2,FALSE())=0,"",VLOOKUP($A101,'Use cases'!$A$5:$B$34,2,FALSE())),"")))</f>
        <v>Suspicious admin creation</v>
      </c>
      <c r="C101" s="12" t="str">
        <f>IF(OR($B101="",$B101="Duplicate ID"),"",IFERROR(VLOOKUP($A101,'Use cases'!$A$5:$C$34,3,FALSE()),""))</f>
        <v>Identity</v>
      </c>
      <c r="D101" s="13" t="s">
        <v>127</v>
      </c>
      <c r="E101" s="23" t="s">
        <v>233</v>
      </c>
      <c r="F101" s="23" t="s">
        <v>119</v>
      </c>
      <c r="G101" s="24" t="s">
        <v>115</v>
      </c>
      <c r="H101" s="24" t="s">
        <v>122</v>
      </c>
      <c r="I101" s="13" t="str">
        <f>IF(OR($B101="",$B101="Duplicate ID"),"",IFERROR(VLOOKUP($A101,'Use cases'!$A$5:$E$34,5,FALSE()),""))</f>
        <v>Progressive</v>
      </c>
      <c r="J101" s="11" t="str">
        <f>IF(OR($B101="",$B101="Duplicate ID"),"",IF(OR($F101="",$G101=""),"",IF(Policy!$B$24&lt;&gt;"OK","Config error",IFERROR(INDEX(Scales!$B$6:$B$10,1+INDEX(Policy!$C$5:$E$16,MATCH($F101&amp;"|"&amp;$G101,Policy!$G$5:$G$16,0),MATCH($I101,Policy!$C$4:$E$4,0))),"Config error"))))</f>
        <v>L4 Autonomous</v>
      </c>
      <c r="K101" s="13">
        <f>IF($H101="","",IF($F101=Scales!$B$24,"exempt",IFERROR(IF(VLOOKUP($H101,Conf_Check,3,FALSE())="valid",VLOOKUP($H101,Conf_Adjust,2,FALSE()),"n/a"),"n/a")))</f>
        <v>-1</v>
      </c>
      <c r="L101" s="13">
        <f>IF(OR($J101="",$J101="Config error"),"",IF(OR($F101=Scales!$B$24,AND(ISNUMBER($K101),$K101=0)),4,IF(ISNUMBER($K101),MAX(1,MATCH($J101,Scales!$B$6:$B$10,0)-1+$K101),1)))</f>
        <v>3</v>
      </c>
      <c r="M101" s="5"/>
      <c r="N101" s="5"/>
      <c r="O101" s="8">
        <f>IF(OR($J101="",$J101="Config error",$E101="",$F101="",$G101="",$H101="",$R101=""),"",IF($M101="",MATCH($J101,Scales!$B$6:$B$10,0),IFERROR(MATCH($M101,Scales!$B$6:$B$10,0),MATCH($J101,Scales!$B$6:$B$10,0)))-1)</f>
        <v>4</v>
      </c>
      <c r="P101" s="12" t="str">
        <f>IF($J101="",IF(AND($B101&lt;&gt;"",$B101&lt;&gt;"Duplicate ID"),"Incomplete assessment",""),IF($J101="Config error","Config error",IF($O101="","Incomplete assessment",IF($M101="","As recommended",IF(ISERROR(MATCH($M101,Scales!$B$6:$B$10,0)),"Invalid choice",IF(MATCH($M101,Scales!$B$6:$B$10,0)&gt;MATCH($J101,Scales!$B$6:$B$10,0),"Above policy: needs sign-off",IF(MATCH($M101,Scales!$B$6:$B$10,0)&lt;MATCH($J101,Scales!$B$6:$B$10,0),"More cautious than policy","As recommended")))))))</f>
        <v>As recommended</v>
      </c>
      <c r="Q101" s="13">
        <f>IF(OR($O101="",Policy!$B$24&lt;&gt;"OK"),"",IFERROR(MIN($O101,INDEX(Policy!$C$5:$E$16,MATCH($F101&amp;"|"&amp;Scales!$B$33,Policy!$G$5:$G$16,0),MATCH($I101,Policy!$C$4:$E$4,0))),""))</f>
        <v>3</v>
      </c>
      <c r="R101" s="5">
        <v>1</v>
      </c>
      <c r="S101" s="13" t="str">
        <f>IF($B101="","",IF(COUNTIF('Readiness gate'!$A$7:$A$36,$A101)&lt;&gt;1,"Incomplete",IFERROR(IF(VLOOKUP($A101,GateTab,IF($F101=Scales!$B$24,11,9),FALSE())="","Incomplete",VLOOKUP($A101,GateTab,IF($F101=Scales!$B$24,11,9),FALSE())),"Incomplete")))</f>
        <v>Not passed</v>
      </c>
      <c r="T101" s="8">
        <f>IF($O101="","",MIN(IF(AND($O101&gt;MATCH($J101,Scales!$B$6:$B$10,0)-1,$N101&lt;&gt;"Yes"),MATCH($J101,Scales!$B$6:$B$10,0)-1,$O101),$L101,IF($F101=Scales!$B$24,IF($S101="Passed",4,IF(NOT(ISNUMBER($R101)),0,IF(OR($R101&lt;0,$R101&gt;4,$R101&lt;&gt;INT($R101)),0,$R101))),IF(NOT(ISNUMBER($R101)),0,IF(OR($R101&lt;0,$R101&gt;4,$R101&lt;&gt;INT($R101)),0,$R101))+IF($S101="Passed",1,0)),IF(AND($F101&lt;&gt;Scales!$B$24,OR($F101=Scales!$B$27,$G101=Scales!$B$33)),3,4)))</f>
        <v>1</v>
      </c>
      <c r="U101" s="13" t="str">
        <f>IF($O101="",IF(AND($B101&lt;&gt;"",$B101&lt;&gt;"Duplicate ID"),IF($J101="Config error","Config error","Incomplete assessment"),""),IF($T101&gt;=$O101,IF(LEFT($P101,4)="More","Own choice","None"),MID(IF(AND($O101&gt;MATCH($J101,Scales!$B$6:$B$10,0)-1,$N101&lt;&gt;"Yes",$T101=MATCH($J101,Scales!$B$6:$B$10,0)-1)," + Exception not approved","")&amp;IF(AND($F101&lt;&gt;Scales!$B$24,OR($F101=Scales!$B$27,$G101=Scales!$B$33),$T101=3)," + Human-signature guardrail","")&amp;IF($T101=$L101," + Model confidence","")&amp;IF($T101=IF($F101=Scales!$B$24,IF($S101="Passed",4,IF(NOT(ISNUMBER($R101)),0,IF(OR($R101&lt;0,$R101&gt;4,$R101&lt;&gt;INT($R101)),0,$R101))),IF(NOT(ISNUMBER($R101)),0,IF(OR($R101&lt;0,$R101&gt;4,$R101&lt;&gt;INT($R101)),0,$R101))+IF($S101="Passed",1,0))," + "&amp;IF($S101&lt;&gt;"Passed","Readiness gate","Readiness gate (one level per gate)"),""),4,200)))</f>
        <v>Readiness gate</v>
      </c>
      <c r="V101" s="23"/>
    </row>
    <row r="102" spans="1:22" x14ac:dyDescent="0.25">
      <c r="A102" s="8" t="s">
        <v>234</v>
      </c>
      <c r="B102" s="11" t="str">
        <f>IF($A102="","",IF(COUNTIF('Use cases'!$A$5:$A$34,$A102)&gt;1,"Duplicate ID",IFERROR(IF(VLOOKUP($A102,'Use cases'!$A$5:$B$34,2,FALSE())=0,"",VLOOKUP($A102,'Use cases'!$A$5:$B$34,2,FALSE())),"")))</f>
        <v>Lateral movement indicators</v>
      </c>
      <c r="C102" s="12" t="str">
        <f>IF(OR($B102="",$B102="Duplicate ID"),"",IFERROR(VLOOKUP($A102,'Use cases'!$A$5:$C$34,3,FALSE()),""))</f>
        <v>Network</v>
      </c>
      <c r="D102" s="13" t="s">
        <v>112</v>
      </c>
      <c r="E102" s="23" t="s">
        <v>235</v>
      </c>
      <c r="F102" s="23" t="s">
        <v>114</v>
      </c>
      <c r="G102" s="24" t="s">
        <v>115</v>
      </c>
      <c r="H102" s="24" t="s">
        <v>122</v>
      </c>
      <c r="I102" s="13" t="str">
        <f>IF(OR($B102="",$B102="Duplicate ID"),"",IFERROR(VLOOKUP($A102,'Use cases'!$A$5:$E$34,5,FALSE()),""))</f>
        <v>Progressive</v>
      </c>
      <c r="J102" s="11" t="str">
        <f>IF(OR($B102="",$B102="Duplicate ID"),"",IF(OR($F102="",$G102=""),"",IF(Policy!$B$24&lt;&gt;"OK","Config error",IFERROR(INDEX(Scales!$B$6:$B$10,1+INDEX(Policy!$C$5:$E$16,MATCH($F102&amp;"|"&amp;$G102,Policy!$G$5:$G$16,0),MATCH($I102,Policy!$C$4:$E$4,0))),"Config error"))))</f>
        <v>L4 Autonomous</v>
      </c>
      <c r="K102" s="13" t="str">
        <f>IF($H102="","",IF($F102=Scales!$B$24,"exempt",IFERROR(IF(VLOOKUP($H102,Conf_Check,3,FALSE())="valid",VLOOKUP($H102,Conf_Adjust,2,FALSE()),"n/a"),"n/a")))</f>
        <v>exempt</v>
      </c>
      <c r="L102" s="13">
        <f>IF(OR($J102="",$J102="Config error"),"",IF(OR($F102=Scales!$B$24,AND(ISNUMBER($K102),$K102=0)),4,IF(ISNUMBER($K102),MAX(1,MATCH($J102,Scales!$B$6:$B$10,0)-1+$K102),1)))</f>
        <v>4</v>
      </c>
      <c r="M102" s="5"/>
      <c r="N102" s="5"/>
      <c r="O102" s="8">
        <f>IF(OR($J102="",$J102="Config error",$E102="",$F102="",$G102="",$H102="",$R102=""),"",IF($M102="",MATCH($J102,Scales!$B$6:$B$10,0),IFERROR(MATCH($M102,Scales!$B$6:$B$10,0),MATCH($J102,Scales!$B$6:$B$10,0)))-1)</f>
        <v>4</v>
      </c>
      <c r="P102" s="12" t="str">
        <f>IF($J102="",IF(AND($B102&lt;&gt;"",$B102&lt;&gt;"Duplicate ID"),"Incomplete assessment",""),IF($J102="Config error","Config error",IF($O102="","Incomplete assessment",IF($M102="","As recommended",IF(ISERROR(MATCH($M102,Scales!$B$6:$B$10,0)),"Invalid choice",IF(MATCH($M102,Scales!$B$6:$B$10,0)&gt;MATCH($J102,Scales!$B$6:$B$10,0),"Above policy: needs sign-off",IF(MATCH($M102,Scales!$B$6:$B$10,0)&lt;MATCH($J102,Scales!$B$6:$B$10,0),"More cautious than policy","As recommended")))))))</f>
        <v>As recommended</v>
      </c>
      <c r="Q102" s="13">
        <f>IF(OR($O102="",Policy!$B$24&lt;&gt;"OK"),"",IFERROR(MIN($O102,INDEX(Policy!$C$5:$E$16,MATCH($F102&amp;"|"&amp;Scales!$B$33,Policy!$G$5:$G$16,0),MATCH($I102,Policy!$C$4:$E$4,0))),""))</f>
        <v>4</v>
      </c>
      <c r="R102" s="5">
        <v>1</v>
      </c>
      <c r="S102" s="13" t="str">
        <f>IF($B102="","",IF(COUNTIF('Readiness gate'!$A$7:$A$36,$A102)&lt;&gt;1,"Incomplete",IFERROR(IF(VLOOKUP($A102,GateTab,IF($F102=Scales!$B$24,11,9),FALSE())="","Incomplete",VLOOKUP($A102,GateTab,IF($F102=Scales!$B$24,11,9),FALSE())),"Incomplete")))</f>
        <v>Not passed</v>
      </c>
      <c r="T102" s="8">
        <f>IF($O102="","",MIN(IF(AND($O102&gt;MATCH($J102,Scales!$B$6:$B$10,0)-1,$N102&lt;&gt;"Yes"),MATCH($J102,Scales!$B$6:$B$10,0)-1,$O102),$L102,IF($F102=Scales!$B$24,IF($S102="Passed",4,IF(NOT(ISNUMBER($R102)),0,IF(OR($R102&lt;0,$R102&gt;4,$R102&lt;&gt;INT($R102)),0,$R102))),IF(NOT(ISNUMBER($R102)),0,IF(OR($R102&lt;0,$R102&gt;4,$R102&lt;&gt;INT($R102)),0,$R102))+IF($S102="Passed",1,0)),IF(AND($F102&lt;&gt;Scales!$B$24,OR($F102=Scales!$B$27,$G102=Scales!$B$33)),3,4)))</f>
        <v>1</v>
      </c>
      <c r="U102" s="13" t="str">
        <f>IF($O102="",IF(AND($B102&lt;&gt;"",$B102&lt;&gt;"Duplicate ID"),IF($J102="Config error","Config error","Incomplete assessment"),""),IF($T102&gt;=$O102,IF(LEFT($P102,4)="More","Own choice","None"),MID(IF(AND($O102&gt;MATCH($J102,Scales!$B$6:$B$10,0)-1,$N102&lt;&gt;"Yes",$T102=MATCH($J102,Scales!$B$6:$B$10,0)-1)," + Exception not approved","")&amp;IF(AND($F102&lt;&gt;Scales!$B$24,OR($F102=Scales!$B$27,$G102=Scales!$B$33),$T102=3)," + Human-signature guardrail","")&amp;IF($T102=$L102," + Model confidence","")&amp;IF($T102=IF($F102=Scales!$B$24,IF($S102="Passed",4,IF(NOT(ISNUMBER($R102)),0,IF(OR($R102&lt;0,$R102&gt;4,$R102&lt;&gt;INT($R102)),0,$R102))),IF(NOT(ISNUMBER($R102)),0,IF(OR($R102&lt;0,$R102&gt;4,$R102&lt;&gt;INT($R102)),0,$R102))+IF($S102="Passed",1,0))," + "&amp;IF($S102&lt;&gt;"Passed","Readiness gate","Readiness gate (one level per gate)"),""),4,200)))</f>
        <v>Readiness gate</v>
      </c>
      <c r="V102" s="23"/>
    </row>
    <row r="103" spans="1:22" x14ac:dyDescent="0.25">
      <c r="A103" s="8" t="s">
        <v>234</v>
      </c>
      <c r="B103" s="11" t="str">
        <f>IF($A103="","",IF(COUNTIF('Use cases'!$A$5:$A$34,$A103)&gt;1,"Duplicate ID",IFERROR(IF(VLOOKUP($A103,'Use cases'!$A$5:$B$34,2,FALSE())=0,"",VLOOKUP($A103,'Use cases'!$A$5:$B$34,2,FALSE())),"")))</f>
        <v>Lateral movement indicators</v>
      </c>
      <c r="C103" s="12" t="str">
        <f>IF(OR($B103="",$B103="Duplicate ID"),"",IFERROR(VLOOKUP($A103,'Use cases'!$A$5:$C$34,3,FALSE()),""))</f>
        <v>Network</v>
      </c>
      <c r="D103" s="13" t="s">
        <v>117</v>
      </c>
      <c r="E103" s="23" t="s">
        <v>236</v>
      </c>
      <c r="F103" s="23" t="s">
        <v>119</v>
      </c>
      <c r="G103" s="24" t="s">
        <v>122</v>
      </c>
      <c r="H103" s="24" t="s">
        <v>115</v>
      </c>
      <c r="I103" s="13" t="str">
        <f>IF(OR($B103="",$B103="Duplicate ID"),"",IFERROR(VLOOKUP($A103,'Use cases'!$A$5:$E$34,5,FALSE()),""))</f>
        <v>Progressive</v>
      </c>
      <c r="J103" s="11" t="str">
        <f>IF(OR($B103="",$B103="Duplicate ID"),"",IF(OR($F103="",$G103=""),"",IF(Policy!$B$24&lt;&gt;"OK","Config error",IFERROR(INDEX(Scales!$B$6:$B$10,1+INDEX(Policy!$C$5:$E$16,MATCH($F103&amp;"|"&amp;$G103,Policy!$G$5:$G$16,0),MATCH($I103,Policy!$C$4:$E$4,0))),"Config error"))))</f>
        <v>L4 Autonomous</v>
      </c>
      <c r="K103" s="13">
        <f>IF($H103="","",IF($F103=Scales!$B$24,"exempt",IFERROR(IF(VLOOKUP($H103,Conf_Check,3,FALSE())="valid",VLOOKUP($H103,Conf_Adjust,2,FALSE()),"n/a"),"n/a")))</f>
        <v>-2</v>
      </c>
      <c r="L103" s="13">
        <f>IF(OR($J103="",$J103="Config error"),"",IF(OR($F103=Scales!$B$24,AND(ISNUMBER($K103),$K103=0)),4,IF(ISNUMBER($K103),MAX(1,MATCH($J103,Scales!$B$6:$B$10,0)-1+$K103),1)))</f>
        <v>2</v>
      </c>
      <c r="M103" s="5"/>
      <c r="N103" s="5"/>
      <c r="O103" s="8">
        <f>IF(OR($J103="",$J103="Config error",$E103="",$F103="",$G103="",$H103="",$R103=""),"",IF($M103="",MATCH($J103,Scales!$B$6:$B$10,0),IFERROR(MATCH($M103,Scales!$B$6:$B$10,0),MATCH($J103,Scales!$B$6:$B$10,0)))-1)</f>
        <v>4</v>
      </c>
      <c r="P103" s="12" t="str">
        <f>IF($J103="",IF(AND($B103&lt;&gt;"",$B103&lt;&gt;"Duplicate ID"),"Incomplete assessment",""),IF($J103="Config error","Config error",IF($O103="","Incomplete assessment",IF($M103="","As recommended",IF(ISERROR(MATCH($M103,Scales!$B$6:$B$10,0)),"Invalid choice",IF(MATCH($M103,Scales!$B$6:$B$10,0)&gt;MATCH($J103,Scales!$B$6:$B$10,0),"Above policy: needs sign-off",IF(MATCH($M103,Scales!$B$6:$B$10,0)&lt;MATCH($J103,Scales!$B$6:$B$10,0),"More cautious than policy","As recommended")))))))</f>
        <v>As recommended</v>
      </c>
      <c r="Q103" s="13">
        <f>IF(OR($O103="",Policy!$B$24&lt;&gt;"OK"),"",IFERROR(MIN($O103,INDEX(Policy!$C$5:$E$16,MATCH($F103&amp;"|"&amp;Scales!$B$33,Policy!$G$5:$G$16,0),MATCH($I103,Policy!$C$4:$E$4,0))),""))</f>
        <v>3</v>
      </c>
      <c r="R103" s="5">
        <v>1</v>
      </c>
      <c r="S103" s="13" t="str">
        <f>IF($B103="","",IF(COUNTIF('Readiness gate'!$A$7:$A$36,$A103)&lt;&gt;1,"Incomplete",IFERROR(IF(VLOOKUP($A103,GateTab,IF($F103=Scales!$B$24,11,9),FALSE())="","Incomplete",VLOOKUP($A103,GateTab,IF($F103=Scales!$B$24,11,9),FALSE())),"Incomplete")))</f>
        <v>Not passed</v>
      </c>
      <c r="T103" s="8">
        <f>IF($O103="","",MIN(IF(AND($O103&gt;MATCH($J103,Scales!$B$6:$B$10,0)-1,$N103&lt;&gt;"Yes"),MATCH($J103,Scales!$B$6:$B$10,0)-1,$O103),$L103,IF($F103=Scales!$B$24,IF($S103="Passed",4,IF(NOT(ISNUMBER($R103)),0,IF(OR($R103&lt;0,$R103&gt;4,$R103&lt;&gt;INT($R103)),0,$R103))),IF(NOT(ISNUMBER($R103)),0,IF(OR($R103&lt;0,$R103&gt;4,$R103&lt;&gt;INT($R103)),0,$R103))+IF($S103="Passed",1,0)),IF(AND($F103&lt;&gt;Scales!$B$24,OR($F103=Scales!$B$27,$G103=Scales!$B$33)),3,4)))</f>
        <v>1</v>
      </c>
      <c r="U103" s="13" t="str">
        <f>IF($O103="",IF(AND($B103&lt;&gt;"",$B103&lt;&gt;"Duplicate ID"),IF($J103="Config error","Config error","Incomplete assessment"),""),IF($T103&gt;=$O103,IF(LEFT($P103,4)="More","Own choice","None"),MID(IF(AND($O103&gt;MATCH($J103,Scales!$B$6:$B$10,0)-1,$N103&lt;&gt;"Yes",$T103=MATCH($J103,Scales!$B$6:$B$10,0)-1)," + Exception not approved","")&amp;IF(AND($F103&lt;&gt;Scales!$B$24,OR($F103=Scales!$B$27,$G103=Scales!$B$33),$T103=3)," + Human-signature guardrail","")&amp;IF($T103=$L103," + Model confidence","")&amp;IF($T103=IF($F103=Scales!$B$24,IF($S103="Passed",4,IF(NOT(ISNUMBER($R103)),0,IF(OR($R103&lt;0,$R103&gt;4,$R103&lt;&gt;INT($R103)),0,$R103))),IF(NOT(ISNUMBER($R103)),0,IF(OR($R103&lt;0,$R103&gt;4,$R103&lt;&gt;INT($R103)),0,$R103))+IF($S103="Passed",1,0))," + "&amp;IF($S103&lt;&gt;"Passed","Readiness gate","Readiness gate (one level per gate)"),""),4,200)))</f>
        <v>Readiness gate</v>
      </c>
      <c r="V103" s="23"/>
    </row>
    <row r="104" spans="1:22" x14ac:dyDescent="0.25">
      <c r="A104" s="8" t="s">
        <v>234</v>
      </c>
      <c r="B104" s="11" t="str">
        <f>IF($A104="","",IF(COUNTIF('Use cases'!$A$5:$A$34,$A104)&gt;1,"Duplicate ID",IFERROR(IF(VLOOKUP($A104,'Use cases'!$A$5:$B$34,2,FALSE())=0,"",VLOOKUP($A104,'Use cases'!$A$5:$B$34,2,FALSE())),"")))</f>
        <v>Lateral movement indicators</v>
      </c>
      <c r="C104" s="12" t="str">
        <f>IF(OR($B104="",$B104="Duplicate ID"),"",IFERROR(VLOOKUP($A104,'Use cases'!$A$5:$C$34,3,FALSE()),""))</f>
        <v>Network</v>
      </c>
      <c r="D104" s="13" t="s">
        <v>120</v>
      </c>
      <c r="E104" s="23" t="s">
        <v>237</v>
      </c>
      <c r="F104" s="23" t="s">
        <v>119</v>
      </c>
      <c r="G104" s="24" t="s">
        <v>122</v>
      </c>
      <c r="H104" s="24" t="s">
        <v>122</v>
      </c>
      <c r="I104" s="13" t="str">
        <f>IF(OR($B104="",$B104="Duplicate ID"),"",IFERROR(VLOOKUP($A104,'Use cases'!$A$5:$E$34,5,FALSE()),""))</f>
        <v>Progressive</v>
      </c>
      <c r="J104" s="11" t="str">
        <f>IF(OR($B104="",$B104="Duplicate ID"),"",IF(OR($F104="",$G104=""),"",IF(Policy!$B$24&lt;&gt;"OK","Config error",IFERROR(INDEX(Scales!$B$6:$B$10,1+INDEX(Policy!$C$5:$E$16,MATCH($F104&amp;"|"&amp;$G104,Policy!$G$5:$G$16,0),MATCH($I104,Policy!$C$4:$E$4,0))),"Config error"))))</f>
        <v>L4 Autonomous</v>
      </c>
      <c r="K104" s="13">
        <f>IF($H104="","",IF($F104=Scales!$B$24,"exempt",IFERROR(IF(VLOOKUP($H104,Conf_Check,3,FALSE())="valid",VLOOKUP($H104,Conf_Adjust,2,FALSE()),"n/a"),"n/a")))</f>
        <v>-1</v>
      </c>
      <c r="L104" s="13">
        <f>IF(OR($J104="",$J104="Config error"),"",IF(OR($F104=Scales!$B$24,AND(ISNUMBER($K104),$K104=0)),4,IF(ISNUMBER($K104),MAX(1,MATCH($J104,Scales!$B$6:$B$10,0)-1+$K104),1)))</f>
        <v>3</v>
      </c>
      <c r="M104" s="5"/>
      <c r="N104" s="5"/>
      <c r="O104" s="8">
        <f>IF(OR($J104="",$J104="Config error",$E104="",$F104="",$G104="",$H104="",$R104=""),"",IF($M104="",MATCH($J104,Scales!$B$6:$B$10,0),IFERROR(MATCH($M104,Scales!$B$6:$B$10,0),MATCH($J104,Scales!$B$6:$B$10,0)))-1)</f>
        <v>4</v>
      </c>
      <c r="P104" s="12" t="str">
        <f>IF($J104="",IF(AND($B104&lt;&gt;"",$B104&lt;&gt;"Duplicate ID"),"Incomplete assessment",""),IF($J104="Config error","Config error",IF($O104="","Incomplete assessment",IF($M104="","As recommended",IF(ISERROR(MATCH($M104,Scales!$B$6:$B$10,0)),"Invalid choice",IF(MATCH($M104,Scales!$B$6:$B$10,0)&gt;MATCH($J104,Scales!$B$6:$B$10,0),"Above policy: needs sign-off",IF(MATCH($M104,Scales!$B$6:$B$10,0)&lt;MATCH($J104,Scales!$B$6:$B$10,0),"More cautious than policy","As recommended")))))))</f>
        <v>As recommended</v>
      </c>
      <c r="Q104" s="13">
        <f>IF(OR($O104="",Policy!$B$24&lt;&gt;"OK"),"",IFERROR(MIN($O104,INDEX(Policy!$C$5:$E$16,MATCH($F104&amp;"|"&amp;Scales!$B$33,Policy!$G$5:$G$16,0),MATCH($I104,Policy!$C$4:$E$4,0))),""))</f>
        <v>3</v>
      </c>
      <c r="R104" s="5">
        <v>2</v>
      </c>
      <c r="S104" s="13" t="str">
        <f>IF($B104="","",IF(COUNTIF('Readiness gate'!$A$7:$A$36,$A104)&lt;&gt;1,"Incomplete",IFERROR(IF(VLOOKUP($A104,GateTab,IF($F104=Scales!$B$24,11,9),FALSE())="","Incomplete",VLOOKUP($A104,GateTab,IF($F104=Scales!$B$24,11,9),FALSE())),"Incomplete")))</f>
        <v>Not passed</v>
      </c>
      <c r="T104" s="8">
        <f>IF($O104="","",MIN(IF(AND($O104&gt;MATCH($J104,Scales!$B$6:$B$10,0)-1,$N104&lt;&gt;"Yes"),MATCH($J104,Scales!$B$6:$B$10,0)-1,$O104),$L104,IF($F104=Scales!$B$24,IF($S104="Passed",4,IF(NOT(ISNUMBER($R104)),0,IF(OR($R104&lt;0,$R104&gt;4,$R104&lt;&gt;INT($R104)),0,$R104))),IF(NOT(ISNUMBER($R104)),0,IF(OR($R104&lt;0,$R104&gt;4,$R104&lt;&gt;INT($R104)),0,$R104))+IF($S104="Passed",1,0)),IF(AND($F104&lt;&gt;Scales!$B$24,OR($F104=Scales!$B$27,$G104=Scales!$B$33)),3,4)))</f>
        <v>2</v>
      </c>
      <c r="U104" s="13" t="str">
        <f>IF($O104="",IF(AND($B104&lt;&gt;"",$B104&lt;&gt;"Duplicate ID"),IF($J104="Config error","Config error","Incomplete assessment"),""),IF($T104&gt;=$O104,IF(LEFT($P104,4)="More","Own choice","None"),MID(IF(AND($O104&gt;MATCH($J104,Scales!$B$6:$B$10,0)-1,$N104&lt;&gt;"Yes",$T104=MATCH($J104,Scales!$B$6:$B$10,0)-1)," + Exception not approved","")&amp;IF(AND($F104&lt;&gt;Scales!$B$24,OR($F104=Scales!$B$27,$G104=Scales!$B$33),$T104=3)," + Human-signature guardrail","")&amp;IF($T104=$L104," + Model confidence","")&amp;IF($T104=IF($F104=Scales!$B$24,IF($S104="Passed",4,IF(NOT(ISNUMBER($R104)),0,IF(OR($R104&lt;0,$R104&gt;4,$R104&lt;&gt;INT($R104)),0,$R104))),IF(NOT(ISNUMBER($R104)),0,IF(OR($R104&lt;0,$R104&gt;4,$R104&lt;&gt;INT($R104)),0,$R104))+IF($S104="Passed",1,0))," + "&amp;IF($S104&lt;&gt;"Passed","Readiness gate","Readiness gate (one level per gate)"),""),4,200)))</f>
        <v>Readiness gate</v>
      </c>
      <c r="V104" s="23"/>
    </row>
    <row r="105" spans="1:22" x14ac:dyDescent="0.25">
      <c r="A105" s="8" t="s">
        <v>234</v>
      </c>
      <c r="B105" s="11" t="str">
        <f>IF($A105="","",IF(COUNTIF('Use cases'!$A$5:$A$34,$A105)&gt;1,"Duplicate ID",IFERROR(IF(VLOOKUP($A105,'Use cases'!$A$5:$B$34,2,FALSE())=0,"",VLOOKUP($A105,'Use cases'!$A$5:$B$34,2,FALSE())),"")))</f>
        <v>Lateral movement indicators</v>
      </c>
      <c r="C105" s="12" t="str">
        <f>IF(OR($B105="",$B105="Duplicate ID"),"",IFERROR(VLOOKUP($A105,'Use cases'!$A$5:$C$34,3,FALSE()),""))</f>
        <v>Network</v>
      </c>
      <c r="D105" s="13" t="s">
        <v>123</v>
      </c>
      <c r="E105" s="23" t="s">
        <v>238</v>
      </c>
      <c r="F105" s="23" t="s">
        <v>134</v>
      </c>
      <c r="G105" s="24" t="s">
        <v>116</v>
      </c>
      <c r="H105" s="24" t="s">
        <v>115</v>
      </c>
      <c r="I105" s="13" t="str">
        <f>IF(OR($B105="",$B105="Duplicate ID"),"",IFERROR(VLOOKUP($A105,'Use cases'!$A$5:$E$34,5,FALSE()),""))</f>
        <v>Progressive</v>
      </c>
      <c r="J105" s="11" t="str">
        <f>IF(OR($B105="",$B105="Duplicate ID"),"",IF(OR($F105="",$G105=""),"",IF(Policy!$B$24&lt;&gt;"OK","Config error",IFERROR(INDEX(Scales!$B$6:$B$10,1+INDEX(Policy!$C$5:$E$16,MATCH($F105&amp;"|"&amp;$G105,Policy!$G$5:$G$16,0),MATCH($I105,Policy!$C$4:$E$4,0))),"Config error"))))</f>
        <v>L3 Human-approved</v>
      </c>
      <c r="K105" s="13">
        <f>IF($H105="","",IF($F105=Scales!$B$24,"exempt",IFERROR(IF(VLOOKUP($H105,Conf_Check,3,FALSE())="valid",VLOOKUP($H105,Conf_Adjust,2,FALSE()),"n/a"),"n/a")))</f>
        <v>-2</v>
      </c>
      <c r="L105" s="13">
        <f>IF(OR($J105="",$J105="Config error"),"",IF(OR($F105=Scales!$B$24,AND(ISNUMBER($K105),$K105=0)),4,IF(ISNUMBER($K105),MAX(1,MATCH($J105,Scales!$B$6:$B$10,0)-1+$K105),1)))</f>
        <v>1</v>
      </c>
      <c r="M105" s="5"/>
      <c r="N105" s="5"/>
      <c r="O105" s="8">
        <f>IF(OR($J105="",$J105="Config error",$E105="",$F105="",$G105="",$H105="",$R105=""),"",IF($M105="",MATCH($J105,Scales!$B$6:$B$10,0),IFERROR(MATCH($M105,Scales!$B$6:$B$10,0),MATCH($J105,Scales!$B$6:$B$10,0)))-1)</f>
        <v>3</v>
      </c>
      <c r="P105" s="12" t="str">
        <f>IF($J105="",IF(AND($B105&lt;&gt;"",$B105&lt;&gt;"Duplicate ID"),"Incomplete assessment",""),IF($J105="Config error","Config error",IF($O105="","Incomplete assessment",IF($M105="","As recommended",IF(ISERROR(MATCH($M105,Scales!$B$6:$B$10,0)),"Invalid choice",IF(MATCH($M105,Scales!$B$6:$B$10,0)&gt;MATCH($J105,Scales!$B$6:$B$10,0),"Above policy: needs sign-off",IF(MATCH($M105,Scales!$B$6:$B$10,0)&lt;MATCH($J105,Scales!$B$6:$B$10,0),"More cautious than policy","As recommended")))))))</f>
        <v>As recommended</v>
      </c>
      <c r="Q105" s="13">
        <f>IF(OR($O105="",Policy!$B$24&lt;&gt;"OK"),"",IFERROR(MIN($O105,INDEX(Policy!$C$5:$E$16,MATCH($F105&amp;"|"&amp;Scales!$B$33,Policy!$G$5:$G$16,0),MATCH($I105,Policy!$C$4:$E$4,0))),""))</f>
        <v>3</v>
      </c>
      <c r="R105" s="5">
        <v>1</v>
      </c>
      <c r="S105" s="13" t="str">
        <f>IF($B105="","",IF(COUNTIF('Readiness gate'!$A$7:$A$36,$A105)&lt;&gt;1,"Incomplete",IFERROR(IF(VLOOKUP($A105,GateTab,IF($F105=Scales!$B$24,11,9),FALSE())="","Incomplete",VLOOKUP($A105,GateTab,IF($F105=Scales!$B$24,11,9),FALSE())),"Incomplete")))</f>
        <v>Not passed</v>
      </c>
      <c r="T105" s="8">
        <f>IF($O105="","",MIN(IF(AND($O105&gt;MATCH($J105,Scales!$B$6:$B$10,0)-1,$N105&lt;&gt;"Yes"),MATCH($J105,Scales!$B$6:$B$10,0)-1,$O105),$L105,IF($F105=Scales!$B$24,IF($S105="Passed",4,IF(NOT(ISNUMBER($R105)),0,IF(OR($R105&lt;0,$R105&gt;4,$R105&lt;&gt;INT($R105)),0,$R105))),IF(NOT(ISNUMBER($R105)),0,IF(OR($R105&lt;0,$R105&gt;4,$R105&lt;&gt;INT($R105)),0,$R105))+IF($S105="Passed",1,0)),IF(AND($F105&lt;&gt;Scales!$B$24,OR($F105=Scales!$B$27,$G105=Scales!$B$33)),3,4)))</f>
        <v>1</v>
      </c>
      <c r="U105" s="13" t="str">
        <f>IF($O105="",IF(AND($B105&lt;&gt;"",$B105&lt;&gt;"Duplicate ID"),IF($J105="Config error","Config error","Incomplete assessment"),""),IF($T105&gt;=$O105,IF(LEFT($P105,4)="More","Own choice","None"),MID(IF(AND($O105&gt;MATCH($J105,Scales!$B$6:$B$10,0)-1,$N105&lt;&gt;"Yes",$T105=MATCH($J105,Scales!$B$6:$B$10,0)-1)," + Exception not approved","")&amp;IF(AND($F105&lt;&gt;Scales!$B$24,OR($F105=Scales!$B$27,$G105=Scales!$B$33),$T105=3)," + Human-signature guardrail","")&amp;IF($T105=$L105," + Model confidence","")&amp;IF($T105=IF($F105=Scales!$B$24,IF($S105="Passed",4,IF(NOT(ISNUMBER($R105)),0,IF(OR($R105&lt;0,$R105&gt;4,$R105&lt;&gt;INT($R105)),0,$R105))),IF(NOT(ISNUMBER($R105)),0,IF(OR($R105&lt;0,$R105&gt;4,$R105&lt;&gt;INT($R105)),0,$R105))+IF($S105="Passed",1,0))," + "&amp;IF($S105&lt;&gt;"Passed","Readiness gate","Readiness gate (one level per gate)"),""),4,200)))</f>
        <v>Model confidence + Readiness gate</v>
      </c>
      <c r="V105" s="23"/>
    </row>
    <row r="106" spans="1:22" x14ac:dyDescent="0.25">
      <c r="A106" s="8" t="s">
        <v>234</v>
      </c>
      <c r="B106" s="11" t="str">
        <f>IF($A106="","",IF(COUNTIF('Use cases'!$A$5:$A$34,$A106)&gt;1,"Duplicate ID",IFERROR(IF(VLOOKUP($A106,'Use cases'!$A$5:$B$34,2,FALSE())=0,"",VLOOKUP($A106,'Use cases'!$A$5:$B$34,2,FALSE())),"")))</f>
        <v>Lateral movement indicators</v>
      </c>
      <c r="C106" s="12" t="str">
        <f>IF(OR($B106="",$B106="Duplicate ID"),"",IFERROR(VLOOKUP($A106,'Use cases'!$A$5:$C$34,3,FALSE()),""))</f>
        <v>Network</v>
      </c>
      <c r="D106" s="13" t="s">
        <v>125</v>
      </c>
      <c r="E106" s="23" t="s">
        <v>239</v>
      </c>
      <c r="F106" s="23" t="s">
        <v>119</v>
      </c>
      <c r="G106" s="24" t="s">
        <v>122</v>
      </c>
      <c r="H106" s="24" t="s">
        <v>122</v>
      </c>
      <c r="I106" s="13" t="str">
        <f>IF(OR($B106="",$B106="Duplicate ID"),"",IFERROR(VLOOKUP($A106,'Use cases'!$A$5:$E$34,5,FALSE()),""))</f>
        <v>Progressive</v>
      </c>
      <c r="J106" s="11" t="str">
        <f>IF(OR($B106="",$B106="Duplicate ID"),"",IF(OR($F106="",$G106=""),"",IF(Policy!$B$24&lt;&gt;"OK","Config error",IFERROR(INDEX(Scales!$B$6:$B$10,1+INDEX(Policy!$C$5:$E$16,MATCH($F106&amp;"|"&amp;$G106,Policy!$G$5:$G$16,0),MATCH($I106,Policy!$C$4:$E$4,0))),"Config error"))))</f>
        <v>L4 Autonomous</v>
      </c>
      <c r="K106" s="13">
        <f>IF($H106="","",IF($F106=Scales!$B$24,"exempt",IFERROR(IF(VLOOKUP($H106,Conf_Check,3,FALSE())="valid",VLOOKUP($H106,Conf_Adjust,2,FALSE()),"n/a"),"n/a")))</f>
        <v>-1</v>
      </c>
      <c r="L106" s="13">
        <f>IF(OR($J106="",$J106="Config error"),"",IF(OR($F106=Scales!$B$24,AND(ISNUMBER($K106),$K106=0)),4,IF(ISNUMBER($K106),MAX(1,MATCH($J106,Scales!$B$6:$B$10,0)-1+$K106),1)))</f>
        <v>3</v>
      </c>
      <c r="M106" s="5"/>
      <c r="N106" s="5"/>
      <c r="O106" s="8">
        <f>IF(OR($J106="",$J106="Config error",$E106="",$F106="",$G106="",$H106="",$R106=""),"",IF($M106="",MATCH($J106,Scales!$B$6:$B$10,0),IFERROR(MATCH($M106,Scales!$B$6:$B$10,0),MATCH($J106,Scales!$B$6:$B$10,0)))-1)</f>
        <v>4</v>
      </c>
      <c r="P106" s="12" t="str">
        <f>IF($J106="",IF(AND($B106&lt;&gt;"",$B106&lt;&gt;"Duplicate ID"),"Incomplete assessment",""),IF($J106="Config error","Config error",IF($O106="","Incomplete assessment",IF($M106="","As recommended",IF(ISERROR(MATCH($M106,Scales!$B$6:$B$10,0)),"Invalid choice",IF(MATCH($M106,Scales!$B$6:$B$10,0)&gt;MATCH($J106,Scales!$B$6:$B$10,0),"Above policy: needs sign-off",IF(MATCH($M106,Scales!$B$6:$B$10,0)&lt;MATCH($J106,Scales!$B$6:$B$10,0),"More cautious than policy","As recommended")))))))</f>
        <v>As recommended</v>
      </c>
      <c r="Q106" s="13">
        <f>IF(OR($O106="",Policy!$B$24&lt;&gt;"OK"),"",IFERROR(MIN($O106,INDEX(Policy!$C$5:$E$16,MATCH($F106&amp;"|"&amp;Scales!$B$33,Policy!$G$5:$G$16,0),MATCH($I106,Policy!$C$4:$E$4,0))),""))</f>
        <v>3</v>
      </c>
      <c r="R106" s="5">
        <v>1</v>
      </c>
      <c r="S106" s="13" t="str">
        <f>IF($B106="","",IF(COUNTIF('Readiness gate'!$A$7:$A$36,$A106)&lt;&gt;1,"Incomplete",IFERROR(IF(VLOOKUP($A106,GateTab,IF($F106=Scales!$B$24,11,9),FALSE())="","Incomplete",VLOOKUP($A106,GateTab,IF($F106=Scales!$B$24,11,9),FALSE())),"Incomplete")))</f>
        <v>Not passed</v>
      </c>
      <c r="T106" s="8">
        <f>IF($O106="","",MIN(IF(AND($O106&gt;MATCH($J106,Scales!$B$6:$B$10,0)-1,$N106&lt;&gt;"Yes"),MATCH($J106,Scales!$B$6:$B$10,0)-1,$O106),$L106,IF($F106=Scales!$B$24,IF($S106="Passed",4,IF(NOT(ISNUMBER($R106)),0,IF(OR($R106&lt;0,$R106&gt;4,$R106&lt;&gt;INT($R106)),0,$R106))),IF(NOT(ISNUMBER($R106)),0,IF(OR($R106&lt;0,$R106&gt;4,$R106&lt;&gt;INT($R106)),0,$R106))+IF($S106="Passed",1,0)),IF(AND($F106&lt;&gt;Scales!$B$24,OR($F106=Scales!$B$27,$G106=Scales!$B$33)),3,4)))</f>
        <v>1</v>
      </c>
      <c r="U106" s="13" t="str">
        <f>IF($O106="",IF(AND($B106&lt;&gt;"",$B106&lt;&gt;"Duplicate ID"),IF($J106="Config error","Config error","Incomplete assessment"),""),IF($T106&gt;=$O106,IF(LEFT($P106,4)="More","Own choice","None"),MID(IF(AND($O106&gt;MATCH($J106,Scales!$B$6:$B$10,0)-1,$N106&lt;&gt;"Yes",$T106=MATCH($J106,Scales!$B$6:$B$10,0)-1)," + Exception not approved","")&amp;IF(AND($F106&lt;&gt;Scales!$B$24,OR($F106=Scales!$B$27,$G106=Scales!$B$33),$T106=3)," + Human-signature guardrail","")&amp;IF($T106=$L106," + Model confidence","")&amp;IF($T106=IF($F106=Scales!$B$24,IF($S106="Passed",4,IF(NOT(ISNUMBER($R106)),0,IF(OR($R106&lt;0,$R106&gt;4,$R106&lt;&gt;INT($R106)),0,$R106))),IF(NOT(ISNUMBER($R106)),0,IF(OR($R106&lt;0,$R106&gt;4,$R106&lt;&gt;INT($R106)),0,$R106))+IF($S106="Passed",1,0))," + "&amp;IF($S106&lt;&gt;"Passed","Readiness gate","Readiness gate (one level per gate)"),""),4,200)))</f>
        <v>Readiness gate</v>
      </c>
      <c r="V106" s="23"/>
    </row>
    <row r="107" spans="1:22" x14ac:dyDescent="0.25">
      <c r="A107" s="8" t="s">
        <v>234</v>
      </c>
      <c r="B107" s="11" t="str">
        <f>IF($A107="","",IF(COUNTIF('Use cases'!$A$5:$A$34,$A107)&gt;1,"Duplicate ID",IFERROR(IF(VLOOKUP($A107,'Use cases'!$A$5:$B$34,2,FALSE())=0,"",VLOOKUP($A107,'Use cases'!$A$5:$B$34,2,FALSE())),"")))</f>
        <v>Lateral movement indicators</v>
      </c>
      <c r="C107" s="12" t="str">
        <f>IF(OR($B107="",$B107="Duplicate ID"),"",IFERROR(VLOOKUP($A107,'Use cases'!$A$5:$C$34,3,FALSE()),""))</f>
        <v>Network</v>
      </c>
      <c r="D107" s="13" t="s">
        <v>127</v>
      </c>
      <c r="E107" s="23" t="s">
        <v>240</v>
      </c>
      <c r="F107" s="23" t="s">
        <v>119</v>
      </c>
      <c r="G107" s="24" t="s">
        <v>122</v>
      </c>
      <c r="H107" s="24" t="s">
        <v>122</v>
      </c>
      <c r="I107" s="13" t="str">
        <f>IF(OR($B107="",$B107="Duplicate ID"),"",IFERROR(VLOOKUP($A107,'Use cases'!$A$5:$E$34,5,FALSE()),""))</f>
        <v>Progressive</v>
      </c>
      <c r="J107" s="11" t="str">
        <f>IF(OR($B107="",$B107="Duplicate ID"),"",IF(OR($F107="",$G107=""),"",IF(Policy!$B$24&lt;&gt;"OK","Config error",IFERROR(INDEX(Scales!$B$6:$B$10,1+INDEX(Policy!$C$5:$E$16,MATCH($F107&amp;"|"&amp;$G107,Policy!$G$5:$G$16,0),MATCH($I107,Policy!$C$4:$E$4,0))),"Config error"))))</f>
        <v>L4 Autonomous</v>
      </c>
      <c r="K107" s="13">
        <f>IF($H107="","",IF($F107=Scales!$B$24,"exempt",IFERROR(IF(VLOOKUP($H107,Conf_Check,3,FALSE())="valid",VLOOKUP($H107,Conf_Adjust,2,FALSE()),"n/a"),"n/a")))</f>
        <v>-1</v>
      </c>
      <c r="L107" s="13">
        <f>IF(OR($J107="",$J107="Config error"),"",IF(OR($F107=Scales!$B$24,AND(ISNUMBER($K107),$K107=0)),4,IF(ISNUMBER($K107),MAX(1,MATCH($J107,Scales!$B$6:$B$10,0)-1+$K107),1)))</f>
        <v>3</v>
      </c>
      <c r="M107" s="5"/>
      <c r="N107" s="5"/>
      <c r="O107" s="8">
        <f>IF(OR($J107="",$J107="Config error",$E107="",$F107="",$G107="",$H107="",$R107=""),"",IF($M107="",MATCH($J107,Scales!$B$6:$B$10,0),IFERROR(MATCH($M107,Scales!$B$6:$B$10,0),MATCH($J107,Scales!$B$6:$B$10,0)))-1)</f>
        <v>4</v>
      </c>
      <c r="P107" s="12" t="str">
        <f>IF($J107="",IF(AND($B107&lt;&gt;"",$B107&lt;&gt;"Duplicate ID"),"Incomplete assessment",""),IF($J107="Config error","Config error",IF($O107="","Incomplete assessment",IF($M107="","As recommended",IF(ISERROR(MATCH($M107,Scales!$B$6:$B$10,0)),"Invalid choice",IF(MATCH($M107,Scales!$B$6:$B$10,0)&gt;MATCH($J107,Scales!$B$6:$B$10,0),"Above policy: needs sign-off",IF(MATCH($M107,Scales!$B$6:$B$10,0)&lt;MATCH($J107,Scales!$B$6:$B$10,0),"More cautious than policy","As recommended")))))))</f>
        <v>As recommended</v>
      </c>
      <c r="Q107" s="13">
        <f>IF(OR($O107="",Policy!$B$24&lt;&gt;"OK"),"",IFERROR(MIN($O107,INDEX(Policy!$C$5:$E$16,MATCH($F107&amp;"|"&amp;Scales!$B$33,Policy!$G$5:$G$16,0),MATCH($I107,Policy!$C$4:$E$4,0))),""))</f>
        <v>3</v>
      </c>
      <c r="R107" s="5">
        <v>1</v>
      </c>
      <c r="S107" s="13" t="str">
        <f>IF($B107="","",IF(COUNTIF('Readiness gate'!$A$7:$A$36,$A107)&lt;&gt;1,"Incomplete",IFERROR(IF(VLOOKUP($A107,GateTab,IF($F107=Scales!$B$24,11,9),FALSE())="","Incomplete",VLOOKUP($A107,GateTab,IF($F107=Scales!$B$24,11,9),FALSE())),"Incomplete")))</f>
        <v>Not passed</v>
      </c>
      <c r="T107" s="8">
        <f>IF($O107="","",MIN(IF(AND($O107&gt;MATCH($J107,Scales!$B$6:$B$10,0)-1,$N107&lt;&gt;"Yes"),MATCH($J107,Scales!$B$6:$B$10,0)-1,$O107),$L107,IF($F107=Scales!$B$24,IF($S107="Passed",4,IF(NOT(ISNUMBER($R107)),0,IF(OR($R107&lt;0,$R107&gt;4,$R107&lt;&gt;INT($R107)),0,$R107))),IF(NOT(ISNUMBER($R107)),0,IF(OR($R107&lt;0,$R107&gt;4,$R107&lt;&gt;INT($R107)),0,$R107))+IF($S107="Passed",1,0)),IF(AND($F107&lt;&gt;Scales!$B$24,OR($F107=Scales!$B$27,$G107=Scales!$B$33)),3,4)))</f>
        <v>1</v>
      </c>
      <c r="U107" s="13" t="str">
        <f>IF($O107="",IF(AND($B107&lt;&gt;"",$B107&lt;&gt;"Duplicate ID"),IF($J107="Config error","Config error","Incomplete assessment"),""),IF($T107&gt;=$O107,IF(LEFT($P107,4)="More","Own choice","None"),MID(IF(AND($O107&gt;MATCH($J107,Scales!$B$6:$B$10,0)-1,$N107&lt;&gt;"Yes",$T107=MATCH($J107,Scales!$B$6:$B$10,0)-1)," + Exception not approved","")&amp;IF(AND($F107&lt;&gt;Scales!$B$24,OR($F107=Scales!$B$27,$G107=Scales!$B$33),$T107=3)," + Human-signature guardrail","")&amp;IF($T107=$L107," + Model confidence","")&amp;IF($T107=IF($F107=Scales!$B$24,IF($S107="Passed",4,IF(NOT(ISNUMBER($R107)),0,IF(OR($R107&lt;0,$R107&gt;4,$R107&lt;&gt;INT($R107)),0,$R107))),IF(NOT(ISNUMBER($R107)),0,IF(OR($R107&lt;0,$R107&gt;4,$R107&lt;&gt;INT($R107)),0,$R107))+IF($S107="Passed",1,0))," + "&amp;IF($S107&lt;&gt;"Passed","Readiness gate","Readiness gate (one level per gate)"),""),4,200)))</f>
        <v>Readiness gate</v>
      </c>
      <c r="V107" s="23"/>
    </row>
    <row r="108" spans="1:22" x14ac:dyDescent="0.25">
      <c r="A108" s="8" t="s">
        <v>241</v>
      </c>
      <c r="B108" s="11" t="str">
        <f>IF($A108="","",IF(COUNTIF('Use cases'!$A$5:$A$34,$A108)&gt;1,"Duplicate ID",IFERROR(IF(VLOOKUP($A108,'Use cases'!$A$5:$B$34,2,FALSE())=0,"",VLOOKUP($A108,'Use cases'!$A$5:$B$34,2,FALSE())),"")))</f>
        <v>DNS tunneling</v>
      </c>
      <c r="C108" s="12" t="str">
        <f>IF(OR($B108="",$B108="Duplicate ID"),"",IFERROR(VLOOKUP($A108,'Use cases'!$A$5:$C$34,3,FALSE()),""))</f>
        <v>Network</v>
      </c>
      <c r="D108" s="13" t="s">
        <v>112</v>
      </c>
      <c r="E108" s="23" t="s">
        <v>242</v>
      </c>
      <c r="F108" s="23" t="s">
        <v>114</v>
      </c>
      <c r="G108" s="24" t="s">
        <v>115</v>
      </c>
      <c r="H108" s="24" t="s">
        <v>116</v>
      </c>
      <c r="I108" s="13" t="str">
        <f>IF(OR($B108="",$B108="Duplicate ID"),"",IFERROR(VLOOKUP($A108,'Use cases'!$A$5:$E$34,5,FALSE()),""))</f>
        <v>Progressive</v>
      </c>
      <c r="J108" s="11" t="str">
        <f>IF(OR($B108="",$B108="Duplicate ID"),"",IF(OR($F108="",$G108=""),"",IF(Policy!$B$24&lt;&gt;"OK","Config error",IFERROR(INDEX(Scales!$B$6:$B$10,1+INDEX(Policy!$C$5:$E$16,MATCH($F108&amp;"|"&amp;$G108,Policy!$G$5:$G$16,0),MATCH($I108,Policy!$C$4:$E$4,0))),"Config error"))))</f>
        <v>L4 Autonomous</v>
      </c>
      <c r="K108" s="13" t="str">
        <f>IF($H108="","",IF($F108=Scales!$B$24,"exempt",IFERROR(IF(VLOOKUP($H108,Conf_Check,3,FALSE())="valid",VLOOKUP($H108,Conf_Adjust,2,FALSE()),"n/a"),"n/a")))</f>
        <v>exempt</v>
      </c>
      <c r="L108" s="13">
        <f>IF(OR($J108="",$J108="Config error"),"",IF(OR($F108=Scales!$B$24,AND(ISNUMBER($K108),$K108=0)),4,IF(ISNUMBER($K108),MAX(1,MATCH($J108,Scales!$B$6:$B$10,0)-1+$K108),1)))</f>
        <v>4</v>
      </c>
      <c r="M108" s="5"/>
      <c r="N108" s="5"/>
      <c r="O108" s="8">
        <f>IF(OR($J108="",$J108="Config error",$E108="",$F108="",$G108="",$H108="",$R108=""),"",IF($M108="",MATCH($J108,Scales!$B$6:$B$10,0),IFERROR(MATCH($M108,Scales!$B$6:$B$10,0),MATCH($J108,Scales!$B$6:$B$10,0)))-1)</f>
        <v>4</v>
      </c>
      <c r="P108" s="12" t="str">
        <f>IF($J108="",IF(AND($B108&lt;&gt;"",$B108&lt;&gt;"Duplicate ID"),"Incomplete assessment",""),IF($J108="Config error","Config error",IF($O108="","Incomplete assessment",IF($M108="","As recommended",IF(ISERROR(MATCH($M108,Scales!$B$6:$B$10,0)),"Invalid choice",IF(MATCH($M108,Scales!$B$6:$B$10,0)&gt;MATCH($J108,Scales!$B$6:$B$10,0),"Above policy: needs sign-off",IF(MATCH($M108,Scales!$B$6:$B$10,0)&lt;MATCH($J108,Scales!$B$6:$B$10,0),"More cautious than policy","As recommended")))))))</f>
        <v>As recommended</v>
      </c>
      <c r="Q108" s="13">
        <f>IF(OR($O108="",Policy!$B$24&lt;&gt;"OK"),"",IFERROR(MIN($O108,INDEX(Policy!$C$5:$E$16,MATCH($F108&amp;"|"&amp;Scales!$B$33,Policy!$G$5:$G$16,0),MATCH($I108,Policy!$C$4:$E$4,0))),""))</f>
        <v>4</v>
      </c>
      <c r="R108" s="5">
        <v>1</v>
      </c>
      <c r="S108" s="13" t="str">
        <f>IF($B108="","",IF(COUNTIF('Readiness gate'!$A$7:$A$36,$A108)&lt;&gt;1,"Incomplete",IFERROR(IF(VLOOKUP($A108,GateTab,IF($F108=Scales!$B$24,11,9),FALSE())="","Incomplete",VLOOKUP($A108,GateTab,IF($F108=Scales!$B$24,11,9),FALSE())),"Incomplete")))</f>
        <v>Passed</v>
      </c>
      <c r="T108" s="8">
        <f>IF($O108="","",MIN(IF(AND($O108&gt;MATCH($J108,Scales!$B$6:$B$10,0)-1,$N108&lt;&gt;"Yes"),MATCH($J108,Scales!$B$6:$B$10,0)-1,$O108),$L108,IF($F108=Scales!$B$24,IF($S108="Passed",4,IF(NOT(ISNUMBER($R108)),0,IF(OR($R108&lt;0,$R108&gt;4,$R108&lt;&gt;INT($R108)),0,$R108))),IF(NOT(ISNUMBER($R108)),0,IF(OR($R108&lt;0,$R108&gt;4,$R108&lt;&gt;INT($R108)),0,$R108))+IF($S108="Passed",1,0)),IF(AND($F108&lt;&gt;Scales!$B$24,OR($F108=Scales!$B$27,$G108=Scales!$B$33)),3,4)))</f>
        <v>4</v>
      </c>
      <c r="U108" s="13" t="str">
        <f>IF($O108="",IF(AND($B108&lt;&gt;"",$B108&lt;&gt;"Duplicate ID"),IF($J108="Config error","Config error","Incomplete assessment"),""),IF($T108&gt;=$O108,IF(LEFT($P108,4)="More","Own choice","None"),MID(IF(AND($O108&gt;MATCH($J108,Scales!$B$6:$B$10,0)-1,$N108&lt;&gt;"Yes",$T108=MATCH($J108,Scales!$B$6:$B$10,0)-1)," + Exception not approved","")&amp;IF(AND($F108&lt;&gt;Scales!$B$24,OR($F108=Scales!$B$27,$G108=Scales!$B$33),$T108=3)," + Human-signature guardrail","")&amp;IF($T108=$L108," + Model confidence","")&amp;IF($T108=IF($F108=Scales!$B$24,IF($S108="Passed",4,IF(NOT(ISNUMBER($R108)),0,IF(OR($R108&lt;0,$R108&gt;4,$R108&lt;&gt;INT($R108)),0,$R108))),IF(NOT(ISNUMBER($R108)),0,IF(OR($R108&lt;0,$R108&gt;4,$R108&lt;&gt;INT($R108)),0,$R108))+IF($S108="Passed",1,0))," + "&amp;IF($S108&lt;&gt;"Passed","Readiness gate","Readiness gate (one level per gate)"),""),4,200)))</f>
        <v>None</v>
      </c>
      <c r="V108" s="23"/>
    </row>
    <row r="109" spans="1:22" x14ac:dyDescent="0.25">
      <c r="A109" s="8" t="s">
        <v>241</v>
      </c>
      <c r="B109" s="11" t="str">
        <f>IF($A109="","",IF(COUNTIF('Use cases'!$A$5:$A$34,$A109)&gt;1,"Duplicate ID",IFERROR(IF(VLOOKUP($A109,'Use cases'!$A$5:$B$34,2,FALSE())=0,"",VLOOKUP($A109,'Use cases'!$A$5:$B$34,2,FALSE())),"")))</f>
        <v>DNS tunneling</v>
      </c>
      <c r="C109" s="12" t="str">
        <f>IF(OR($B109="",$B109="Duplicate ID"),"",IFERROR(VLOOKUP($A109,'Use cases'!$A$5:$C$34,3,FALSE()),""))</f>
        <v>Network</v>
      </c>
      <c r="D109" s="13" t="s">
        <v>117</v>
      </c>
      <c r="E109" s="23" t="s">
        <v>243</v>
      </c>
      <c r="F109" s="23" t="s">
        <v>119</v>
      </c>
      <c r="G109" s="24" t="s">
        <v>115</v>
      </c>
      <c r="H109" s="24" t="s">
        <v>122</v>
      </c>
      <c r="I109" s="13" t="str">
        <f>IF(OR($B109="",$B109="Duplicate ID"),"",IFERROR(VLOOKUP($A109,'Use cases'!$A$5:$E$34,5,FALSE()),""))</f>
        <v>Progressive</v>
      </c>
      <c r="J109" s="11" t="str">
        <f>IF(OR($B109="",$B109="Duplicate ID"),"",IF(OR($F109="",$G109=""),"",IF(Policy!$B$24&lt;&gt;"OK","Config error",IFERROR(INDEX(Scales!$B$6:$B$10,1+INDEX(Policy!$C$5:$E$16,MATCH($F109&amp;"|"&amp;$G109,Policy!$G$5:$G$16,0),MATCH($I109,Policy!$C$4:$E$4,0))),"Config error"))))</f>
        <v>L4 Autonomous</v>
      </c>
      <c r="K109" s="13">
        <f>IF($H109="","",IF($F109=Scales!$B$24,"exempt",IFERROR(IF(VLOOKUP($H109,Conf_Check,3,FALSE())="valid",VLOOKUP($H109,Conf_Adjust,2,FALSE()),"n/a"),"n/a")))</f>
        <v>-1</v>
      </c>
      <c r="L109" s="13">
        <f>IF(OR($J109="",$J109="Config error"),"",IF(OR($F109=Scales!$B$24,AND(ISNUMBER($K109),$K109=0)),4,IF(ISNUMBER($K109),MAX(1,MATCH($J109,Scales!$B$6:$B$10,0)-1+$K109),1)))</f>
        <v>3</v>
      </c>
      <c r="M109" s="5"/>
      <c r="N109" s="5"/>
      <c r="O109" s="8">
        <f>IF(OR($J109="",$J109="Config error",$E109="",$F109="",$G109="",$H109="",$R109=""),"",IF($M109="",MATCH($J109,Scales!$B$6:$B$10,0),IFERROR(MATCH($M109,Scales!$B$6:$B$10,0),MATCH($J109,Scales!$B$6:$B$10,0)))-1)</f>
        <v>4</v>
      </c>
      <c r="P109" s="12" t="str">
        <f>IF($J109="",IF(AND($B109&lt;&gt;"",$B109&lt;&gt;"Duplicate ID"),"Incomplete assessment",""),IF($J109="Config error","Config error",IF($O109="","Incomplete assessment",IF($M109="","As recommended",IF(ISERROR(MATCH($M109,Scales!$B$6:$B$10,0)),"Invalid choice",IF(MATCH($M109,Scales!$B$6:$B$10,0)&gt;MATCH($J109,Scales!$B$6:$B$10,0),"Above policy: needs sign-off",IF(MATCH($M109,Scales!$B$6:$B$10,0)&lt;MATCH($J109,Scales!$B$6:$B$10,0),"More cautious than policy","As recommended")))))))</f>
        <v>As recommended</v>
      </c>
      <c r="Q109" s="13">
        <f>IF(OR($O109="",Policy!$B$24&lt;&gt;"OK"),"",IFERROR(MIN($O109,INDEX(Policy!$C$5:$E$16,MATCH($F109&amp;"|"&amp;Scales!$B$33,Policy!$G$5:$G$16,0),MATCH($I109,Policy!$C$4:$E$4,0))),""))</f>
        <v>3</v>
      </c>
      <c r="R109" s="5">
        <v>1</v>
      </c>
      <c r="S109" s="13" t="str">
        <f>IF($B109="","",IF(COUNTIF('Readiness gate'!$A$7:$A$36,$A109)&lt;&gt;1,"Incomplete",IFERROR(IF(VLOOKUP($A109,GateTab,IF($F109=Scales!$B$24,11,9),FALSE())="","Incomplete",VLOOKUP($A109,GateTab,IF($F109=Scales!$B$24,11,9),FALSE())),"Incomplete")))</f>
        <v>Passed</v>
      </c>
      <c r="T109" s="8">
        <f>IF($O109="","",MIN(IF(AND($O109&gt;MATCH($J109,Scales!$B$6:$B$10,0)-1,$N109&lt;&gt;"Yes"),MATCH($J109,Scales!$B$6:$B$10,0)-1,$O109),$L109,IF($F109=Scales!$B$24,IF($S109="Passed",4,IF(NOT(ISNUMBER($R109)),0,IF(OR($R109&lt;0,$R109&gt;4,$R109&lt;&gt;INT($R109)),0,$R109))),IF(NOT(ISNUMBER($R109)),0,IF(OR($R109&lt;0,$R109&gt;4,$R109&lt;&gt;INT($R109)),0,$R109))+IF($S109="Passed",1,0)),IF(AND($F109&lt;&gt;Scales!$B$24,OR($F109=Scales!$B$27,$G109=Scales!$B$33)),3,4)))</f>
        <v>2</v>
      </c>
      <c r="U109" s="13" t="str">
        <f>IF($O109="",IF(AND($B109&lt;&gt;"",$B109&lt;&gt;"Duplicate ID"),IF($J109="Config error","Config error","Incomplete assessment"),""),IF($T109&gt;=$O109,IF(LEFT($P109,4)="More","Own choice","None"),MID(IF(AND($O109&gt;MATCH($J109,Scales!$B$6:$B$10,0)-1,$N109&lt;&gt;"Yes",$T109=MATCH($J109,Scales!$B$6:$B$10,0)-1)," + Exception not approved","")&amp;IF(AND($F109&lt;&gt;Scales!$B$24,OR($F109=Scales!$B$27,$G109=Scales!$B$33),$T109=3)," + Human-signature guardrail","")&amp;IF($T109=$L109," + Model confidence","")&amp;IF($T109=IF($F109=Scales!$B$24,IF($S109="Passed",4,IF(NOT(ISNUMBER($R109)),0,IF(OR($R109&lt;0,$R109&gt;4,$R109&lt;&gt;INT($R109)),0,$R109))),IF(NOT(ISNUMBER($R109)),0,IF(OR($R109&lt;0,$R109&gt;4,$R109&lt;&gt;INT($R109)),0,$R109))+IF($S109="Passed",1,0))," + "&amp;IF($S109&lt;&gt;"Passed","Readiness gate","Readiness gate (one level per gate)"),""),4,200)))</f>
        <v>Readiness gate (one level per gate)</v>
      </c>
      <c r="V109" s="23"/>
    </row>
    <row r="110" spans="1:22" x14ac:dyDescent="0.25">
      <c r="A110" s="8" t="s">
        <v>241</v>
      </c>
      <c r="B110" s="11" t="str">
        <f>IF($A110="","",IF(COUNTIF('Use cases'!$A$5:$A$34,$A110)&gt;1,"Duplicate ID",IFERROR(IF(VLOOKUP($A110,'Use cases'!$A$5:$B$34,2,FALSE())=0,"",VLOOKUP($A110,'Use cases'!$A$5:$B$34,2,FALSE())),"")))</f>
        <v>DNS tunneling</v>
      </c>
      <c r="C110" s="12" t="str">
        <f>IF(OR($B110="",$B110="Duplicate ID"),"",IFERROR(VLOOKUP($A110,'Use cases'!$A$5:$C$34,3,FALSE()),""))</f>
        <v>Network</v>
      </c>
      <c r="D110" s="13" t="s">
        <v>120</v>
      </c>
      <c r="E110" s="23" t="s">
        <v>244</v>
      </c>
      <c r="F110" s="23" t="s">
        <v>119</v>
      </c>
      <c r="G110" s="24" t="s">
        <v>115</v>
      </c>
      <c r="H110" s="24" t="s">
        <v>116</v>
      </c>
      <c r="I110" s="13" t="str">
        <f>IF(OR($B110="",$B110="Duplicate ID"),"",IFERROR(VLOOKUP($A110,'Use cases'!$A$5:$E$34,5,FALSE()),""))</f>
        <v>Progressive</v>
      </c>
      <c r="J110" s="11" t="str">
        <f>IF(OR($B110="",$B110="Duplicate ID"),"",IF(OR($F110="",$G110=""),"",IF(Policy!$B$24&lt;&gt;"OK","Config error",IFERROR(INDEX(Scales!$B$6:$B$10,1+INDEX(Policy!$C$5:$E$16,MATCH($F110&amp;"|"&amp;$G110,Policy!$G$5:$G$16,0),MATCH($I110,Policy!$C$4:$E$4,0))),"Config error"))))</f>
        <v>L4 Autonomous</v>
      </c>
      <c r="K110" s="13">
        <f>IF($H110="","",IF($F110=Scales!$B$24,"exempt",IFERROR(IF(VLOOKUP($H110,Conf_Check,3,FALSE())="valid",VLOOKUP($H110,Conf_Adjust,2,FALSE()),"n/a"),"n/a")))</f>
        <v>0</v>
      </c>
      <c r="L110" s="13">
        <f>IF(OR($J110="",$J110="Config error"),"",IF(OR($F110=Scales!$B$24,AND(ISNUMBER($K110),$K110=0)),4,IF(ISNUMBER($K110),MAX(1,MATCH($J110,Scales!$B$6:$B$10,0)-1+$K110),1)))</f>
        <v>4</v>
      </c>
      <c r="M110" s="5"/>
      <c r="N110" s="5"/>
      <c r="O110" s="8">
        <f>IF(OR($J110="",$J110="Config error",$E110="",$F110="",$G110="",$H110="",$R110=""),"",IF($M110="",MATCH($J110,Scales!$B$6:$B$10,0),IFERROR(MATCH($M110,Scales!$B$6:$B$10,0),MATCH($J110,Scales!$B$6:$B$10,0)))-1)</f>
        <v>4</v>
      </c>
      <c r="P110" s="12" t="str">
        <f>IF($J110="",IF(AND($B110&lt;&gt;"",$B110&lt;&gt;"Duplicate ID"),"Incomplete assessment",""),IF($J110="Config error","Config error",IF($O110="","Incomplete assessment",IF($M110="","As recommended",IF(ISERROR(MATCH($M110,Scales!$B$6:$B$10,0)),"Invalid choice",IF(MATCH($M110,Scales!$B$6:$B$10,0)&gt;MATCH($J110,Scales!$B$6:$B$10,0),"Above policy: needs sign-off",IF(MATCH($M110,Scales!$B$6:$B$10,0)&lt;MATCH($J110,Scales!$B$6:$B$10,0),"More cautious than policy","As recommended")))))))</f>
        <v>As recommended</v>
      </c>
      <c r="Q110" s="13">
        <f>IF(OR($O110="",Policy!$B$24&lt;&gt;"OK"),"",IFERROR(MIN($O110,INDEX(Policy!$C$5:$E$16,MATCH($F110&amp;"|"&amp;Scales!$B$33,Policy!$G$5:$G$16,0),MATCH($I110,Policy!$C$4:$E$4,0))),""))</f>
        <v>3</v>
      </c>
      <c r="R110" s="5">
        <v>2</v>
      </c>
      <c r="S110" s="13" t="str">
        <f>IF($B110="","",IF(COUNTIF('Readiness gate'!$A$7:$A$36,$A110)&lt;&gt;1,"Incomplete",IFERROR(IF(VLOOKUP($A110,GateTab,IF($F110=Scales!$B$24,11,9),FALSE())="","Incomplete",VLOOKUP($A110,GateTab,IF($F110=Scales!$B$24,11,9),FALSE())),"Incomplete")))</f>
        <v>Passed</v>
      </c>
      <c r="T110" s="8">
        <f>IF($O110="","",MIN(IF(AND($O110&gt;MATCH($J110,Scales!$B$6:$B$10,0)-1,$N110&lt;&gt;"Yes"),MATCH($J110,Scales!$B$6:$B$10,0)-1,$O110),$L110,IF($F110=Scales!$B$24,IF($S110="Passed",4,IF(NOT(ISNUMBER($R110)),0,IF(OR($R110&lt;0,$R110&gt;4,$R110&lt;&gt;INT($R110)),0,$R110))),IF(NOT(ISNUMBER($R110)),0,IF(OR($R110&lt;0,$R110&gt;4,$R110&lt;&gt;INT($R110)),0,$R110))+IF($S110="Passed",1,0)),IF(AND($F110&lt;&gt;Scales!$B$24,OR($F110=Scales!$B$27,$G110=Scales!$B$33)),3,4)))</f>
        <v>3</v>
      </c>
      <c r="U110" s="13" t="str">
        <f>IF($O110="",IF(AND($B110&lt;&gt;"",$B110&lt;&gt;"Duplicate ID"),IF($J110="Config error","Config error","Incomplete assessment"),""),IF($T110&gt;=$O110,IF(LEFT($P110,4)="More","Own choice","None"),MID(IF(AND($O110&gt;MATCH($J110,Scales!$B$6:$B$10,0)-1,$N110&lt;&gt;"Yes",$T110=MATCH($J110,Scales!$B$6:$B$10,0)-1)," + Exception not approved","")&amp;IF(AND($F110&lt;&gt;Scales!$B$24,OR($F110=Scales!$B$27,$G110=Scales!$B$33),$T110=3)," + Human-signature guardrail","")&amp;IF($T110=$L110," + Model confidence","")&amp;IF($T110=IF($F110=Scales!$B$24,IF($S110="Passed",4,IF(NOT(ISNUMBER($R110)),0,IF(OR($R110&lt;0,$R110&gt;4,$R110&lt;&gt;INT($R110)),0,$R110))),IF(NOT(ISNUMBER($R110)),0,IF(OR($R110&lt;0,$R110&gt;4,$R110&lt;&gt;INT($R110)),0,$R110))+IF($S110="Passed",1,0))," + "&amp;IF($S110&lt;&gt;"Passed","Readiness gate","Readiness gate (one level per gate)"),""),4,200)))</f>
        <v>Readiness gate (one level per gate)</v>
      </c>
      <c r="V110" s="23"/>
    </row>
    <row r="111" spans="1:22" x14ac:dyDescent="0.25">
      <c r="A111" s="8" t="s">
        <v>241</v>
      </c>
      <c r="B111" s="11" t="str">
        <f>IF($A111="","",IF(COUNTIF('Use cases'!$A$5:$A$34,$A111)&gt;1,"Duplicate ID",IFERROR(IF(VLOOKUP($A111,'Use cases'!$A$5:$B$34,2,FALSE())=0,"",VLOOKUP($A111,'Use cases'!$A$5:$B$34,2,FALSE())),"")))</f>
        <v>DNS tunneling</v>
      </c>
      <c r="C111" s="12" t="str">
        <f>IF(OR($B111="",$B111="Duplicate ID"),"",IFERROR(VLOOKUP($A111,'Use cases'!$A$5:$C$34,3,FALSE()),""))</f>
        <v>Network</v>
      </c>
      <c r="D111" s="13" t="s">
        <v>123</v>
      </c>
      <c r="E111" s="23" t="s">
        <v>245</v>
      </c>
      <c r="F111" s="23" t="s">
        <v>134</v>
      </c>
      <c r="G111" s="24" t="s">
        <v>115</v>
      </c>
      <c r="H111" s="24" t="s">
        <v>122</v>
      </c>
      <c r="I111" s="13" t="str">
        <f>IF(OR($B111="",$B111="Duplicate ID"),"",IFERROR(VLOOKUP($A111,'Use cases'!$A$5:$E$34,5,FALSE()),""))</f>
        <v>Progressive</v>
      </c>
      <c r="J111" s="11" t="str">
        <f>IF(OR($B111="",$B111="Duplicate ID"),"",IF(OR($F111="",$G111=""),"",IF(Policy!$B$24&lt;&gt;"OK","Config error",IFERROR(INDEX(Scales!$B$6:$B$10,1+INDEX(Policy!$C$5:$E$16,MATCH($F111&amp;"|"&amp;$G111,Policy!$G$5:$G$16,0),MATCH($I111,Policy!$C$4:$E$4,0))),"Config error"))))</f>
        <v>L4 Autonomous</v>
      </c>
      <c r="K111" s="13">
        <f>IF($H111="","",IF($F111=Scales!$B$24,"exempt",IFERROR(IF(VLOOKUP($H111,Conf_Check,3,FALSE())="valid",VLOOKUP($H111,Conf_Adjust,2,FALSE()),"n/a"),"n/a")))</f>
        <v>-1</v>
      </c>
      <c r="L111" s="13">
        <f>IF(OR($J111="",$J111="Config error"),"",IF(OR($F111=Scales!$B$24,AND(ISNUMBER($K111),$K111=0)),4,IF(ISNUMBER($K111),MAX(1,MATCH($J111,Scales!$B$6:$B$10,0)-1+$K111),1)))</f>
        <v>3</v>
      </c>
      <c r="M111" s="5"/>
      <c r="N111" s="5"/>
      <c r="O111" s="8">
        <f>IF(OR($J111="",$J111="Config error",$E111="",$F111="",$G111="",$H111="",$R111=""),"",IF($M111="",MATCH($J111,Scales!$B$6:$B$10,0),IFERROR(MATCH($M111,Scales!$B$6:$B$10,0),MATCH($J111,Scales!$B$6:$B$10,0)))-1)</f>
        <v>4</v>
      </c>
      <c r="P111" s="12" t="str">
        <f>IF($J111="",IF(AND($B111&lt;&gt;"",$B111&lt;&gt;"Duplicate ID"),"Incomplete assessment",""),IF($J111="Config error","Config error",IF($O111="","Incomplete assessment",IF($M111="","As recommended",IF(ISERROR(MATCH($M111,Scales!$B$6:$B$10,0)),"Invalid choice",IF(MATCH($M111,Scales!$B$6:$B$10,0)&gt;MATCH($J111,Scales!$B$6:$B$10,0),"Above policy: needs sign-off",IF(MATCH($M111,Scales!$B$6:$B$10,0)&lt;MATCH($J111,Scales!$B$6:$B$10,0),"More cautious than policy","As recommended")))))))</f>
        <v>As recommended</v>
      </c>
      <c r="Q111" s="13">
        <f>IF(OR($O111="",Policy!$B$24&lt;&gt;"OK"),"",IFERROR(MIN($O111,INDEX(Policy!$C$5:$E$16,MATCH($F111&amp;"|"&amp;Scales!$B$33,Policy!$G$5:$G$16,0),MATCH($I111,Policy!$C$4:$E$4,0))),""))</f>
        <v>3</v>
      </c>
      <c r="R111" s="5">
        <v>1</v>
      </c>
      <c r="S111" s="13" t="str">
        <f>IF($B111="","",IF(COUNTIF('Readiness gate'!$A$7:$A$36,$A111)&lt;&gt;1,"Incomplete",IFERROR(IF(VLOOKUP($A111,GateTab,IF($F111=Scales!$B$24,11,9),FALSE())="","Incomplete",VLOOKUP($A111,GateTab,IF($F111=Scales!$B$24,11,9),FALSE())),"Incomplete")))</f>
        <v>Passed</v>
      </c>
      <c r="T111" s="8">
        <f>IF($O111="","",MIN(IF(AND($O111&gt;MATCH($J111,Scales!$B$6:$B$10,0)-1,$N111&lt;&gt;"Yes"),MATCH($J111,Scales!$B$6:$B$10,0)-1,$O111),$L111,IF($F111=Scales!$B$24,IF($S111="Passed",4,IF(NOT(ISNUMBER($R111)),0,IF(OR($R111&lt;0,$R111&gt;4,$R111&lt;&gt;INT($R111)),0,$R111))),IF(NOT(ISNUMBER($R111)),0,IF(OR($R111&lt;0,$R111&gt;4,$R111&lt;&gt;INT($R111)),0,$R111))+IF($S111="Passed",1,0)),IF(AND($F111&lt;&gt;Scales!$B$24,OR($F111=Scales!$B$27,$G111=Scales!$B$33)),3,4)))</f>
        <v>2</v>
      </c>
      <c r="U111" s="13" t="str">
        <f>IF($O111="",IF(AND($B111&lt;&gt;"",$B111&lt;&gt;"Duplicate ID"),IF($J111="Config error","Config error","Incomplete assessment"),""),IF($T111&gt;=$O111,IF(LEFT($P111,4)="More","Own choice","None"),MID(IF(AND($O111&gt;MATCH($J111,Scales!$B$6:$B$10,0)-1,$N111&lt;&gt;"Yes",$T111=MATCH($J111,Scales!$B$6:$B$10,0)-1)," + Exception not approved","")&amp;IF(AND($F111&lt;&gt;Scales!$B$24,OR($F111=Scales!$B$27,$G111=Scales!$B$33),$T111=3)," + Human-signature guardrail","")&amp;IF($T111=$L111," + Model confidence","")&amp;IF($T111=IF($F111=Scales!$B$24,IF($S111="Passed",4,IF(NOT(ISNUMBER($R111)),0,IF(OR($R111&lt;0,$R111&gt;4,$R111&lt;&gt;INT($R111)),0,$R111))),IF(NOT(ISNUMBER($R111)),0,IF(OR($R111&lt;0,$R111&gt;4,$R111&lt;&gt;INT($R111)),0,$R111))+IF($S111="Passed",1,0))," + "&amp;IF($S111&lt;&gt;"Passed","Readiness gate","Readiness gate (one level per gate)"),""),4,200)))</f>
        <v>Readiness gate (one level per gate)</v>
      </c>
      <c r="V111" s="23"/>
    </row>
    <row r="112" spans="1:22" x14ac:dyDescent="0.25">
      <c r="A112" s="8" t="s">
        <v>241</v>
      </c>
      <c r="B112" s="11" t="str">
        <f>IF($A112="","",IF(COUNTIF('Use cases'!$A$5:$A$34,$A112)&gt;1,"Duplicate ID",IFERROR(IF(VLOOKUP($A112,'Use cases'!$A$5:$B$34,2,FALSE())=0,"",VLOOKUP($A112,'Use cases'!$A$5:$B$34,2,FALSE())),"")))</f>
        <v>DNS tunneling</v>
      </c>
      <c r="C112" s="12" t="str">
        <f>IF(OR($B112="",$B112="Duplicate ID"),"",IFERROR(VLOOKUP($A112,'Use cases'!$A$5:$C$34,3,FALSE()),""))</f>
        <v>Network</v>
      </c>
      <c r="D112" s="13" t="s">
        <v>125</v>
      </c>
      <c r="E112" s="23" t="s">
        <v>246</v>
      </c>
      <c r="F112" s="23" t="s">
        <v>119</v>
      </c>
      <c r="G112" s="24" t="s">
        <v>115</v>
      </c>
      <c r="H112" s="24" t="s">
        <v>122</v>
      </c>
      <c r="I112" s="13" t="str">
        <f>IF(OR($B112="",$B112="Duplicate ID"),"",IFERROR(VLOOKUP($A112,'Use cases'!$A$5:$E$34,5,FALSE()),""))</f>
        <v>Progressive</v>
      </c>
      <c r="J112" s="11" t="str">
        <f>IF(OR($B112="",$B112="Duplicate ID"),"",IF(OR($F112="",$G112=""),"",IF(Policy!$B$24&lt;&gt;"OK","Config error",IFERROR(INDEX(Scales!$B$6:$B$10,1+INDEX(Policy!$C$5:$E$16,MATCH($F112&amp;"|"&amp;$G112,Policy!$G$5:$G$16,0),MATCH($I112,Policy!$C$4:$E$4,0))),"Config error"))))</f>
        <v>L4 Autonomous</v>
      </c>
      <c r="K112" s="13">
        <f>IF($H112="","",IF($F112=Scales!$B$24,"exempt",IFERROR(IF(VLOOKUP($H112,Conf_Check,3,FALSE())="valid",VLOOKUP($H112,Conf_Adjust,2,FALSE()),"n/a"),"n/a")))</f>
        <v>-1</v>
      </c>
      <c r="L112" s="13">
        <f>IF(OR($J112="",$J112="Config error"),"",IF(OR($F112=Scales!$B$24,AND(ISNUMBER($K112),$K112=0)),4,IF(ISNUMBER($K112),MAX(1,MATCH($J112,Scales!$B$6:$B$10,0)-1+$K112),1)))</f>
        <v>3</v>
      </c>
      <c r="M112" s="5"/>
      <c r="N112" s="5"/>
      <c r="O112" s="8">
        <f>IF(OR($J112="",$J112="Config error",$E112="",$F112="",$G112="",$H112="",$R112=""),"",IF($M112="",MATCH($J112,Scales!$B$6:$B$10,0),IFERROR(MATCH($M112,Scales!$B$6:$B$10,0),MATCH($J112,Scales!$B$6:$B$10,0)))-1)</f>
        <v>4</v>
      </c>
      <c r="P112" s="12" t="str">
        <f>IF($J112="",IF(AND($B112&lt;&gt;"",$B112&lt;&gt;"Duplicate ID"),"Incomplete assessment",""),IF($J112="Config error","Config error",IF($O112="","Incomplete assessment",IF($M112="","As recommended",IF(ISERROR(MATCH($M112,Scales!$B$6:$B$10,0)),"Invalid choice",IF(MATCH($M112,Scales!$B$6:$B$10,0)&gt;MATCH($J112,Scales!$B$6:$B$10,0),"Above policy: needs sign-off",IF(MATCH($M112,Scales!$B$6:$B$10,0)&lt;MATCH($J112,Scales!$B$6:$B$10,0),"More cautious than policy","As recommended")))))))</f>
        <v>As recommended</v>
      </c>
      <c r="Q112" s="13">
        <f>IF(OR($O112="",Policy!$B$24&lt;&gt;"OK"),"",IFERROR(MIN($O112,INDEX(Policy!$C$5:$E$16,MATCH($F112&amp;"|"&amp;Scales!$B$33,Policy!$G$5:$G$16,0),MATCH($I112,Policy!$C$4:$E$4,0))),""))</f>
        <v>3</v>
      </c>
      <c r="R112" s="5">
        <v>1</v>
      </c>
      <c r="S112" s="13" t="str">
        <f>IF($B112="","",IF(COUNTIF('Readiness gate'!$A$7:$A$36,$A112)&lt;&gt;1,"Incomplete",IFERROR(IF(VLOOKUP($A112,GateTab,IF($F112=Scales!$B$24,11,9),FALSE())="","Incomplete",VLOOKUP($A112,GateTab,IF($F112=Scales!$B$24,11,9),FALSE())),"Incomplete")))</f>
        <v>Passed</v>
      </c>
      <c r="T112" s="8">
        <f>IF($O112="","",MIN(IF(AND($O112&gt;MATCH($J112,Scales!$B$6:$B$10,0)-1,$N112&lt;&gt;"Yes"),MATCH($J112,Scales!$B$6:$B$10,0)-1,$O112),$L112,IF($F112=Scales!$B$24,IF($S112="Passed",4,IF(NOT(ISNUMBER($R112)),0,IF(OR($R112&lt;0,$R112&gt;4,$R112&lt;&gt;INT($R112)),0,$R112))),IF(NOT(ISNUMBER($R112)),0,IF(OR($R112&lt;0,$R112&gt;4,$R112&lt;&gt;INT($R112)),0,$R112))+IF($S112="Passed",1,0)),IF(AND($F112&lt;&gt;Scales!$B$24,OR($F112=Scales!$B$27,$G112=Scales!$B$33)),3,4)))</f>
        <v>2</v>
      </c>
      <c r="U112" s="13" t="str">
        <f>IF($O112="",IF(AND($B112&lt;&gt;"",$B112&lt;&gt;"Duplicate ID"),IF($J112="Config error","Config error","Incomplete assessment"),""),IF($T112&gt;=$O112,IF(LEFT($P112,4)="More","Own choice","None"),MID(IF(AND($O112&gt;MATCH($J112,Scales!$B$6:$B$10,0)-1,$N112&lt;&gt;"Yes",$T112=MATCH($J112,Scales!$B$6:$B$10,0)-1)," + Exception not approved","")&amp;IF(AND($F112&lt;&gt;Scales!$B$24,OR($F112=Scales!$B$27,$G112=Scales!$B$33),$T112=3)," + Human-signature guardrail","")&amp;IF($T112=$L112," + Model confidence","")&amp;IF($T112=IF($F112=Scales!$B$24,IF($S112="Passed",4,IF(NOT(ISNUMBER($R112)),0,IF(OR($R112&lt;0,$R112&gt;4,$R112&lt;&gt;INT($R112)),0,$R112))),IF(NOT(ISNUMBER($R112)),0,IF(OR($R112&lt;0,$R112&gt;4,$R112&lt;&gt;INT($R112)),0,$R112))+IF($S112="Passed",1,0))," + "&amp;IF($S112&lt;&gt;"Passed","Readiness gate","Readiness gate (one level per gate)"),""),4,200)))</f>
        <v>Readiness gate (one level per gate)</v>
      </c>
      <c r="V112" s="23"/>
    </row>
    <row r="113" spans="1:22" x14ac:dyDescent="0.25">
      <c r="A113" s="8" t="s">
        <v>241</v>
      </c>
      <c r="B113" s="11" t="str">
        <f>IF($A113="","",IF(COUNTIF('Use cases'!$A$5:$A$34,$A113)&gt;1,"Duplicate ID",IFERROR(IF(VLOOKUP($A113,'Use cases'!$A$5:$B$34,2,FALSE())=0,"",VLOOKUP($A113,'Use cases'!$A$5:$B$34,2,FALSE())),"")))</f>
        <v>DNS tunneling</v>
      </c>
      <c r="C113" s="12" t="str">
        <f>IF(OR($B113="",$B113="Duplicate ID"),"",IFERROR(VLOOKUP($A113,'Use cases'!$A$5:$C$34,3,FALSE()),""))</f>
        <v>Network</v>
      </c>
      <c r="D113" s="13" t="s">
        <v>127</v>
      </c>
      <c r="E113" s="23" t="s">
        <v>247</v>
      </c>
      <c r="F113" s="23" t="s">
        <v>119</v>
      </c>
      <c r="G113" s="24" t="s">
        <v>115</v>
      </c>
      <c r="H113" s="24" t="s">
        <v>116</v>
      </c>
      <c r="I113" s="13" t="str">
        <f>IF(OR($B113="",$B113="Duplicate ID"),"",IFERROR(VLOOKUP($A113,'Use cases'!$A$5:$E$34,5,FALSE()),""))</f>
        <v>Progressive</v>
      </c>
      <c r="J113" s="11" t="str">
        <f>IF(OR($B113="",$B113="Duplicate ID"),"",IF(OR($F113="",$G113=""),"",IF(Policy!$B$24&lt;&gt;"OK","Config error",IFERROR(INDEX(Scales!$B$6:$B$10,1+INDEX(Policy!$C$5:$E$16,MATCH($F113&amp;"|"&amp;$G113,Policy!$G$5:$G$16,0),MATCH($I113,Policy!$C$4:$E$4,0))),"Config error"))))</f>
        <v>L4 Autonomous</v>
      </c>
      <c r="K113" s="13">
        <f>IF($H113="","",IF($F113=Scales!$B$24,"exempt",IFERROR(IF(VLOOKUP($H113,Conf_Check,3,FALSE())="valid",VLOOKUP($H113,Conf_Adjust,2,FALSE()),"n/a"),"n/a")))</f>
        <v>0</v>
      </c>
      <c r="L113" s="13">
        <f>IF(OR($J113="",$J113="Config error"),"",IF(OR($F113=Scales!$B$24,AND(ISNUMBER($K113),$K113=0)),4,IF(ISNUMBER($K113),MAX(1,MATCH($J113,Scales!$B$6:$B$10,0)-1+$K113),1)))</f>
        <v>4</v>
      </c>
      <c r="M113" s="5"/>
      <c r="N113" s="5"/>
      <c r="O113" s="8">
        <f>IF(OR($J113="",$J113="Config error",$E113="",$F113="",$G113="",$H113="",$R113=""),"",IF($M113="",MATCH($J113,Scales!$B$6:$B$10,0),IFERROR(MATCH($M113,Scales!$B$6:$B$10,0),MATCH($J113,Scales!$B$6:$B$10,0)))-1)</f>
        <v>4</v>
      </c>
      <c r="P113" s="12" t="str">
        <f>IF($J113="",IF(AND($B113&lt;&gt;"",$B113&lt;&gt;"Duplicate ID"),"Incomplete assessment",""),IF($J113="Config error","Config error",IF($O113="","Incomplete assessment",IF($M113="","As recommended",IF(ISERROR(MATCH($M113,Scales!$B$6:$B$10,0)),"Invalid choice",IF(MATCH($M113,Scales!$B$6:$B$10,0)&gt;MATCH($J113,Scales!$B$6:$B$10,0),"Above policy: needs sign-off",IF(MATCH($M113,Scales!$B$6:$B$10,0)&lt;MATCH($J113,Scales!$B$6:$B$10,0),"More cautious than policy","As recommended")))))))</f>
        <v>As recommended</v>
      </c>
      <c r="Q113" s="13">
        <f>IF(OR($O113="",Policy!$B$24&lt;&gt;"OK"),"",IFERROR(MIN($O113,INDEX(Policy!$C$5:$E$16,MATCH($F113&amp;"|"&amp;Scales!$B$33,Policy!$G$5:$G$16,0),MATCH($I113,Policy!$C$4:$E$4,0))),""))</f>
        <v>3</v>
      </c>
      <c r="R113" s="5">
        <v>1</v>
      </c>
      <c r="S113" s="13" t="str">
        <f>IF($B113="","",IF(COUNTIF('Readiness gate'!$A$7:$A$36,$A113)&lt;&gt;1,"Incomplete",IFERROR(IF(VLOOKUP($A113,GateTab,IF($F113=Scales!$B$24,11,9),FALSE())="","Incomplete",VLOOKUP($A113,GateTab,IF($F113=Scales!$B$24,11,9),FALSE())),"Incomplete")))</f>
        <v>Passed</v>
      </c>
      <c r="T113" s="8">
        <f>IF($O113="","",MIN(IF(AND($O113&gt;MATCH($J113,Scales!$B$6:$B$10,0)-1,$N113&lt;&gt;"Yes"),MATCH($J113,Scales!$B$6:$B$10,0)-1,$O113),$L113,IF($F113=Scales!$B$24,IF($S113="Passed",4,IF(NOT(ISNUMBER($R113)),0,IF(OR($R113&lt;0,$R113&gt;4,$R113&lt;&gt;INT($R113)),0,$R113))),IF(NOT(ISNUMBER($R113)),0,IF(OR($R113&lt;0,$R113&gt;4,$R113&lt;&gt;INT($R113)),0,$R113))+IF($S113="Passed",1,0)),IF(AND($F113&lt;&gt;Scales!$B$24,OR($F113=Scales!$B$27,$G113=Scales!$B$33)),3,4)))</f>
        <v>2</v>
      </c>
      <c r="U113" s="13" t="str">
        <f>IF($O113="",IF(AND($B113&lt;&gt;"",$B113&lt;&gt;"Duplicate ID"),IF($J113="Config error","Config error","Incomplete assessment"),""),IF($T113&gt;=$O113,IF(LEFT($P113,4)="More","Own choice","None"),MID(IF(AND($O113&gt;MATCH($J113,Scales!$B$6:$B$10,0)-1,$N113&lt;&gt;"Yes",$T113=MATCH($J113,Scales!$B$6:$B$10,0)-1)," + Exception not approved","")&amp;IF(AND($F113&lt;&gt;Scales!$B$24,OR($F113=Scales!$B$27,$G113=Scales!$B$33),$T113=3)," + Human-signature guardrail","")&amp;IF($T113=$L113," + Model confidence","")&amp;IF($T113=IF($F113=Scales!$B$24,IF($S113="Passed",4,IF(NOT(ISNUMBER($R113)),0,IF(OR($R113&lt;0,$R113&gt;4,$R113&lt;&gt;INT($R113)),0,$R113))),IF(NOT(ISNUMBER($R113)),0,IF(OR($R113&lt;0,$R113&gt;4,$R113&lt;&gt;INT($R113)),0,$R113))+IF($S113="Passed",1,0))," + "&amp;IF($S113&lt;&gt;"Passed","Readiness gate","Readiness gate (one level per gate)"),""),4,200)))</f>
        <v>Readiness gate (one level per gate)</v>
      </c>
      <c r="V113" s="23"/>
    </row>
    <row r="114" spans="1:22" x14ac:dyDescent="0.25">
      <c r="A114" s="8" t="s">
        <v>248</v>
      </c>
      <c r="B114" s="11" t="str">
        <f>IF($A114="","",IF(COUNTIF('Use cases'!$A$5:$A$34,$A114)&gt;1,"Duplicate ID",IFERROR(IF(VLOOKUP($A114,'Use cases'!$A$5:$B$34,2,FALSE())=0,"",VLOOKUP($A114,'Use cases'!$A$5:$B$34,2,FALSE())),"")))</f>
        <v>Shadow AI data leakage</v>
      </c>
      <c r="C114" s="12" t="str">
        <f>IF(OR($B114="",$B114="Duplicate ID"),"",IFERROR(VLOOKUP($A114,'Use cases'!$A$5:$C$34,3,FALSE()),""))</f>
        <v>Data</v>
      </c>
      <c r="D114" s="13" t="s">
        <v>112</v>
      </c>
      <c r="E114" s="23" t="s">
        <v>249</v>
      </c>
      <c r="F114" s="23" t="s">
        <v>114</v>
      </c>
      <c r="G114" s="24" t="s">
        <v>115</v>
      </c>
      <c r="H114" s="24" t="s">
        <v>122</v>
      </c>
      <c r="I114" s="13" t="str">
        <f>IF(OR($B114="",$B114="Duplicate ID"),"",IFERROR(VLOOKUP($A114,'Use cases'!$A$5:$E$34,5,FALSE()),""))</f>
        <v>Progressive</v>
      </c>
      <c r="J114" s="11" t="str">
        <f>IF(OR($B114="",$B114="Duplicate ID"),"",IF(OR($F114="",$G114=""),"",IF(Policy!$B$24&lt;&gt;"OK","Config error",IFERROR(INDEX(Scales!$B$6:$B$10,1+INDEX(Policy!$C$5:$E$16,MATCH($F114&amp;"|"&amp;$G114,Policy!$G$5:$G$16,0),MATCH($I114,Policy!$C$4:$E$4,0))),"Config error"))))</f>
        <v>L4 Autonomous</v>
      </c>
      <c r="K114" s="13" t="str">
        <f>IF($H114="","",IF($F114=Scales!$B$24,"exempt",IFERROR(IF(VLOOKUP($H114,Conf_Check,3,FALSE())="valid",VLOOKUP($H114,Conf_Adjust,2,FALSE()),"n/a"),"n/a")))</f>
        <v>exempt</v>
      </c>
      <c r="L114" s="13">
        <f>IF(OR($J114="",$J114="Config error"),"",IF(OR($F114=Scales!$B$24,AND(ISNUMBER($K114),$K114=0)),4,IF(ISNUMBER($K114),MAX(1,MATCH($J114,Scales!$B$6:$B$10,0)-1+$K114),1)))</f>
        <v>4</v>
      </c>
      <c r="M114" s="5"/>
      <c r="N114" s="5"/>
      <c r="O114" s="8">
        <f>IF(OR($J114="",$J114="Config error",$E114="",$F114="",$G114="",$H114="",$R114=""),"",IF($M114="",MATCH($J114,Scales!$B$6:$B$10,0),IFERROR(MATCH($M114,Scales!$B$6:$B$10,0),MATCH($J114,Scales!$B$6:$B$10,0)))-1)</f>
        <v>4</v>
      </c>
      <c r="P114" s="12" t="str">
        <f>IF($J114="",IF(AND($B114&lt;&gt;"",$B114&lt;&gt;"Duplicate ID"),"Incomplete assessment",""),IF($J114="Config error","Config error",IF($O114="","Incomplete assessment",IF($M114="","As recommended",IF(ISERROR(MATCH($M114,Scales!$B$6:$B$10,0)),"Invalid choice",IF(MATCH($M114,Scales!$B$6:$B$10,0)&gt;MATCH($J114,Scales!$B$6:$B$10,0),"Above policy: needs sign-off",IF(MATCH($M114,Scales!$B$6:$B$10,0)&lt;MATCH($J114,Scales!$B$6:$B$10,0),"More cautious than policy","As recommended")))))))</f>
        <v>As recommended</v>
      </c>
      <c r="Q114" s="13">
        <f>IF(OR($O114="",Policy!$B$24&lt;&gt;"OK"),"",IFERROR(MIN($O114,INDEX(Policy!$C$5:$E$16,MATCH($F114&amp;"|"&amp;Scales!$B$33,Policy!$G$5:$G$16,0),MATCH($I114,Policy!$C$4:$E$4,0))),""))</f>
        <v>4</v>
      </c>
      <c r="R114" s="5">
        <v>1</v>
      </c>
      <c r="S114" s="13" t="str">
        <f>IF($B114="","",IF(COUNTIF('Readiness gate'!$A$7:$A$36,$A114)&lt;&gt;1,"Incomplete",IFERROR(IF(VLOOKUP($A114,GateTab,IF($F114=Scales!$B$24,11,9),FALSE())="","Incomplete",VLOOKUP($A114,GateTab,IF($F114=Scales!$B$24,11,9),FALSE())),"Incomplete")))</f>
        <v>Not passed</v>
      </c>
      <c r="T114" s="8">
        <f>IF($O114="","",MIN(IF(AND($O114&gt;MATCH($J114,Scales!$B$6:$B$10,0)-1,$N114&lt;&gt;"Yes"),MATCH($J114,Scales!$B$6:$B$10,0)-1,$O114),$L114,IF($F114=Scales!$B$24,IF($S114="Passed",4,IF(NOT(ISNUMBER($R114)),0,IF(OR($R114&lt;0,$R114&gt;4,$R114&lt;&gt;INT($R114)),0,$R114))),IF(NOT(ISNUMBER($R114)),0,IF(OR($R114&lt;0,$R114&gt;4,$R114&lt;&gt;INT($R114)),0,$R114))+IF($S114="Passed",1,0)),IF(AND($F114&lt;&gt;Scales!$B$24,OR($F114=Scales!$B$27,$G114=Scales!$B$33)),3,4)))</f>
        <v>1</v>
      </c>
      <c r="U114" s="13" t="str">
        <f>IF($O114="",IF(AND($B114&lt;&gt;"",$B114&lt;&gt;"Duplicate ID"),IF($J114="Config error","Config error","Incomplete assessment"),""),IF($T114&gt;=$O114,IF(LEFT($P114,4)="More","Own choice","None"),MID(IF(AND($O114&gt;MATCH($J114,Scales!$B$6:$B$10,0)-1,$N114&lt;&gt;"Yes",$T114=MATCH($J114,Scales!$B$6:$B$10,0)-1)," + Exception not approved","")&amp;IF(AND($F114&lt;&gt;Scales!$B$24,OR($F114=Scales!$B$27,$G114=Scales!$B$33),$T114=3)," + Human-signature guardrail","")&amp;IF($T114=$L114," + Model confidence","")&amp;IF($T114=IF($F114=Scales!$B$24,IF($S114="Passed",4,IF(NOT(ISNUMBER($R114)),0,IF(OR($R114&lt;0,$R114&gt;4,$R114&lt;&gt;INT($R114)),0,$R114))),IF(NOT(ISNUMBER($R114)),0,IF(OR($R114&lt;0,$R114&gt;4,$R114&lt;&gt;INT($R114)),0,$R114))+IF($S114="Passed",1,0))," + "&amp;IF($S114&lt;&gt;"Passed","Readiness gate","Readiness gate (one level per gate)"),""),4,200)))</f>
        <v>Readiness gate</v>
      </c>
      <c r="V114" s="23"/>
    </row>
    <row r="115" spans="1:22" x14ac:dyDescent="0.25">
      <c r="A115" s="8" t="s">
        <v>248</v>
      </c>
      <c r="B115" s="11" t="str">
        <f>IF($A115="","",IF(COUNTIF('Use cases'!$A$5:$A$34,$A115)&gt;1,"Duplicate ID",IFERROR(IF(VLOOKUP($A115,'Use cases'!$A$5:$B$34,2,FALSE())=0,"",VLOOKUP($A115,'Use cases'!$A$5:$B$34,2,FALSE())),"")))</f>
        <v>Shadow AI data leakage</v>
      </c>
      <c r="C115" s="12" t="str">
        <f>IF(OR($B115="",$B115="Duplicate ID"),"",IFERROR(VLOOKUP($A115,'Use cases'!$A$5:$C$34,3,FALSE()),""))</f>
        <v>Data</v>
      </c>
      <c r="D115" s="13" t="s">
        <v>117</v>
      </c>
      <c r="E115" s="23" t="s">
        <v>250</v>
      </c>
      <c r="F115" s="23" t="s">
        <v>119</v>
      </c>
      <c r="G115" s="24" t="s">
        <v>115</v>
      </c>
      <c r="H115" s="24" t="s">
        <v>115</v>
      </c>
      <c r="I115" s="13" t="str">
        <f>IF(OR($B115="",$B115="Duplicate ID"),"",IFERROR(VLOOKUP($A115,'Use cases'!$A$5:$E$34,5,FALSE()),""))</f>
        <v>Progressive</v>
      </c>
      <c r="J115" s="11" t="str">
        <f>IF(OR($B115="",$B115="Duplicate ID"),"",IF(OR($F115="",$G115=""),"",IF(Policy!$B$24&lt;&gt;"OK","Config error",IFERROR(INDEX(Scales!$B$6:$B$10,1+INDEX(Policy!$C$5:$E$16,MATCH($F115&amp;"|"&amp;$G115,Policy!$G$5:$G$16,0),MATCH($I115,Policy!$C$4:$E$4,0))),"Config error"))))</f>
        <v>L4 Autonomous</v>
      </c>
      <c r="K115" s="13">
        <f>IF($H115="","",IF($F115=Scales!$B$24,"exempt",IFERROR(IF(VLOOKUP($H115,Conf_Check,3,FALSE())="valid",VLOOKUP($H115,Conf_Adjust,2,FALSE()),"n/a"),"n/a")))</f>
        <v>-2</v>
      </c>
      <c r="L115" s="13">
        <f>IF(OR($J115="",$J115="Config error"),"",IF(OR($F115=Scales!$B$24,AND(ISNUMBER($K115),$K115=0)),4,IF(ISNUMBER($K115),MAX(1,MATCH($J115,Scales!$B$6:$B$10,0)-1+$K115),1)))</f>
        <v>2</v>
      </c>
      <c r="M115" s="5"/>
      <c r="N115" s="5"/>
      <c r="O115" s="8">
        <f>IF(OR($J115="",$J115="Config error",$E115="",$F115="",$G115="",$H115="",$R115=""),"",IF($M115="",MATCH($J115,Scales!$B$6:$B$10,0),IFERROR(MATCH($M115,Scales!$B$6:$B$10,0),MATCH($J115,Scales!$B$6:$B$10,0)))-1)</f>
        <v>4</v>
      </c>
      <c r="P115" s="12" t="str">
        <f>IF($J115="",IF(AND($B115&lt;&gt;"",$B115&lt;&gt;"Duplicate ID"),"Incomplete assessment",""),IF($J115="Config error","Config error",IF($O115="","Incomplete assessment",IF($M115="","As recommended",IF(ISERROR(MATCH($M115,Scales!$B$6:$B$10,0)),"Invalid choice",IF(MATCH($M115,Scales!$B$6:$B$10,0)&gt;MATCH($J115,Scales!$B$6:$B$10,0),"Above policy: needs sign-off",IF(MATCH($M115,Scales!$B$6:$B$10,0)&lt;MATCH($J115,Scales!$B$6:$B$10,0),"More cautious than policy","As recommended")))))))</f>
        <v>As recommended</v>
      </c>
      <c r="Q115" s="13">
        <f>IF(OR($O115="",Policy!$B$24&lt;&gt;"OK"),"",IFERROR(MIN($O115,INDEX(Policy!$C$5:$E$16,MATCH($F115&amp;"|"&amp;Scales!$B$33,Policy!$G$5:$G$16,0),MATCH($I115,Policy!$C$4:$E$4,0))),""))</f>
        <v>3</v>
      </c>
      <c r="R115" s="5">
        <v>1</v>
      </c>
      <c r="S115" s="13" t="str">
        <f>IF($B115="","",IF(COUNTIF('Readiness gate'!$A$7:$A$36,$A115)&lt;&gt;1,"Incomplete",IFERROR(IF(VLOOKUP($A115,GateTab,IF($F115=Scales!$B$24,11,9),FALSE())="","Incomplete",VLOOKUP($A115,GateTab,IF($F115=Scales!$B$24,11,9),FALSE())),"Incomplete")))</f>
        <v>Not passed</v>
      </c>
      <c r="T115" s="8">
        <f>IF($O115="","",MIN(IF(AND($O115&gt;MATCH($J115,Scales!$B$6:$B$10,0)-1,$N115&lt;&gt;"Yes"),MATCH($J115,Scales!$B$6:$B$10,0)-1,$O115),$L115,IF($F115=Scales!$B$24,IF($S115="Passed",4,IF(NOT(ISNUMBER($R115)),0,IF(OR($R115&lt;0,$R115&gt;4,$R115&lt;&gt;INT($R115)),0,$R115))),IF(NOT(ISNUMBER($R115)),0,IF(OR($R115&lt;0,$R115&gt;4,$R115&lt;&gt;INT($R115)),0,$R115))+IF($S115="Passed",1,0)),IF(AND($F115&lt;&gt;Scales!$B$24,OR($F115=Scales!$B$27,$G115=Scales!$B$33)),3,4)))</f>
        <v>1</v>
      </c>
      <c r="U115" s="13" t="str">
        <f>IF($O115="",IF(AND($B115&lt;&gt;"",$B115&lt;&gt;"Duplicate ID"),IF($J115="Config error","Config error","Incomplete assessment"),""),IF($T115&gt;=$O115,IF(LEFT($P115,4)="More","Own choice","None"),MID(IF(AND($O115&gt;MATCH($J115,Scales!$B$6:$B$10,0)-1,$N115&lt;&gt;"Yes",$T115=MATCH($J115,Scales!$B$6:$B$10,0)-1)," + Exception not approved","")&amp;IF(AND($F115&lt;&gt;Scales!$B$24,OR($F115=Scales!$B$27,$G115=Scales!$B$33),$T115=3)," + Human-signature guardrail","")&amp;IF($T115=$L115," + Model confidence","")&amp;IF($T115=IF($F115=Scales!$B$24,IF($S115="Passed",4,IF(NOT(ISNUMBER($R115)),0,IF(OR($R115&lt;0,$R115&gt;4,$R115&lt;&gt;INT($R115)),0,$R115))),IF(NOT(ISNUMBER($R115)),0,IF(OR($R115&lt;0,$R115&gt;4,$R115&lt;&gt;INT($R115)),0,$R115))+IF($S115="Passed",1,0))," + "&amp;IF($S115&lt;&gt;"Passed","Readiness gate","Readiness gate (one level per gate)"),""),4,200)))</f>
        <v>Readiness gate</v>
      </c>
      <c r="V115" s="23"/>
    </row>
    <row r="116" spans="1:22" x14ac:dyDescent="0.25">
      <c r="A116" s="8" t="s">
        <v>248</v>
      </c>
      <c r="B116" s="11" t="str">
        <f>IF($A116="","",IF(COUNTIF('Use cases'!$A$5:$A$34,$A116)&gt;1,"Duplicate ID",IFERROR(IF(VLOOKUP($A116,'Use cases'!$A$5:$B$34,2,FALSE())=0,"",VLOOKUP($A116,'Use cases'!$A$5:$B$34,2,FALSE())),"")))</f>
        <v>Shadow AI data leakage</v>
      </c>
      <c r="C116" s="12" t="str">
        <f>IF(OR($B116="",$B116="Duplicate ID"),"",IFERROR(VLOOKUP($A116,'Use cases'!$A$5:$C$34,3,FALSE()),""))</f>
        <v>Data</v>
      </c>
      <c r="D116" s="13" t="s">
        <v>120</v>
      </c>
      <c r="E116" s="23" t="s">
        <v>251</v>
      </c>
      <c r="F116" s="23" t="s">
        <v>119</v>
      </c>
      <c r="G116" s="24" t="s">
        <v>115</v>
      </c>
      <c r="H116" s="24" t="s">
        <v>122</v>
      </c>
      <c r="I116" s="13" t="str">
        <f>IF(OR($B116="",$B116="Duplicate ID"),"",IFERROR(VLOOKUP($A116,'Use cases'!$A$5:$E$34,5,FALSE()),""))</f>
        <v>Progressive</v>
      </c>
      <c r="J116" s="11" t="str">
        <f>IF(OR($B116="",$B116="Duplicate ID"),"",IF(OR($F116="",$G116=""),"",IF(Policy!$B$24&lt;&gt;"OK","Config error",IFERROR(INDEX(Scales!$B$6:$B$10,1+INDEX(Policy!$C$5:$E$16,MATCH($F116&amp;"|"&amp;$G116,Policy!$G$5:$G$16,0),MATCH($I116,Policy!$C$4:$E$4,0))),"Config error"))))</f>
        <v>L4 Autonomous</v>
      </c>
      <c r="K116" s="13">
        <f>IF($H116="","",IF($F116=Scales!$B$24,"exempt",IFERROR(IF(VLOOKUP($H116,Conf_Check,3,FALSE())="valid",VLOOKUP($H116,Conf_Adjust,2,FALSE()),"n/a"),"n/a")))</f>
        <v>-1</v>
      </c>
      <c r="L116" s="13">
        <f>IF(OR($J116="",$J116="Config error"),"",IF(OR($F116=Scales!$B$24,AND(ISNUMBER($K116),$K116=0)),4,IF(ISNUMBER($K116),MAX(1,MATCH($J116,Scales!$B$6:$B$10,0)-1+$K116),1)))</f>
        <v>3</v>
      </c>
      <c r="M116" s="5"/>
      <c r="N116" s="5"/>
      <c r="O116" s="8">
        <f>IF(OR($J116="",$J116="Config error",$E116="",$F116="",$G116="",$H116="",$R116=""),"",IF($M116="",MATCH($J116,Scales!$B$6:$B$10,0),IFERROR(MATCH($M116,Scales!$B$6:$B$10,0),MATCH($J116,Scales!$B$6:$B$10,0)))-1)</f>
        <v>4</v>
      </c>
      <c r="P116" s="12" t="str">
        <f>IF($J116="",IF(AND($B116&lt;&gt;"",$B116&lt;&gt;"Duplicate ID"),"Incomplete assessment",""),IF($J116="Config error","Config error",IF($O116="","Incomplete assessment",IF($M116="","As recommended",IF(ISERROR(MATCH($M116,Scales!$B$6:$B$10,0)),"Invalid choice",IF(MATCH($M116,Scales!$B$6:$B$10,0)&gt;MATCH($J116,Scales!$B$6:$B$10,0),"Above policy: needs sign-off",IF(MATCH($M116,Scales!$B$6:$B$10,0)&lt;MATCH($J116,Scales!$B$6:$B$10,0),"More cautious than policy","As recommended")))))))</f>
        <v>As recommended</v>
      </c>
      <c r="Q116" s="13">
        <f>IF(OR($O116="",Policy!$B$24&lt;&gt;"OK"),"",IFERROR(MIN($O116,INDEX(Policy!$C$5:$E$16,MATCH($F116&amp;"|"&amp;Scales!$B$33,Policy!$G$5:$G$16,0),MATCH($I116,Policy!$C$4:$E$4,0))),""))</f>
        <v>3</v>
      </c>
      <c r="R116" s="5">
        <v>2</v>
      </c>
      <c r="S116" s="13" t="str">
        <f>IF($B116="","",IF(COUNTIF('Readiness gate'!$A$7:$A$36,$A116)&lt;&gt;1,"Incomplete",IFERROR(IF(VLOOKUP($A116,GateTab,IF($F116=Scales!$B$24,11,9),FALSE())="","Incomplete",VLOOKUP($A116,GateTab,IF($F116=Scales!$B$24,11,9),FALSE())),"Incomplete")))</f>
        <v>Not passed</v>
      </c>
      <c r="T116" s="8">
        <f>IF($O116="","",MIN(IF(AND($O116&gt;MATCH($J116,Scales!$B$6:$B$10,0)-1,$N116&lt;&gt;"Yes"),MATCH($J116,Scales!$B$6:$B$10,0)-1,$O116),$L116,IF($F116=Scales!$B$24,IF($S116="Passed",4,IF(NOT(ISNUMBER($R116)),0,IF(OR($R116&lt;0,$R116&gt;4,$R116&lt;&gt;INT($R116)),0,$R116))),IF(NOT(ISNUMBER($R116)),0,IF(OR($R116&lt;0,$R116&gt;4,$R116&lt;&gt;INT($R116)),0,$R116))+IF($S116="Passed",1,0)),IF(AND($F116&lt;&gt;Scales!$B$24,OR($F116=Scales!$B$27,$G116=Scales!$B$33)),3,4)))</f>
        <v>2</v>
      </c>
      <c r="U116" s="13" t="str">
        <f>IF($O116="",IF(AND($B116&lt;&gt;"",$B116&lt;&gt;"Duplicate ID"),IF($J116="Config error","Config error","Incomplete assessment"),""),IF($T116&gt;=$O116,IF(LEFT($P116,4)="More","Own choice","None"),MID(IF(AND($O116&gt;MATCH($J116,Scales!$B$6:$B$10,0)-1,$N116&lt;&gt;"Yes",$T116=MATCH($J116,Scales!$B$6:$B$10,0)-1)," + Exception not approved","")&amp;IF(AND($F116&lt;&gt;Scales!$B$24,OR($F116=Scales!$B$27,$G116=Scales!$B$33),$T116=3)," + Human-signature guardrail","")&amp;IF($T116=$L116," + Model confidence","")&amp;IF($T116=IF($F116=Scales!$B$24,IF($S116="Passed",4,IF(NOT(ISNUMBER($R116)),0,IF(OR($R116&lt;0,$R116&gt;4,$R116&lt;&gt;INT($R116)),0,$R116))),IF(NOT(ISNUMBER($R116)),0,IF(OR($R116&lt;0,$R116&gt;4,$R116&lt;&gt;INT($R116)),0,$R116))+IF($S116="Passed",1,0))," + "&amp;IF($S116&lt;&gt;"Passed","Readiness gate","Readiness gate (one level per gate)"),""),4,200)))</f>
        <v>Readiness gate</v>
      </c>
      <c r="V116" s="23"/>
    </row>
    <row r="117" spans="1:22" x14ac:dyDescent="0.25">
      <c r="A117" s="8" t="s">
        <v>248</v>
      </c>
      <c r="B117" s="11" t="str">
        <f>IF($A117="","",IF(COUNTIF('Use cases'!$A$5:$A$34,$A117)&gt;1,"Duplicate ID",IFERROR(IF(VLOOKUP($A117,'Use cases'!$A$5:$B$34,2,FALSE())=0,"",VLOOKUP($A117,'Use cases'!$A$5:$B$34,2,FALSE())),"")))</f>
        <v>Shadow AI data leakage</v>
      </c>
      <c r="C117" s="12" t="str">
        <f>IF(OR($B117="",$B117="Duplicate ID"),"",IFERROR(VLOOKUP($A117,'Use cases'!$A$5:$C$34,3,FALSE()),""))</f>
        <v>Data</v>
      </c>
      <c r="D117" s="13" t="s">
        <v>123</v>
      </c>
      <c r="E117" s="23" t="s">
        <v>252</v>
      </c>
      <c r="F117" s="23" t="s">
        <v>134</v>
      </c>
      <c r="G117" s="24" t="s">
        <v>122</v>
      </c>
      <c r="H117" s="24" t="s">
        <v>115</v>
      </c>
      <c r="I117" s="13" t="str">
        <f>IF(OR($B117="",$B117="Duplicate ID"),"",IFERROR(VLOOKUP($A117,'Use cases'!$A$5:$E$34,5,FALSE()),""))</f>
        <v>Progressive</v>
      </c>
      <c r="J117" s="11" t="str">
        <f>IF(OR($B117="",$B117="Duplicate ID"),"",IF(OR($F117="",$G117=""),"",IF(Policy!$B$24&lt;&gt;"OK","Config error",IFERROR(INDEX(Scales!$B$6:$B$10,1+INDEX(Policy!$C$5:$E$16,MATCH($F117&amp;"|"&amp;$G117,Policy!$G$5:$G$16,0),MATCH($I117,Policy!$C$4:$E$4,0))),"Config error"))))</f>
        <v>L3 Human-approved</v>
      </c>
      <c r="K117" s="13">
        <f>IF($H117="","",IF($F117=Scales!$B$24,"exempt",IFERROR(IF(VLOOKUP($H117,Conf_Check,3,FALSE())="valid",VLOOKUP($H117,Conf_Adjust,2,FALSE()),"n/a"),"n/a")))</f>
        <v>-2</v>
      </c>
      <c r="L117" s="13">
        <f>IF(OR($J117="",$J117="Config error"),"",IF(OR($F117=Scales!$B$24,AND(ISNUMBER($K117),$K117=0)),4,IF(ISNUMBER($K117),MAX(1,MATCH($J117,Scales!$B$6:$B$10,0)-1+$K117),1)))</f>
        <v>1</v>
      </c>
      <c r="M117" s="5"/>
      <c r="N117" s="5"/>
      <c r="O117" s="8">
        <f>IF(OR($J117="",$J117="Config error",$E117="",$F117="",$G117="",$H117="",$R117=""),"",IF($M117="",MATCH($J117,Scales!$B$6:$B$10,0),IFERROR(MATCH($M117,Scales!$B$6:$B$10,0),MATCH($J117,Scales!$B$6:$B$10,0)))-1)</f>
        <v>3</v>
      </c>
      <c r="P117" s="12" t="str">
        <f>IF($J117="",IF(AND($B117&lt;&gt;"",$B117&lt;&gt;"Duplicate ID"),"Incomplete assessment",""),IF($J117="Config error","Config error",IF($O117="","Incomplete assessment",IF($M117="","As recommended",IF(ISERROR(MATCH($M117,Scales!$B$6:$B$10,0)),"Invalid choice",IF(MATCH($M117,Scales!$B$6:$B$10,0)&gt;MATCH($J117,Scales!$B$6:$B$10,0),"Above policy: needs sign-off",IF(MATCH($M117,Scales!$B$6:$B$10,0)&lt;MATCH($J117,Scales!$B$6:$B$10,0),"More cautious than policy","As recommended")))))))</f>
        <v>As recommended</v>
      </c>
      <c r="Q117" s="13">
        <f>IF(OR($O117="",Policy!$B$24&lt;&gt;"OK"),"",IFERROR(MIN($O117,INDEX(Policy!$C$5:$E$16,MATCH($F117&amp;"|"&amp;Scales!$B$33,Policy!$G$5:$G$16,0),MATCH($I117,Policy!$C$4:$E$4,0))),""))</f>
        <v>3</v>
      </c>
      <c r="R117" s="5">
        <v>1</v>
      </c>
      <c r="S117" s="13" t="str">
        <f>IF($B117="","",IF(COUNTIF('Readiness gate'!$A$7:$A$36,$A117)&lt;&gt;1,"Incomplete",IFERROR(IF(VLOOKUP($A117,GateTab,IF($F117=Scales!$B$24,11,9),FALSE())="","Incomplete",VLOOKUP($A117,GateTab,IF($F117=Scales!$B$24,11,9),FALSE())),"Incomplete")))</f>
        <v>Not passed</v>
      </c>
      <c r="T117" s="8">
        <f>IF($O117="","",MIN(IF(AND($O117&gt;MATCH($J117,Scales!$B$6:$B$10,0)-1,$N117&lt;&gt;"Yes"),MATCH($J117,Scales!$B$6:$B$10,0)-1,$O117),$L117,IF($F117=Scales!$B$24,IF($S117="Passed",4,IF(NOT(ISNUMBER($R117)),0,IF(OR($R117&lt;0,$R117&gt;4,$R117&lt;&gt;INT($R117)),0,$R117))),IF(NOT(ISNUMBER($R117)),0,IF(OR($R117&lt;0,$R117&gt;4,$R117&lt;&gt;INT($R117)),0,$R117))+IF($S117="Passed",1,0)),IF(AND($F117&lt;&gt;Scales!$B$24,OR($F117=Scales!$B$27,$G117=Scales!$B$33)),3,4)))</f>
        <v>1</v>
      </c>
      <c r="U117" s="13" t="str">
        <f>IF($O117="",IF(AND($B117&lt;&gt;"",$B117&lt;&gt;"Duplicate ID"),IF($J117="Config error","Config error","Incomplete assessment"),""),IF($T117&gt;=$O117,IF(LEFT($P117,4)="More","Own choice","None"),MID(IF(AND($O117&gt;MATCH($J117,Scales!$B$6:$B$10,0)-1,$N117&lt;&gt;"Yes",$T117=MATCH($J117,Scales!$B$6:$B$10,0)-1)," + Exception not approved","")&amp;IF(AND($F117&lt;&gt;Scales!$B$24,OR($F117=Scales!$B$27,$G117=Scales!$B$33),$T117=3)," + Human-signature guardrail","")&amp;IF($T117=$L117," + Model confidence","")&amp;IF($T117=IF($F117=Scales!$B$24,IF($S117="Passed",4,IF(NOT(ISNUMBER($R117)),0,IF(OR($R117&lt;0,$R117&gt;4,$R117&lt;&gt;INT($R117)),0,$R117))),IF(NOT(ISNUMBER($R117)),0,IF(OR($R117&lt;0,$R117&gt;4,$R117&lt;&gt;INT($R117)),0,$R117))+IF($S117="Passed",1,0))," + "&amp;IF($S117&lt;&gt;"Passed","Readiness gate","Readiness gate (one level per gate)"),""),4,200)))</f>
        <v>Model confidence + Readiness gate</v>
      </c>
      <c r="V117" s="23"/>
    </row>
    <row r="118" spans="1:22" x14ac:dyDescent="0.25">
      <c r="A118" s="8" t="s">
        <v>248</v>
      </c>
      <c r="B118" s="11" t="str">
        <f>IF($A118="","",IF(COUNTIF('Use cases'!$A$5:$A$34,$A118)&gt;1,"Duplicate ID",IFERROR(IF(VLOOKUP($A118,'Use cases'!$A$5:$B$34,2,FALSE())=0,"",VLOOKUP($A118,'Use cases'!$A$5:$B$34,2,FALSE())),"")))</f>
        <v>Shadow AI data leakage</v>
      </c>
      <c r="C118" s="12" t="str">
        <f>IF(OR($B118="",$B118="Duplicate ID"),"",IFERROR(VLOOKUP($A118,'Use cases'!$A$5:$C$34,3,FALSE()),""))</f>
        <v>Data</v>
      </c>
      <c r="D118" s="13" t="s">
        <v>125</v>
      </c>
      <c r="E118" s="23" t="s">
        <v>253</v>
      </c>
      <c r="F118" s="23" t="s">
        <v>119</v>
      </c>
      <c r="G118" s="24" t="s">
        <v>115</v>
      </c>
      <c r="H118" s="24" t="s">
        <v>122</v>
      </c>
      <c r="I118" s="13" t="str">
        <f>IF(OR($B118="",$B118="Duplicate ID"),"",IFERROR(VLOOKUP($A118,'Use cases'!$A$5:$E$34,5,FALSE()),""))</f>
        <v>Progressive</v>
      </c>
      <c r="J118" s="11" t="str">
        <f>IF(OR($B118="",$B118="Duplicate ID"),"",IF(OR($F118="",$G118=""),"",IF(Policy!$B$24&lt;&gt;"OK","Config error",IFERROR(INDEX(Scales!$B$6:$B$10,1+INDEX(Policy!$C$5:$E$16,MATCH($F118&amp;"|"&amp;$G118,Policy!$G$5:$G$16,0),MATCH($I118,Policy!$C$4:$E$4,0))),"Config error"))))</f>
        <v>L4 Autonomous</v>
      </c>
      <c r="K118" s="13">
        <f>IF($H118="","",IF($F118=Scales!$B$24,"exempt",IFERROR(IF(VLOOKUP($H118,Conf_Check,3,FALSE())="valid",VLOOKUP($H118,Conf_Adjust,2,FALSE()),"n/a"),"n/a")))</f>
        <v>-1</v>
      </c>
      <c r="L118" s="13">
        <f>IF(OR($J118="",$J118="Config error"),"",IF(OR($F118=Scales!$B$24,AND(ISNUMBER($K118),$K118=0)),4,IF(ISNUMBER($K118),MAX(1,MATCH($J118,Scales!$B$6:$B$10,0)-1+$K118),1)))</f>
        <v>3</v>
      </c>
      <c r="M118" s="5"/>
      <c r="N118" s="5"/>
      <c r="O118" s="8">
        <f>IF(OR($J118="",$J118="Config error",$E118="",$F118="",$G118="",$H118="",$R118=""),"",IF($M118="",MATCH($J118,Scales!$B$6:$B$10,0),IFERROR(MATCH($M118,Scales!$B$6:$B$10,0),MATCH($J118,Scales!$B$6:$B$10,0)))-1)</f>
        <v>4</v>
      </c>
      <c r="P118" s="12" t="str">
        <f>IF($J118="",IF(AND($B118&lt;&gt;"",$B118&lt;&gt;"Duplicate ID"),"Incomplete assessment",""),IF($J118="Config error","Config error",IF($O118="","Incomplete assessment",IF($M118="","As recommended",IF(ISERROR(MATCH($M118,Scales!$B$6:$B$10,0)),"Invalid choice",IF(MATCH($M118,Scales!$B$6:$B$10,0)&gt;MATCH($J118,Scales!$B$6:$B$10,0),"Above policy: needs sign-off",IF(MATCH($M118,Scales!$B$6:$B$10,0)&lt;MATCH($J118,Scales!$B$6:$B$10,0),"More cautious than policy","As recommended")))))))</f>
        <v>As recommended</v>
      </c>
      <c r="Q118" s="13">
        <f>IF(OR($O118="",Policy!$B$24&lt;&gt;"OK"),"",IFERROR(MIN($O118,INDEX(Policy!$C$5:$E$16,MATCH($F118&amp;"|"&amp;Scales!$B$33,Policy!$G$5:$G$16,0),MATCH($I118,Policy!$C$4:$E$4,0))),""))</f>
        <v>3</v>
      </c>
      <c r="R118" s="5">
        <v>1</v>
      </c>
      <c r="S118" s="13" t="str">
        <f>IF($B118="","",IF(COUNTIF('Readiness gate'!$A$7:$A$36,$A118)&lt;&gt;1,"Incomplete",IFERROR(IF(VLOOKUP($A118,GateTab,IF($F118=Scales!$B$24,11,9),FALSE())="","Incomplete",VLOOKUP($A118,GateTab,IF($F118=Scales!$B$24,11,9),FALSE())),"Incomplete")))</f>
        <v>Not passed</v>
      </c>
      <c r="T118" s="8">
        <f>IF($O118="","",MIN(IF(AND($O118&gt;MATCH($J118,Scales!$B$6:$B$10,0)-1,$N118&lt;&gt;"Yes"),MATCH($J118,Scales!$B$6:$B$10,0)-1,$O118),$L118,IF($F118=Scales!$B$24,IF($S118="Passed",4,IF(NOT(ISNUMBER($R118)),0,IF(OR($R118&lt;0,$R118&gt;4,$R118&lt;&gt;INT($R118)),0,$R118))),IF(NOT(ISNUMBER($R118)),0,IF(OR($R118&lt;0,$R118&gt;4,$R118&lt;&gt;INT($R118)),0,$R118))+IF($S118="Passed",1,0)),IF(AND($F118&lt;&gt;Scales!$B$24,OR($F118=Scales!$B$27,$G118=Scales!$B$33)),3,4)))</f>
        <v>1</v>
      </c>
      <c r="U118" s="13" t="str">
        <f>IF($O118="",IF(AND($B118&lt;&gt;"",$B118&lt;&gt;"Duplicate ID"),IF($J118="Config error","Config error","Incomplete assessment"),""),IF($T118&gt;=$O118,IF(LEFT($P118,4)="More","Own choice","None"),MID(IF(AND($O118&gt;MATCH($J118,Scales!$B$6:$B$10,0)-1,$N118&lt;&gt;"Yes",$T118=MATCH($J118,Scales!$B$6:$B$10,0)-1)," + Exception not approved","")&amp;IF(AND($F118&lt;&gt;Scales!$B$24,OR($F118=Scales!$B$27,$G118=Scales!$B$33),$T118=3)," + Human-signature guardrail","")&amp;IF($T118=$L118," + Model confidence","")&amp;IF($T118=IF($F118=Scales!$B$24,IF($S118="Passed",4,IF(NOT(ISNUMBER($R118)),0,IF(OR($R118&lt;0,$R118&gt;4,$R118&lt;&gt;INT($R118)),0,$R118))),IF(NOT(ISNUMBER($R118)),0,IF(OR($R118&lt;0,$R118&gt;4,$R118&lt;&gt;INT($R118)),0,$R118))+IF($S118="Passed",1,0))," + "&amp;IF($S118&lt;&gt;"Passed","Readiness gate","Readiness gate (one level per gate)"),""),4,200)))</f>
        <v>Readiness gate</v>
      </c>
      <c r="V118" s="23"/>
    </row>
    <row r="119" spans="1:22" x14ac:dyDescent="0.25">
      <c r="A119" s="8" t="s">
        <v>248</v>
      </c>
      <c r="B119" s="11" t="str">
        <f>IF($A119="","",IF(COUNTIF('Use cases'!$A$5:$A$34,$A119)&gt;1,"Duplicate ID",IFERROR(IF(VLOOKUP($A119,'Use cases'!$A$5:$B$34,2,FALSE())=0,"",VLOOKUP($A119,'Use cases'!$A$5:$B$34,2,FALSE())),"")))</f>
        <v>Shadow AI data leakage</v>
      </c>
      <c r="C119" s="12" t="str">
        <f>IF(OR($B119="",$B119="Duplicate ID"),"",IFERROR(VLOOKUP($A119,'Use cases'!$A$5:$C$34,3,FALSE()),""))</f>
        <v>Data</v>
      </c>
      <c r="D119" s="13" t="s">
        <v>127</v>
      </c>
      <c r="E119" s="23" t="s">
        <v>254</v>
      </c>
      <c r="F119" s="23" t="s">
        <v>169</v>
      </c>
      <c r="G119" s="24" t="s">
        <v>122</v>
      </c>
      <c r="H119" s="24" t="s">
        <v>122</v>
      </c>
      <c r="I119" s="13" t="str">
        <f>IF(OR($B119="",$B119="Duplicate ID"),"",IFERROR(VLOOKUP($A119,'Use cases'!$A$5:$E$34,5,FALSE()),""))</f>
        <v>Progressive</v>
      </c>
      <c r="J119" s="11" t="str">
        <f>IF(OR($B119="",$B119="Duplicate ID"),"",IF(OR($F119="",$G119=""),"",IF(Policy!$B$24&lt;&gt;"OK","Config error",IFERROR(INDEX(Scales!$B$6:$B$10,1+INDEX(Policy!$C$5:$E$16,MATCH($F119&amp;"|"&amp;$G119,Policy!$G$5:$G$16,0),MATCH($I119,Policy!$C$4:$E$4,0))),"Config error"))))</f>
        <v>L3 Human-approved</v>
      </c>
      <c r="K119" s="13">
        <f>IF($H119="","",IF($F119=Scales!$B$24,"exempt",IFERROR(IF(VLOOKUP($H119,Conf_Check,3,FALSE())="valid",VLOOKUP($H119,Conf_Adjust,2,FALSE()),"n/a"),"n/a")))</f>
        <v>-1</v>
      </c>
      <c r="L119" s="13">
        <f>IF(OR($J119="",$J119="Config error"),"",IF(OR($F119=Scales!$B$24,AND(ISNUMBER($K119),$K119=0)),4,IF(ISNUMBER($K119),MAX(1,MATCH($J119,Scales!$B$6:$B$10,0)-1+$K119),1)))</f>
        <v>2</v>
      </c>
      <c r="M119" s="5"/>
      <c r="N119" s="5"/>
      <c r="O119" s="8">
        <f>IF(OR($J119="",$J119="Config error",$E119="",$F119="",$G119="",$H119="",$R119=""),"",IF($M119="",MATCH($J119,Scales!$B$6:$B$10,0),IFERROR(MATCH($M119,Scales!$B$6:$B$10,0),MATCH($J119,Scales!$B$6:$B$10,0)))-1)</f>
        <v>3</v>
      </c>
      <c r="P119" s="12" t="str">
        <f>IF($J119="",IF(AND($B119&lt;&gt;"",$B119&lt;&gt;"Duplicate ID"),"Incomplete assessment",""),IF($J119="Config error","Config error",IF($O119="","Incomplete assessment",IF($M119="","As recommended",IF(ISERROR(MATCH($M119,Scales!$B$6:$B$10,0)),"Invalid choice",IF(MATCH($M119,Scales!$B$6:$B$10,0)&gt;MATCH($J119,Scales!$B$6:$B$10,0),"Above policy: needs sign-off",IF(MATCH($M119,Scales!$B$6:$B$10,0)&lt;MATCH($J119,Scales!$B$6:$B$10,0),"More cautious than policy","As recommended")))))))</f>
        <v>As recommended</v>
      </c>
      <c r="Q119" s="13">
        <f>IF(OR($O119="",Policy!$B$24&lt;&gt;"OK"),"",IFERROR(MIN($O119,INDEX(Policy!$C$5:$E$16,MATCH($F119&amp;"|"&amp;Scales!$B$33,Policy!$G$5:$G$16,0),MATCH($I119,Policy!$C$4:$E$4,0))),""))</f>
        <v>2</v>
      </c>
      <c r="R119" s="5">
        <v>1</v>
      </c>
      <c r="S119" s="13" t="str">
        <f>IF($B119="","",IF(COUNTIF('Readiness gate'!$A$7:$A$36,$A119)&lt;&gt;1,"Incomplete",IFERROR(IF(VLOOKUP($A119,GateTab,IF($F119=Scales!$B$24,11,9),FALSE())="","Incomplete",VLOOKUP($A119,GateTab,IF($F119=Scales!$B$24,11,9),FALSE())),"Incomplete")))</f>
        <v>Not passed</v>
      </c>
      <c r="T119" s="8">
        <f>IF($O119="","",MIN(IF(AND($O119&gt;MATCH($J119,Scales!$B$6:$B$10,0)-1,$N119&lt;&gt;"Yes"),MATCH($J119,Scales!$B$6:$B$10,0)-1,$O119),$L119,IF($F119=Scales!$B$24,IF($S119="Passed",4,IF(NOT(ISNUMBER($R119)),0,IF(OR($R119&lt;0,$R119&gt;4,$R119&lt;&gt;INT($R119)),0,$R119))),IF(NOT(ISNUMBER($R119)),0,IF(OR($R119&lt;0,$R119&gt;4,$R119&lt;&gt;INT($R119)),0,$R119))+IF($S119="Passed",1,0)),IF(AND($F119&lt;&gt;Scales!$B$24,OR($F119=Scales!$B$27,$G119=Scales!$B$33)),3,4)))</f>
        <v>1</v>
      </c>
      <c r="U119" s="13" t="str">
        <f>IF($O119="",IF(AND($B119&lt;&gt;"",$B119&lt;&gt;"Duplicate ID"),IF($J119="Config error","Config error","Incomplete assessment"),""),IF($T119&gt;=$O119,IF(LEFT($P119,4)="More","Own choice","None"),MID(IF(AND($O119&gt;MATCH($J119,Scales!$B$6:$B$10,0)-1,$N119&lt;&gt;"Yes",$T119=MATCH($J119,Scales!$B$6:$B$10,0)-1)," + Exception not approved","")&amp;IF(AND($F119&lt;&gt;Scales!$B$24,OR($F119=Scales!$B$27,$G119=Scales!$B$33),$T119=3)," + Human-signature guardrail","")&amp;IF($T119=$L119," + Model confidence","")&amp;IF($T119=IF($F119=Scales!$B$24,IF($S119="Passed",4,IF(NOT(ISNUMBER($R119)),0,IF(OR($R119&lt;0,$R119&gt;4,$R119&lt;&gt;INT($R119)),0,$R119))),IF(NOT(ISNUMBER($R119)),0,IF(OR($R119&lt;0,$R119&gt;4,$R119&lt;&gt;INT($R119)),0,$R119))+IF($S119="Passed",1,0))," + "&amp;IF($S119&lt;&gt;"Passed","Readiness gate","Readiness gate (one level per gate)"),""),4,200)))</f>
        <v>Readiness gate</v>
      </c>
      <c r="V119" s="23"/>
    </row>
    <row r="120" spans="1:22" x14ac:dyDescent="0.25">
      <c r="A120" s="8" t="s">
        <v>255</v>
      </c>
      <c r="B120" s="11" t="str">
        <f>IF($A120="","",IF(COUNTIF('Use cases'!$A$5:$A$34,$A120)&gt;1,"Duplicate ID",IFERROR(IF(VLOOKUP($A120,'Use cases'!$A$5:$B$34,2,FALSE())=0,"",VLOOKUP($A120,'Use cases'!$A$5:$B$34,2,FALSE())),"")))</f>
        <v>Supplier compromise signal</v>
      </c>
      <c r="C120" s="12" t="str">
        <f>IF(OR($B120="",$B120="Duplicate ID"),"",IFERROR(VLOOKUP($A120,'Use cases'!$A$5:$C$34,3,FALSE()),""))</f>
        <v>Third party</v>
      </c>
      <c r="D120" s="13" t="s">
        <v>112</v>
      </c>
      <c r="E120" s="23" t="s">
        <v>256</v>
      </c>
      <c r="F120" s="23" t="s">
        <v>114</v>
      </c>
      <c r="G120" s="24" t="s">
        <v>115</v>
      </c>
      <c r="H120" s="24" t="s">
        <v>115</v>
      </c>
      <c r="I120" s="13" t="str">
        <f>IF(OR($B120="",$B120="Duplicate ID"),"",IFERROR(VLOOKUP($A120,'Use cases'!$A$5:$E$34,5,FALSE()),""))</f>
        <v>Conservative</v>
      </c>
      <c r="J120" s="11" t="str">
        <f>IF(OR($B120="",$B120="Duplicate ID"),"",IF(OR($F120="",$G120=""),"",IF(Policy!$B$24&lt;&gt;"OK","Config error",IFERROR(INDEX(Scales!$B$6:$B$10,1+INDEX(Policy!$C$5:$E$16,MATCH($F120&amp;"|"&amp;$G120,Policy!$G$5:$G$16,0),MATCH($I120,Policy!$C$4:$E$4,0))),"Config error"))))</f>
        <v>L4 Autonomous</v>
      </c>
      <c r="K120" s="13" t="str">
        <f>IF($H120="","",IF($F120=Scales!$B$24,"exempt",IFERROR(IF(VLOOKUP($H120,Conf_Check,3,FALSE())="valid",VLOOKUP($H120,Conf_Adjust,2,FALSE()),"n/a"),"n/a")))</f>
        <v>exempt</v>
      </c>
      <c r="L120" s="13">
        <f>IF(OR($J120="",$J120="Config error"),"",IF(OR($F120=Scales!$B$24,AND(ISNUMBER($K120),$K120=0)),4,IF(ISNUMBER($K120),MAX(1,MATCH($J120,Scales!$B$6:$B$10,0)-1+$K120),1)))</f>
        <v>4</v>
      </c>
      <c r="M120" s="5"/>
      <c r="N120" s="5"/>
      <c r="O120" s="8">
        <f>IF(OR($J120="",$J120="Config error",$E120="",$F120="",$G120="",$H120="",$R120=""),"",IF($M120="",MATCH($J120,Scales!$B$6:$B$10,0),IFERROR(MATCH($M120,Scales!$B$6:$B$10,0),MATCH($J120,Scales!$B$6:$B$10,0)))-1)</f>
        <v>4</v>
      </c>
      <c r="P120" s="12" t="str">
        <f>IF($J120="",IF(AND($B120&lt;&gt;"",$B120&lt;&gt;"Duplicate ID"),"Incomplete assessment",""),IF($J120="Config error","Config error",IF($O120="","Incomplete assessment",IF($M120="","As recommended",IF(ISERROR(MATCH($M120,Scales!$B$6:$B$10,0)),"Invalid choice",IF(MATCH($M120,Scales!$B$6:$B$10,0)&gt;MATCH($J120,Scales!$B$6:$B$10,0),"Above policy: needs sign-off",IF(MATCH($M120,Scales!$B$6:$B$10,0)&lt;MATCH($J120,Scales!$B$6:$B$10,0),"More cautious than policy","As recommended")))))))</f>
        <v>As recommended</v>
      </c>
      <c r="Q120" s="13">
        <f>IF(OR($O120="",Policy!$B$24&lt;&gt;"OK"),"",IFERROR(MIN($O120,INDEX(Policy!$C$5:$E$16,MATCH($F120&amp;"|"&amp;Scales!$B$33,Policy!$G$5:$G$16,0),MATCH($I120,Policy!$C$4:$E$4,0))),""))</f>
        <v>4</v>
      </c>
      <c r="R120" s="5">
        <v>1</v>
      </c>
      <c r="S120" s="13" t="str">
        <f>IF($B120="","",IF(COUNTIF('Readiness gate'!$A$7:$A$36,$A120)&lt;&gt;1,"Incomplete",IFERROR(IF(VLOOKUP($A120,GateTab,IF($F120=Scales!$B$24,11,9),FALSE())="","Incomplete",VLOOKUP($A120,GateTab,IF($F120=Scales!$B$24,11,9),FALSE())),"Incomplete")))</f>
        <v>Not passed</v>
      </c>
      <c r="T120" s="8">
        <f>IF($O120="","",MIN(IF(AND($O120&gt;MATCH($J120,Scales!$B$6:$B$10,0)-1,$N120&lt;&gt;"Yes"),MATCH($J120,Scales!$B$6:$B$10,0)-1,$O120),$L120,IF($F120=Scales!$B$24,IF($S120="Passed",4,IF(NOT(ISNUMBER($R120)),0,IF(OR($R120&lt;0,$R120&gt;4,$R120&lt;&gt;INT($R120)),0,$R120))),IF(NOT(ISNUMBER($R120)),0,IF(OR($R120&lt;0,$R120&gt;4,$R120&lt;&gt;INT($R120)),0,$R120))+IF($S120="Passed",1,0)),IF(AND($F120&lt;&gt;Scales!$B$24,OR($F120=Scales!$B$27,$G120=Scales!$B$33)),3,4)))</f>
        <v>1</v>
      </c>
      <c r="U120" s="13" t="str">
        <f>IF($O120="",IF(AND($B120&lt;&gt;"",$B120&lt;&gt;"Duplicate ID"),IF($J120="Config error","Config error","Incomplete assessment"),""),IF($T120&gt;=$O120,IF(LEFT($P120,4)="More","Own choice","None"),MID(IF(AND($O120&gt;MATCH($J120,Scales!$B$6:$B$10,0)-1,$N120&lt;&gt;"Yes",$T120=MATCH($J120,Scales!$B$6:$B$10,0)-1)," + Exception not approved","")&amp;IF(AND($F120&lt;&gt;Scales!$B$24,OR($F120=Scales!$B$27,$G120=Scales!$B$33),$T120=3)," + Human-signature guardrail","")&amp;IF($T120=$L120," + Model confidence","")&amp;IF($T120=IF($F120=Scales!$B$24,IF($S120="Passed",4,IF(NOT(ISNUMBER($R120)),0,IF(OR($R120&lt;0,$R120&gt;4,$R120&lt;&gt;INT($R120)),0,$R120))),IF(NOT(ISNUMBER($R120)),0,IF(OR($R120&lt;0,$R120&gt;4,$R120&lt;&gt;INT($R120)),0,$R120))+IF($S120="Passed",1,0))," + "&amp;IF($S120&lt;&gt;"Passed","Readiness gate","Readiness gate (one level per gate)"),""),4,200)))</f>
        <v>Readiness gate</v>
      </c>
      <c r="V120" s="23"/>
    </row>
    <row r="121" spans="1:22" x14ac:dyDescent="0.25">
      <c r="A121" s="8" t="s">
        <v>255</v>
      </c>
      <c r="B121" s="11" t="str">
        <f>IF($A121="","",IF(COUNTIF('Use cases'!$A$5:$A$34,$A121)&gt;1,"Duplicate ID",IFERROR(IF(VLOOKUP($A121,'Use cases'!$A$5:$B$34,2,FALSE())=0,"",VLOOKUP($A121,'Use cases'!$A$5:$B$34,2,FALSE())),"")))</f>
        <v>Supplier compromise signal</v>
      </c>
      <c r="C121" s="12" t="str">
        <f>IF(OR($B121="",$B121="Duplicate ID"),"",IFERROR(VLOOKUP($A121,'Use cases'!$A$5:$C$34,3,FALSE()),""))</f>
        <v>Third party</v>
      </c>
      <c r="D121" s="13" t="s">
        <v>117</v>
      </c>
      <c r="E121" s="23" t="s">
        <v>257</v>
      </c>
      <c r="F121" s="23" t="s">
        <v>119</v>
      </c>
      <c r="G121" s="24" t="s">
        <v>122</v>
      </c>
      <c r="H121" s="24" t="s">
        <v>115</v>
      </c>
      <c r="I121" s="13" t="str">
        <f>IF(OR($B121="",$B121="Duplicate ID"),"",IFERROR(VLOOKUP($A121,'Use cases'!$A$5:$E$34,5,FALSE()),""))</f>
        <v>Conservative</v>
      </c>
      <c r="J121" s="11" t="str">
        <f>IF(OR($B121="",$B121="Duplicate ID"),"",IF(OR($F121="",$G121=""),"",IF(Policy!$B$24&lt;&gt;"OK","Config error",IFERROR(INDEX(Scales!$B$6:$B$10,1+INDEX(Policy!$C$5:$E$16,MATCH($F121&amp;"|"&amp;$G121,Policy!$G$5:$G$16,0),MATCH($I121,Policy!$C$4:$E$4,0))),"Config error"))))</f>
        <v>L3 Human-approved</v>
      </c>
      <c r="K121" s="13">
        <f>IF($H121="","",IF($F121=Scales!$B$24,"exempt",IFERROR(IF(VLOOKUP($H121,Conf_Check,3,FALSE())="valid",VLOOKUP($H121,Conf_Adjust,2,FALSE()),"n/a"),"n/a")))</f>
        <v>-2</v>
      </c>
      <c r="L121" s="13">
        <f>IF(OR($J121="",$J121="Config error"),"",IF(OR($F121=Scales!$B$24,AND(ISNUMBER($K121),$K121=0)),4,IF(ISNUMBER($K121),MAX(1,MATCH($J121,Scales!$B$6:$B$10,0)-1+$K121),1)))</f>
        <v>1</v>
      </c>
      <c r="M121" s="5"/>
      <c r="N121" s="5"/>
      <c r="O121" s="8">
        <f>IF(OR($J121="",$J121="Config error",$E121="",$F121="",$G121="",$H121="",$R121=""),"",IF($M121="",MATCH($J121,Scales!$B$6:$B$10,0),IFERROR(MATCH($M121,Scales!$B$6:$B$10,0),MATCH($J121,Scales!$B$6:$B$10,0)))-1)</f>
        <v>3</v>
      </c>
      <c r="P121" s="12" t="str">
        <f>IF($J121="",IF(AND($B121&lt;&gt;"",$B121&lt;&gt;"Duplicate ID"),"Incomplete assessment",""),IF($J121="Config error","Config error",IF($O121="","Incomplete assessment",IF($M121="","As recommended",IF(ISERROR(MATCH($M121,Scales!$B$6:$B$10,0)),"Invalid choice",IF(MATCH($M121,Scales!$B$6:$B$10,0)&gt;MATCH($J121,Scales!$B$6:$B$10,0),"Above policy: needs sign-off",IF(MATCH($M121,Scales!$B$6:$B$10,0)&lt;MATCH($J121,Scales!$B$6:$B$10,0),"More cautious than policy","As recommended")))))))</f>
        <v>As recommended</v>
      </c>
      <c r="Q121" s="13">
        <f>IF(OR($O121="",Policy!$B$24&lt;&gt;"OK"),"",IFERROR(MIN($O121,INDEX(Policy!$C$5:$E$16,MATCH($F121&amp;"|"&amp;Scales!$B$33,Policy!$G$5:$G$16,0),MATCH($I121,Policy!$C$4:$E$4,0))),""))</f>
        <v>2</v>
      </c>
      <c r="R121" s="5">
        <v>1</v>
      </c>
      <c r="S121" s="13" t="str">
        <f>IF($B121="","",IF(COUNTIF('Readiness gate'!$A$7:$A$36,$A121)&lt;&gt;1,"Incomplete",IFERROR(IF(VLOOKUP($A121,GateTab,IF($F121=Scales!$B$24,11,9),FALSE())="","Incomplete",VLOOKUP($A121,GateTab,IF($F121=Scales!$B$24,11,9),FALSE())),"Incomplete")))</f>
        <v>Not passed</v>
      </c>
      <c r="T121" s="8">
        <f>IF($O121="","",MIN(IF(AND($O121&gt;MATCH($J121,Scales!$B$6:$B$10,0)-1,$N121&lt;&gt;"Yes"),MATCH($J121,Scales!$B$6:$B$10,0)-1,$O121),$L121,IF($F121=Scales!$B$24,IF($S121="Passed",4,IF(NOT(ISNUMBER($R121)),0,IF(OR($R121&lt;0,$R121&gt;4,$R121&lt;&gt;INT($R121)),0,$R121))),IF(NOT(ISNUMBER($R121)),0,IF(OR($R121&lt;0,$R121&gt;4,$R121&lt;&gt;INT($R121)),0,$R121))+IF($S121="Passed",1,0)),IF(AND($F121&lt;&gt;Scales!$B$24,OR($F121=Scales!$B$27,$G121=Scales!$B$33)),3,4)))</f>
        <v>1</v>
      </c>
      <c r="U121" s="13" t="str">
        <f>IF($O121="",IF(AND($B121&lt;&gt;"",$B121&lt;&gt;"Duplicate ID"),IF($J121="Config error","Config error","Incomplete assessment"),""),IF($T121&gt;=$O121,IF(LEFT($P121,4)="More","Own choice","None"),MID(IF(AND($O121&gt;MATCH($J121,Scales!$B$6:$B$10,0)-1,$N121&lt;&gt;"Yes",$T121=MATCH($J121,Scales!$B$6:$B$10,0)-1)," + Exception not approved","")&amp;IF(AND($F121&lt;&gt;Scales!$B$24,OR($F121=Scales!$B$27,$G121=Scales!$B$33),$T121=3)," + Human-signature guardrail","")&amp;IF($T121=$L121," + Model confidence","")&amp;IF($T121=IF($F121=Scales!$B$24,IF($S121="Passed",4,IF(NOT(ISNUMBER($R121)),0,IF(OR($R121&lt;0,$R121&gt;4,$R121&lt;&gt;INT($R121)),0,$R121))),IF(NOT(ISNUMBER($R121)),0,IF(OR($R121&lt;0,$R121&gt;4,$R121&lt;&gt;INT($R121)),0,$R121))+IF($S121="Passed",1,0))," + "&amp;IF($S121&lt;&gt;"Passed","Readiness gate","Readiness gate (one level per gate)"),""),4,200)))</f>
        <v>Model confidence + Readiness gate</v>
      </c>
      <c r="V121" s="23"/>
    </row>
    <row r="122" spans="1:22" x14ac:dyDescent="0.25">
      <c r="A122" s="8" t="s">
        <v>255</v>
      </c>
      <c r="B122" s="11" t="str">
        <f>IF($A122="","",IF(COUNTIF('Use cases'!$A$5:$A$34,$A122)&gt;1,"Duplicate ID",IFERROR(IF(VLOOKUP($A122,'Use cases'!$A$5:$B$34,2,FALSE())=0,"",VLOOKUP($A122,'Use cases'!$A$5:$B$34,2,FALSE())),"")))</f>
        <v>Supplier compromise signal</v>
      </c>
      <c r="C122" s="12" t="str">
        <f>IF(OR($B122="",$B122="Duplicate ID"),"",IFERROR(VLOOKUP($A122,'Use cases'!$A$5:$C$34,3,FALSE()),""))</f>
        <v>Third party</v>
      </c>
      <c r="D122" s="13" t="s">
        <v>120</v>
      </c>
      <c r="E122" s="23" t="s">
        <v>258</v>
      </c>
      <c r="F122" s="23" t="s">
        <v>119</v>
      </c>
      <c r="G122" s="24" t="s">
        <v>116</v>
      </c>
      <c r="H122" s="24" t="s">
        <v>115</v>
      </c>
      <c r="I122" s="13" t="str">
        <f>IF(OR($B122="",$B122="Duplicate ID"),"",IFERROR(VLOOKUP($A122,'Use cases'!$A$5:$E$34,5,FALSE()),""))</f>
        <v>Conservative</v>
      </c>
      <c r="J122" s="11" t="str">
        <f>IF(OR($B122="",$B122="Duplicate ID"),"",IF(OR($F122="",$G122=""),"",IF(Policy!$B$24&lt;&gt;"OK","Config error",IFERROR(INDEX(Scales!$B$6:$B$10,1+INDEX(Policy!$C$5:$E$16,MATCH($F122&amp;"|"&amp;$G122,Policy!$G$5:$G$16,0),MATCH($I122,Policy!$C$4:$E$4,0))),"Config error"))))</f>
        <v>L2 AI-recommended</v>
      </c>
      <c r="K122" s="13">
        <f>IF($H122="","",IF($F122=Scales!$B$24,"exempt",IFERROR(IF(VLOOKUP($H122,Conf_Check,3,FALSE())="valid",VLOOKUP($H122,Conf_Adjust,2,FALSE()),"n/a"),"n/a")))</f>
        <v>-2</v>
      </c>
      <c r="L122" s="13">
        <f>IF(OR($J122="",$J122="Config error"),"",IF(OR($F122=Scales!$B$24,AND(ISNUMBER($K122),$K122=0)),4,IF(ISNUMBER($K122),MAX(1,MATCH($J122,Scales!$B$6:$B$10,0)-1+$K122),1)))</f>
        <v>1</v>
      </c>
      <c r="M122" s="5"/>
      <c r="N122" s="5"/>
      <c r="O122" s="8">
        <f>IF(OR($J122="",$J122="Config error",$E122="",$F122="",$G122="",$H122="",$R122=""),"",IF($M122="",MATCH($J122,Scales!$B$6:$B$10,0),IFERROR(MATCH($M122,Scales!$B$6:$B$10,0),MATCH($J122,Scales!$B$6:$B$10,0)))-1)</f>
        <v>2</v>
      </c>
      <c r="P122" s="12" t="str">
        <f>IF($J122="",IF(AND($B122&lt;&gt;"",$B122&lt;&gt;"Duplicate ID"),"Incomplete assessment",""),IF($J122="Config error","Config error",IF($O122="","Incomplete assessment",IF($M122="","As recommended",IF(ISERROR(MATCH($M122,Scales!$B$6:$B$10,0)),"Invalid choice",IF(MATCH($M122,Scales!$B$6:$B$10,0)&gt;MATCH($J122,Scales!$B$6:$B$10,0),"Above policy: needs sign-off",IF(MATCH($M122,Scales!$B$6:$B$10,0)&lt;MATCH($J122,Scales!$B$6:$B$10,0),"More cautious than policy","As recommended")))))))</f>
        <v>As recommended</v>
      </c>
      <c r="Q122" s="13">
        <f>IF(OR($O122="",Policy!$B$24&lt;&gt;"OK"),"",IFERROR(MIN($O122,INDEX(Policy!$C$5:$E$16,MATCH($F122&amp;"|"&amp;Scales!$B$33,Policy!$G$5:$G$16,0),MATCH($I122,Policy!$C$4:$E$4,0))),""))</f>
        <v>2</v>
      </c>
      <c r="R122" s="5">
        <v>0</v>
      </c>
      <c r="S122" s="13" t="str">
        <f>IF($B122="","",IF(COUNTIF('Readiness gate'!$A$7:$A$36,$A122)&lt;&gt;1,"Incomplete",IFERROR(IF(VLOOKUP($A122,GateTab,IF($F122=Scales!$B$24,11,9),FALSE())="","Incomplete",VLOOKUP($A122,GateTab,IF($F122=Scales!$B$24,11,9),FALSE())),"Incomplete")))</f>
        <v>Not passed</v>
      </c>
      <c r="T122" s="8">
        <f>IF($O122="","",MIN(IF(AND($O122&gt;MATCH($J122,Scales!$B$6:$B$10,0)-1,$N122&lt;&gt;"Yes"),MATCH($J122,Scales!$B$6:$B$10,0)-1,$O122),$L122,IF($F122=Scales!$B$24,IF($S122="Passed",4,IF(NOT(ISNUMBER($R122)),0,IF(OR($R122&lt;0,$R122&gt;4,$R122&lt;&gt;INT($R122)),0,$R122))),IF(NOT(ISNUMBER($R122)),0,IF(OR($R122&lt;0,$R122&gt;4,$R122&lt;&gt;INT($R122)),0,$R122))+IF($S122="Passed",1,0)),IF(AND($F122&lt;&gt;Scales!$B$24,OR($F122=Scales!$B$27,$G122=Scales!$B$33)),3,4)))</f>
        <v>0</v>
      </c>
      <c r="U122" s="13" t="str">
        <f>IF($O122="",IF(AND($B122&lt;&gt;"",$B122&lt;&gt;"Duplicate ID"),IF($J122="Config error","Config error","Incomplete assessment"),""),IF($T122&gt;=$O122,IF(LEFT($P122,4)="More","Own choice","None"),MID(IF(AND($O122&gt;MATCH($J122,Scales!$B$6:$B$10,0)-1,$N122&lt;&gt;"Yes",$T122=MATCH($J122,Scales!$B$6:$B$10,0)-1)," + Exception not approved","")&amp;IF(AND($F122&lt;&gt;Scales!$B$24,OR($F122=Scales!$B$27,$G122=Scales!$B$33),$T122=3)," + Human-signature guardrail","")&amp;IF($T122=$L122," + Model confidence","")&amp;IF($T122=IF($F122=Scales!$B$24,IF($S122="Passed",4,IF(NOT(ISNUMBER($R122)),0,IF(OR($R122&lt;0,$R122&gt;4,$R122&lt;&gt;INT($R122)),0,$R122))),IF(NOT(ISNUMBER($R122)),0,IF(OR($R122&lt;0,$R122&gt;4,$R122&lt;&gt;INT($R122)),0,$R122))+IF($S122="Passed",1,0))," + "&amp;IF($S122&lt;&gt;"Passed","Readiness gate","Readiness gate (one level per gate)"),""),4,200)))</f>
        <v>Readiness gate</v>
      </c>
      <c r="V122" s="23"/>
    </row>
    <row r="123" spans="1:22" x14ac:dyDescent="0.25">
      <c r="A123" s="8" t="s">
        <v>255</v>
      </c>
      <c r="B123" s="11" t="str">
        <f>IF($A123="","",IF(COUNTIF('Use cases'!$A$5:$A$34,$A123)&gt;1,"Duplicate ID",IFERROR(IF(VLOOKUP($A123,'Use cases'!$A$5:$B$34,2,FALSE())=0,"",VLOOKUP($A123,'Use cases'!$A$5:$B$34,2,FALSE())),"")))</f>
        <v>Supplier compromise signal</v>
      </c>
      <c r="C123" s="12" t="str">
        <f>IF(OR($B123="",$B123="Duplicate ID"),"",IFERROR(VLOOKUP($A123,'Use cases'!$A$5:$C$34,3,FALSE()),""))</f>
        <v>Third party</v>
      </c>
      <c r="D123" s="13" t="s">
        <v>123</v>
      </c>
      <c r="E123" s="23" t="s">
        <v>259</v>
      </c>
      <c r="F123" s="23" t="s">
        <v>134</v>
      </c>
      <c r="G123" s="24" t="s">
        <v>116</v>
      </c>
      <c r="H123" s="24" t="s">
        <v>115</v>
      </c>
      <c r="I123" s="13" t="str">
        <f>IF(OR($B123="",$B123="Duplicate ID"),"",IFERROR(VLOOKUP($A123,'Use cases'!$A$5:$E$34,5,FALSE()),""))</f>
        <v>Conservative</v>
      </c>
      <c r="J123" s="11" t="str">
        <f>IF(OR($B123="",$B123="Duplicate ID"),"",IF(OR($F123="",$G123=""),"",IF(Policy!$B$24&lt;&gt;"OK","Config error",IFERROR(INDEX(Scales!$B$6:$B$10,1+INDEX(Policy!$C$5:$E$16,MATCH($F123&amp;"|"&amp;$G123,Policy!$G$5:$G$16,0),MATCH($I123,Policy!$C$4:$E$4,0))),"Config error"))))</f>
        <v>L2 AI-recommended</v>
      </c>
      <c r="K123" s="13">
        <f>IF($H123="","",IF($F123=Scales!$B$24,"exempt",IFERROR(IF(VLOOKUP($H123,Conf_Check,3,FALSE())="valid",VLOOKUP($H123,Conf_Adjust,2,FALSE()),"n/a"),"n/a")))</f>
        <v>-2</v>
      </c>
      <c r="L123" s="13">
        <f>IF(OR($J123="",$J123="Config error"),"",IF(OR($F123=Scales!$B$24,AND(ISNUMBER($K123),$K123=0)),4,IF(ISNUMBER($K123),MAX(1,MATCH($J123,Scales!$B$6:$B$10,0)-1+$K123),1)))</f>
        <v>1</v>
      </c>
      <c r="M123" s="5"/>
      <c r="N123" s="5"/>
      <c r="O123" s="8">
        <f>IF(OR($J123="",$J123="Config error",$E123="",$F123="",$G123="",$H123="",$R123=""),"",IF($M123="",MATCH($J123,Scales!$B$6:$B$10,0),IFERROR(MATCH($M123,Scales!$B$6:$B$10,0),MATCH($J123,Scales!$B$6:$B$10,0)))-1)</f>
        <v>2</v>
      </c>
      <c r="P123" s="12" t="str">
        <f>IF($J123="",IF(AND($B123&lt;&gt;"",$B123&lt;&gt;"Duplicate ID"),"Incomplete assessment",""),IF($J123="Config error","Config error",IF($O123="","Incomplete assessment",IF($M123="","As recommended",IF(ISERROR(MATCH($M123,Scales!$B$6:$B$10,0)),"Invalid choice",IF(MATCH($M123,Scales!$B$6:$B$10,0)&gt;MATCH($J123,Scales!$B$6:$B$10,0),"Above policy: needs sign-off",IF(MATCH($M123,Scales!$B$6:$B$10,0)&lt;MATCH($J123,Scales!$B$6:$B$10,0),"More cautious than policy","As recommended")))))))</f>
        <v>As recommended</v>
      </c>
      <c r="Q123" s="13">
        <f>IF(OR($O123="",Policy!$B$24&lt;&gt;"OK"),"",IFERROR(MIN($O123,INDEX(Policy!$C$5:$E$16,MATCH($F123&amp;"|"&amp;Scales!$B$33,Policy!$G$5:$G$16,0),MATCH($I123,Policy!$C$4:$E$4,0))),""))</f>
        <v>2</v>
      </c>
      <c r="R123" s="5">
        <v>0</v>
      </c>
      <c r="S123" s="13" t="str">
        <f>IF($B123="","",IF(COUNTIF('Readiness gate'!$A$7:$A$36,$A123)&lt;&gt;1,"Incomplete",IFERROR(IF(VLOOKUP($A123,GateTab,IF($F123=Scales!$B$24,11,9),FALSE())="","Incomplete",VLOOKUP($A123,GateTab,IF($F123=Scales!$B$24,11,9),FALSE())),"Incomplete")))</f>
        <v>Not passed</v>
      </c>
      <c r="T123" s="8">
        <f>IF($O123="","",MIN(IF(AND($O123&gt;MATCH($J123,Scales!$B$6:$B$10,0)-1,$N123&lt;&gt;"Yes"),MATCH($J123,Scales!$B$6:$B$10,0)-1,$O123),$L123,IF($F123=Scales!$B$24,IF($S123="Passed",4,IF(NOT(ISNUMBER($R123)),0,IF(OR($R123&lt;0,$R123&gt;4,$R123&lt;&gt;INT($R123)),0,$R123))),IF(NOT(ISNUMBER($R123)),0,IF(OR($R123&lt;0,$R123&gt;4,$R123&lt;&gt;INT($R123)),0,$R123))+IF($S123="Passed",1,0)),IF(AND($F123&lt;&gt;Scales!$B$24,OR($F123=Scales!$B$27,$G123=Scales!$B$33)),3,4)))</f>
        <v>0</v>
      </c>
      <c r="U123" s="13" t="str">
        <f>IF($O123="",IF(AND($B123&lt;&gt;"",$B123&lt;&gt;"Duplicate ID"),IF($J123="Config error","Config error","Incomplete assessment"),""),IF($T123&gt;=$O123,IF(LEFT($P123,4)="More","Own choice","None"),MID(IF(AND($O123&gt;MATCH($J123,Scales!$B$6:$B$10,0)-1,$N123&lt;&gt;"Yes",$T123=MATCH($J123,Scales!$B$6:$B$10,0)-1)," + Exception not approved","")&amp;IF(AND($F123&lt;&gt;Scales!$B$24,OR($F123=Scales!$B$27,$G123=Scales!$B$33),$T123=3)," + Human-signature guardrail","")&amp;IF($T123=$L123," + Model confidence","")&amp;IF($T123=IF($F123=Scales!$B$24,IF($S123="Passed",4,IF(NOT(ISNUMBER($R123)),0,IF(OR($R123&lt;0,$R123&gt;4,$R123&lt;&gt;INT($R123)),0,$R123))),IF(NOT(ISNUMBER($R123)),0,IF(OR($R123&lt;0,$R123&gt;4,$R123&lt;&gt;INT($R123)),0,$R123))+IF($S123="Passed",1,0))," + "&amp;IF($S123&lt;&gt;"Passed","Readiness gate","Readiness gate (one level per gate)"),""),4,200)))</f>
        <v>Readiness gate</v>
      </c>
      <c r="V123" s="23"/>
    </row>
    <row r="124" spans="1:22" x14ac:dyDescent="0.25">
      <c r="A124" s="8" t="s">
        <v>255</v>
      </c>
      <c r="B124" s="11" t="str">
        <f>IF($A124="","",IF(COUNTIF('Use cases'!$A$5:$A$34,$A124)&gt;1,"Duplicate ID",IFERROR(IF(VLOOKUP($A124,'Use cases'!$A$5:$B$34,2,FALSE())=0,"",VLOOKUP($A124,'Use cases'!$A$5:$B$34,2,FALSE())),"")))</f>
        <v>Supplier compromise signal</v>
      </c>
      <c r="C124" s="12" t="str">
        <f>IF(OR($B124="",$B124="Duplicate ID"),"",IFERROR(VLOOKUP($A124,'Use cases'!$A$5:$C$34,3,FALSE()),""))</f>
        <v>Third party</v>
      </c>
      <c r="D124" s="13" t="s">
        <v>125</v>
      </c>
      <c r="E124" s="23" t="s">
        <v>260</v>
      </c>
      <c r="F124" s="23" t="s">
        <v>119</v>
      </c>
      <c r="G124" s="24" t="s">
        <v>116</v>
      </c>
      <c r="H124" s="24" t="s">
        <v>122</v>
      </c>
      <c r="I124" s="13" t="str">
        <f>IF(OR($B124="",$B124="Duplicate ID"),"",IFERROR(VLOOKUP($A124,'Use cases'!$A$5:$E$34,5,FALSE()),""))</f>
        <v>Conservative</v>
      </c>
      <c r="J124" s="11" t="str">
        <f>IF(OR($B124="",$B124="Duplicate ID"),"",IF(OR($F124="",$G124=""),"",IF(Policy!$B$24&lt;&gt;"OK","Config error",IFERROR(INDEX(Scales!$B$6:$B$10,1+INDEX(Policy!$C$5:$E$16,MATCH($F124&amp;"|"&amp;$G124,Policy!$G$5:$G$16,0),MATCH($I124,Policy!$C$4:$E$4,0))),"Config error"))))</f>
        <v>L2 AI-recommended</v>
      </c>
      <c r="K124" s="13">
        <f>IF($H124="","",IF($F124=Scales!$B$24,"exempt",IFERROR(IF(VLOOKUP($H124,Conf_Check,3,FALSE())="valid",VLOOKUP($H124,Conf_Adjust,2,FALSE()),"n/a"),"n/a")))</f>
        <v>-1</v>
      </c>
      <c r="L124" s="13">
        <f>IF(OR($J124="",$J124="Config error"),"",IF(OR($F124=Scales!$B$24,AND(ISNUMBER($K124),$K124=0)),4,IF(ISNUMBER($K124),MAX(1,MATCH($J124,Scales!$B$6:$B$10,0)-1+$K124),1)))</f>
        <v>1</v>
      </c>
      <c r="M124" s="5"/>
      <c r="N124" s="5"/>
      <c r="O124" s="8">
        <f>IF(OR($J124="",$J124="Config error",$E124="",$F124="",$G124="",$H124="",$R124=""),"",IF($M124="",MATCH($J124,Scales!$B$6:$B$10,0),IFERROR(MATCH($M124,Scales!$B$6:$B$10,0),MATCH($J124,Scales!$B$6:$B$10,0)))-1)</f>
        <v>2</v>
      </c>
      <c r="P124" s="12" t="str">
        <f>IF($J124="",IF(AND($B124&lt;&gt;"",$B124&lt;&gt;"Duplicate ID"),"Incomplete assessment",""),IF($J124="Config error","Config error",IF($O124="","Incomplete assessment",IF($M124="","As recommended",IF(ISERROR(MATCH($M124,Scales!$B$6:$B$10,0)),"Invalid choice",IF(MATCH($M124,Scales!$B$6:$B$10,0)&gt;MATCH($J124,Scales!$B$6:$B$10,0),"Above policy: needs sign-off",IF(MATCH($M124,Scales!$B$6:$B$10,0)&lt;MATCH($J124,Scales!$B$6:$B$10,0),"More cautious than policy","As recommended")))))))</f>
        <v>As recommended</v>
      </c>
      <c r="Q124" s="13">
        <f>IF(OR($O124="",Policy!$B$24&lt;&gt;"OK"),"",IFERROR(MIN($O124,INDEX(Policy!$C$5:$E$16,MATCH($F124&amp;"|"&amp;Scales!$B$33,Policy!$G$5:$G$16,0),MATCH($I124,Policy!$C$4:$E$4,0))),""))</f>
        <v>2</v>
      </c>
      <c r="R124" s="5">
        <v>0</v>
      </c>
      <c r="S124" s="13" t="str">
        <f>IF($B124="","",IF(COUNTIF('Readiness gate'!$A$7:$A$36,$A124)&lt;&gt;1,"Incomplete",IFERROR(IF(VLOOKUP($A124,GateTab,IF($F124=Scales!$B$24,11,9),FALSE())="","Incomplete",VLOOKUP($A124,GateTab,IF($F124=Scales!$B$24,11,9),FALSE())),"Incomplete")))</f>
        <v>Not passed</v>
      </c>
      <c r="T124" s="8">
        <f>IF($O124="","",MIN(IF(AND($O124&gt;MATCH($J124,Scales!$B$6:$B$10,0)-1,$N124&lt;&gt;"Yes"),MATCH($J124,Scales!$B$6:$B$10,0)-1,$O124),$L124,IF($F124=Scales!$B$24,IF($S124="Passed",4,IF(NOT(ISNUMBER($R124)),0,IF(OR($R124&lt;0,$R124&gt;4,$R124&lt;&gt;INT($R124)),0,$R124))),IF(NOT(ISNUMBER($R124)),0,IF(OR($R124&lt;0,$R124&gt;4,$R124&lt;&gt;INT($R124)),0,$R124))+IF($S124="Passed",1,0)),IF(AND($F124&lt;&gt;Scales!$B$24,OR($F124=Scales!$B$27,$G124=Scales!$B$33)),3,4)))</f>
        <v>0</v>
      </c>
      <c r="U124" s="13" t="str">
        <f>IF($O124="",IF(AND($B124&lt;&gt;"",$B124&lt;&gt;"Duplicate ID"),IF($J124="Config error","Config error","Incomplete assessment"),""),IF($T124&gt;=$O124,IF(LEFT($P124,4)="More","Own choice","None"),MID(IF(AND($O124&gt;MATCH($J124,Scales!$B$6:$B$10,0)-1,$N124&lt;&gt;"Yes",$T124=MATCH($J124,Scales!$B$6:$B$10,0)-1)," + Exception not approved","")&amp;IF(AND($F124&lt;&gt;Scales!$B$24,OR($F124=Scales!$B$27,$G124=Scales!$B$33),$T124=3)," + Human-signature guardrail","")&amp;IF($T124=$L124," + Model confidence","")&amp;IF($T124=IF($F124=Scales!$B$24,IF($S124="Passed",4,IF(NOT(ISNUMBER($R124)),0,IF(OR($R124&lt;0,$R124&gt;4,$R124&lt;&gt;INT($R124)),0,$R124))),IF(NOT(ISNUMBER($R124)),0,IF(OR($R124&lt;0,$R124&gt;4,$R124&lt;&gt;INT($R124)),0,$R124))+IF($S124="Passed",1,0))," + "&amp;IF($S124&lt;&gt;"Passed","Readiness gate","Readiness gate (one level per gate)"),""),4,200)))</f>
        <v>Readiness gate</v>
      </c>
      <c r="V124" s="23"/>
    </row>
    <row r="125" spans="1:22" x14ac:dyDescent="0.25">
      <c r="A125" s="8" t="s">
        <v>255</v>
      </c>
      <c r="B125" s="11" t="str">
        <f>IF($A125="","",IF(COUNTIF('Use cases'!$A$5:$A$34,$A125)&gt;1,"Duplicate ID",IFERROR(IF(VLOOKUP($A125,'Use cases'!$A$5:$B$34,2,FALSE())=0,"",VLOOKUP($A125,'Use cases'!$A$5:$B$34,2,FALSE())),"")))</f>
        <v>Supplier compromise signal</v>
      </c>
      <c r="C125" s="12" t="str">
        <f>IF(OR($B125="",$B125="Duplicate ID"),"",IFERROR(VLOOKUP($A125,'Use cases'!$A$5:$C$34,3,FALSE()),""))</f>
        <v>Third party</v>
      </c>
      <c r="D125" s="13" t="s">
        <v>127</v>
      </c>
      <c r="E125" s="23" t="s">
        <v>261</v>
      </c>
      <c r="F125" s="23" t="s">
        <v>169</v>
      </c>
      <c r="G125" s="24" t="s">
        <v>116</v>
      </c>
      <c r="H125" s="24" t="s">
        <v>115</v>
      </c>
      <c r="I125" s="13" t="str">
        <f>IF(OR($B125="",$B125="Duplicate ID"),"",IFERROR(VLOOKUP($A125,'Use cases'!$A$5:$E$34,5,FALSE()),""))</f>
        <v>Conservative</v>
      </c>
      <c r="J125" s="11" t="str">
        <f>IF(OR($B125="",$B125="Duplicate ID"),"",IF(OR($F125="",$G125=""),"",IF(Policy!$B$24&lt;&gt;"OK","Config error",IFERROR(INDEX(Scales!$B$6:$B$10,1+INDEX(Policy!$C$5:$E$16,MATCH($F125&amp;"|"&amp;$G125,Policy!$G$5:$G$16,0),MATCH($I125,Policy!$C$4:$E$4,0))),"Config error"))))</f>
        <v>L1 Assisted</v>
      </c>
      <c r="K125" s="13">
        <f>IF($H125="","",IF($F125=Scales!$B$24,"exempt",IFERROR(IF(VLOOKUP($H125,Conf_Check,3,FALSE())="valid",VLOOKUP($H125,Conf_Adjust,2,FALSE()),"n/a"),"n/a")))</f>
        <v>-2</v>
      </c>
      <c r="L125" s="13">
        <f>IF(OR($J125="",$J125="Config error"),"",IF(OR($F125=Scales!$B$24,AND(ISNUMBER($K125),$K125=0)),4,IF(ISNUMBER($K125),MAX(1,MATCH($J125,Scales!$B$6:$B$10,0)-1+$K125),1)))</f>
        <v>1</v>
      </c>
      <c r="M125" s="5"/>
      <c r="N125" s="5"/>
      <c r="O125" s="8">
        <f>IF(OR($J125="",$J125="Config error",$E125="",$F125="",$G125="",$H125="",$R125=""),"",IF($M125="",MATCH($J125,Scales!$B$6:$B$10,0),IFERROR(MATCH($M125,Scales!$B$6:$B$10,0),MATCH($J125,Scales!$B$6:$B$10,0)))-1)</f>
        <v>1</v>
      </c>
      <c r="P125" s="12" t="str">
        <f>IF($J125="",IF(AND($B125&lt;&gt;"",$B125&lt;&gt;"Duplicate ID"),"Incomplete assessment",""),IF($J125="Config error","Config error",IF($O125="","Incomplete assessment",IF($M125="","As recommended",IF(ISERROR(MATCH($M125,Scales!$B$6:$B$10,0)),"Invalid choice",IF(MATCH($M125,Scales!$B$6:$B$10,0)&gt;MATCH($J125,Scales!$B$6:$B$10,0),"Above policy: needs sign-off",IF(MATCH($M125,Scales!$B$6:$B$10,0)&lt;MATCH($J125,Scales!$B$6:$B$10,0),"More cautious than policy","As recommended")))))))</f>
        <v>As recommended</v>
      </c>
      <c r="Q125" s="13">
        <f>IF(OR($O125="",Policy!$B$24&lt;&gt;"OK"),"",IFERROR(MIN($O125,INDEX(Policy!$C$5:$E$16,MATCH($F125&amp;"|"&amp;Scales!$B$33,Policy!$G$5:$G$16,0),MATCH($I125,Policy!$C$4:$E$4,0))),""))</f>
        <v>1</v>
      </c>
      <c r="R125" s="5">
        <v>1</v>
      </c>
      <c r="S125" s="13" t="str">
        <f>IF($B125="","",IF(COUNTIF('Readiness gate'!$A$7:$A$36,$A125)&lt;&gt;1,"Incomplete",IFERROR(IF(VLOOKUP($A125,GateTab,IF($F125=Scales!$B$24,11,9),FALSE())="","Incomplete",VLOOKUP($A125,GateTab,IF($F125=Scales!$B$24,11,9),FALSE())),"Incomplete")))</f>
        <v>Not passed</v>
      </c>
      <c r="T125" s="8">
        <f>IF($O125="","",MIN(IF(AND($O125&gt;MATCH($J125,Scales!$B$6:$B$10,0)-1,$N125&lt;&gt;"Yes"),MATCH($J125,Scales!$B$6:$B$10,0)-1,$O125),$L125,IF($F125=Scales!$B$24,IF($S125="Passed",4,IF(NOT(ISNUMBER($R125)),0,IF(OR($R125&lt;0,$R125&gt;4,$R125&lt;&gt;INT($R125)),0,$R125))),IF(NOT(ISNUMBER($R125)),0,IF(OR($R125&lt;0,$R125&gt;4,$R125&lt;&gt;INT($R125)),0,$R125))+IF($S125="Passed",1,0)),IF(AND($F125&lt;&gt;Scales!$B$24,OR($F125=Scales!$B$27,$G125=Scales!$B$33)),3,4)))</f>
        <v>1</v>
      </c>
      <c r="U125" s="13" t="str">
        <f>IF($O125="",IF(AND($B125&lt;&gt;"",$B125&lt;&gt;"Duplicate ID"),IF($J125="Config error","Config error","Incomplete assessment"),""),IF($T125&gt;=$O125,IF(LEFT($P125,4)="More","Own choice","None"),MID(IF(AND($O125&gt;MATCH($J125,Scales!$B$6:$B$10,0)-1,$N125&lt;&gt;"Yes",$T125=MATCH($J125,Scales!$B$6:$B$10,0)-1)," + Exception not approved","")&amp;IF(AND($F125&lt;&gt;Scales!$B$24,OR($F125=Scales!$B$27,$G125=Scales!$B$33),$T125=3)," + Human-signature guardrail","")&amp;IF($T125=$L125," + Model confidence","")&amp;IF($T125=IF($F125=Scales!$B$24,IF($S125="Passed",4,IF(NOT(ISNUMBER($R125)),0,IF(OR($R125&lt;0,$R125&gt;4,$R125&lt;&gt;INT($R125)),0,$R125))),IF(NOT(ISNUMBER($R125)),0,IF(OR($R125&lt;0,$R125&gt;4,$R125&lt;&gt;INT($R125)),0,$R125))+IF($S125="Passed",1,0))," + "&amp;IF($S125&lt;&gt;"Passed","Readiness gate","Readiness gate (one level per gate)"),""),4,200)))</f>
        <v>None</v>
      </c>
      <c r="V125" s="23"/>
    </row>
    <row r="126" spans="1:22" x14ac:dyDescent="0.25">
      <c r="A126" s="8" t="s">
        <v>262</v>
      </c>
      <c r="B126" s="11" t="str">
        <f>IF($A126="","",IF(COUNTIF('Use cases'!$A$5:$A$34,$A126)&gt;1,"Duplicate ID",IFERROR(IF(VLOOKUP($A126,'Use cases'!$A$5:$B$34,2,FALSE())=0,"",VLOOKUP($A126,'Use cases'!$A$5:$B$34,2,FALSE())),"")))</f>
        <v/>
      </c>
      <c r="C126" s="12" t="str">
        <f>IF(OR($B126="",$B126="Duplicate ID"),"",IFERROR(VLOOKUP($A126,'Use cases'!$A$5:$C$34,3,FALSE()),""))</f>
        <v/>
      </c>
      <c r="D126" s="13" t="s">
        <v>112</v>
      </c>
      <c r="E126" s="23"/>
      <c r="F126" s="23"/>
      <c r="G126" s="24"/>
      <c r="H126" s="24"/>
      <c r="I126" s="13" t="str">
        <f>IF(OR($B126="",$B126="Duplicate ID"),"",IFERROR(VLOOKUP($A126,'Use cases'!$A$5:$E$34,5,FALSE()),""))</f>
        <v/>
      </c>
      <c r="J126" s="11" t="str">
        <f>IF(OR($B126="",$B126="Duplicate ID"),"",IF(OR($F126="",$G126=""),"",IF(Policy!$B$24&lt;&gt;"OK","Config error",IFERROR(INDEX(Scales!$B$6:$B$10,1+INDEX(Policy!$C$5:$E$16,MATCH($F126&amp;"|"&amp;$G126,Policy!$G$5:$G$16,0),MATCH($I126,Policy!$C$4:$E$4,0))),"Config error"))))</f>
        <v/>
      </c>
      <c r="K126" s="13" t="str">
        <f>IF($H126="","",IF($F126=Scales!$B$24,"exempt",IFERROR(IF(VLOOKUP($H126,Conf_Check,3,FALSE())="valid",VLOOKUP($H126,Conf_Adjust,2,FALSE()),"n/a"),"n/a")))</f>
        <v/>
      </c>
      <c r="L126" s="13" t="str">
        <f>IF(OR($J126="",$J126="Config error"),"",IF(OR($F126=Scales!$B$24,AND(ISNUMBER($K126),$K126=0)),4,IF(ISNUMBER($K126),MAX(1,MATCH($J126,Scales!$B$6:$B$10,0)-1+$K126),1)))</f>
        <v/>
      </c>
      <c r="M126" s="5"/>
      <c r="N126" s="5"/>
      <c r="O126" s="8" t="str">
        <f>IF(OR($J126="",$J126="Config error",$E126="",$F126="",$G126="",$H126="",$R126=""),"",IF($M126="",MATCH($J126,Scales!$B$6:$B$10,0),IFERROR(MATCH($M126,Scales!$B$6:$B$10,0),MATCH($J126,Scales!$B$6:$B$10,0)))-1)</f>
        <v/>
      </c>
      <c r="P126" s="12" t="str">
        <f>IF($J126="",IF(AND($B126&lt;&gt;"",$B126&lt;&gt;"Duplicate ID"),"Incomplete assessment",""),IF($J126="Config error","Config error",IF($O126="","Incomplete assessment",IF($M126="","As recommended",IF(ISERROR(MATCH($M126,Scales!$B$6:$B$10,0)),"Invalid choice",IF(MATCH($M126,Scales!$B$6:$B$10,0)&gt;MATCH($J126,Scales!$B$6:$B$10,0),"Above policy: needs sign-off",IF(MATCH($M126,Scales!$B$6:$B$10,0)&lt;MATCH($J126,Scales!$B$6:$B$10,0),"More cautious than policy","As recommended")))))))</f>
        <v/>
      </c>
      <c r="Q126" s="13" t="str">
        <f>IF(OR($O126="",Policy!$B$24&lt;&gt;"OK"),"",IFERROR(MIN($O126,INDEX(Policy!$C$5:$E$16,MATCH($F126&amp;"|"&amp;Scales!$B$33,Policy!$G$5:$G$16,0),MATCH($I126,Policy!$C$4:$E$4,0))),""))</f>
        <v/>
      </c>
      <c r="R126" s="5"/>
      <c r="S126" s="13" t="str">
        <f>IF($B126="","",IF(COUNTIF('Readiness gate'!$A$7:$A$36,$A126)&lt;&gt;1,"Incomplete",IFERROR(IF(VLOOKUP($A126,GateTab,IF($F126=Scales!$B$24,11,9),FALSE())="","Incomplete",VLOOKUP($A126,GateTab,IF($F126=Scales!$B$24,11,9),FALSE())),"Incomplete")))</f>
        <v/>
      </c>
      <c r="T126" s="8" t="str">
        <f>IF($O126="","",MIN(IF(AND($O126&gt;MATCH($J126,Scales!$B$6:$B$10,0)-1,$N126&lt;&gt;"Yes"),MATCH($J126,Scales!$B$6:$B$10,0)-1,$O126),$L126,IF($F126=Scales!$B$24,IF($S126="Passed",4,IF(NOT(ISNUMBER($R126)),0,IF(OR($R126&lt;0,$R126&gt;4,$R126&lt;&gt;INT($R126)),0,$R126))),IF(NOT(ISNUMBER($R126)),0,IF(OR($R126&lt;0,$R126&gt;4,$R126&lt;&gt;INT($R126)),0,$R126))+IF($S126="Passed",1,0)),IF(AND($F126&lt;&gt;Scales!$B$24,OR($F126=Scales!$B$27,$G126=Scales!$B$33)),3,4)))</f>
        <v/>
      </c>
      <c r="U126" s="13" t="str">
        <f>IF($O126="",IF(AND($B126&lt;&gt;"",$B126&lt;&gt;"Duplicate ID"),IF($J126="Config error","Config error","Incomplete assessment"),""),IF($T126&gt;=$O126,IF(LEFT($P126,4)="More","Own choice","None"),MID(IF(AND($O126&gt;MATCH($J126,Scales!$B$6:$B$10,0)-1,$N126&lt;&gt;"Yes",$T126=MATCH($J126,Scales!$B$6:$B$10,0)-1)," + Exception not approved","")&amp;IF(AND($F126&lt;&gt;Scales!$B$24,OR($F126=Scales!$B$27,$G126=Scales!$B$33),$T126=3)," + Human-signature guardrail","")&amp;IF($T126=$L126," + Model confidence","")&amp;IF($T126=IF($F126=Scales!$B$24,IF($S126="Passed",4,IF(NOT(ISNUMBER($R126)),0,IF(OR($R126&lt;0,$R126&gt;4,$R126&lt;&gt;INT($R126)),0,$R126))),IF(NOT(ISNUMBER($R126)),0,IF(OR($R126&lt;0,$R126&gt;4,$R126&lt;&gt;INT($R126)),0,$R126))+IF($S126="Passed",1,0))," + "&amp;IF($S126&lt;&gt;"Passed","Readiness gate","Readiness gate (one level per gate)"),""),4,200)))</f>
        <v/>
      </c>
      <c r="V126" s="23"/>
    </row>
    <row r="127" spans="1:22" x14ac:dyDescent="0.25">
      <c r="A127" s="8" t="s">
        <v>262</v>
      </c>
      <c r="B127" s="11" t="str">
        <f>IF($A127="","",IF(COUNTIF('Use cases'!$A$5:$A$34,$A127)&gt;1,"Duplicate ID",IFERROR(IF(VLOOKUP($A127,'Use cases'!$A$5:$B$34,2,FALSE())=0,"",VLOOKUP($A127,'Use cases'!$A$5:$B$34,2,FALSE())),"")))</f>
        <v/>
      </c>
      <c r="C127" s="12" t="str">
        <f>IF(OR($B127="",$B127="Duplicate ID"),"",IFERROR(VLOOKUP($A127,'Use cases'!$A$5:$C$34,3,FALSE()),""))</f>
        <v/>
      </c>
      <c r="D127" s="13" t="s">
        <v>117</v>
      </c>
      <c r="E127" s="23"/>
      <c r="F127" s="23"/>
      <c r="G127" s="24"/>
      <c r="H127" s="24"/>
      <c r="I127" s="13" t="str">
        <f>IF(OR($B127="",$B127="Duplicate ID"),"",IFERROR(VLOOKUP($A127,'Use cases'!$A$5:$E$34,5,FALSE()),""))</f>
        <v/>
      </c>
      <c r="J127" s="11" t="str">
        <f>IF(OR($B127="",$B127="Duplicate ID"),"",IF(OR($F127="",$G127=""),"",IF(Policy!$B$24&lt;&gt;"OK","Config error",IFERROR(INDEX(Scales!$B$6:$B$10,1+INDEX(Policy!$C$5:$E$16,MATCH($F127&amp;"|"&amp;$G127,Policy!$G$5:$G$16,0),MATCH($I127,Policy!$C$4:$E$4,0))),"Config error"))))</f>
        <v/>
      </c>
      <c r="K127" s="13" t="str">
        <f>IF($H127="","",IF($F127=Scales!$B$24,"exempt",IFERROR(IF(VLOOKUP($H127,Conf_Check,3,FALSE())="valid",VLOOKUP($H127,Conf_Adjust,2,FALSE()),"n/a"),"n/a")))</f>
        <v/>
      </c>
      <c r="L127" s="13" t="str">
        <f>IF(OR($J127="",$J127="Config error"),"",IF(OR($F127=Scales!$B$24,AND(ISNUMBER($K127),$K127=0)),4,IF(ISNUMBER($K127),MAX(1,MATCH($J127,Scales!$B$6:$B$10,0)-1+$K127),1)))</f>
        <v/>
      </c>
      <c r="M127" s="5"/>
      <c r="N127" s="5"/>
      <c r="O127" s="8" t="str">
        <f>IF(OR($J127="",$J127="Config error",$E127="",$F127="",$G127="",$H127="",$R127=""),"",IF($M127="",MATCH($J127,Scales!$B$6:$B$10,0),IFERROR(MATCH($M127,Scales!$B$6:$B$10,0),MATCH($J127,Scales!$B$6:$B$10,0)))-1)</f>
        <v/>
      </c>
      <c r="P127" s="12" t="str">
        <f>IF($J127="",IF(AND($B127&lt;&gt;"",$B127&lt;&gt;"Duplicate ID"),"Incomplete assessment",""),IF($J127="Config error","Config error",IF($O127="","Incomplete assessment",IF($M127="","As recommended",IF(ISERROR(MATCH($M127,Scales!$B$6:$B$10,0)),"Invalid choice",IF(MATCH($M127,Scales!$B$6:$B$10,0)&gt;MATCH($J127,Scales!$B$6:$B$10,0),"Above policy: needs sign-off",IF(MATCH($M127,Scales!$B$6:$B$10,0)&lt;MATCH($J127,Scales!$B$6:$B$10,0),"More cautious than policy","As recommended")))))))</f>
        <v/>
      </c>
      <c r="Q127" s="13" t="str">
        <f>IF(OR($O127="",Policy!$B$24&lt;&gt;"OK"),"",IFERROR(MIN($O127,INDEX(Policy!$C$5:$E$16,MATCH($F127&amp;"|"&amp;Scales!$B$33,Policy!$G$5:$G$16,0),MATCH($I127,Policy!$C$4:$E$4,0))),""))</f>
        <v/>
      </c>
      <c r="R127" s="5"/>
      <c r="S127" s="13" t="str">
        <f>IF($B127="","",IF(COUNTIF('Readiness gate'!$A$7:$A$36,$A127)&lt;&gt;1,"Incomplete",IFERROR(IF(VLOOKUP($A127,GateTab,IF($F127=Scales!$B$24,11,9),FALSE())="","Incomplete",VLOOKUP($A127,GateTab,IF($F127=Scales!$B$24,11,9),FALSE())),"Incomplete")))</f>
        <v/>
      </c>
      <c r="T127" s="8" t="str">
        <f>IF($O127="","",MIN(IF(AND($O127&gt;MATCH($J127,Scales!$B$6:$B$10,0)-1,$N127&lt;&gt;"Yes"),MATCH($J127,Scales!$B$6:$B$10,0)-1,$O127),$L127,IF($F127=Scales!$B$24,IF($S127="Passed",4,IF(NOT(ISNUMBER($R127)),0,IF(OR($R127&lt;0,$R127&gt;4,$R127&lt;&gt;INT($R127)),0,$R127))),IF(NOT(ISNUMBER($R127)),0,IF(OR($R127&lt;0,$R127&gt;4,$R127&lt;&gt;INT($R127)),0,$R127))+IF($S127="Passed",1,0)),IF(AND($F127&lt;&gt;Scales!$B$24,OR($F127=Scales!$B$27,$G127=Scales!$B$33)),3,4)))</f>
        <v/>
      </c>
      <c r="U127" s="13" t="str">
        <f>IF($O127="",IF(AND($B127&lt;&gt;"",$B127&lt;&gt;"Duplicate ID"),IF($J127="Config error","Config error","Incomplete assessment"),""),IF($T127&gt;=$O127,IF(LEFT($P127,4)="More","Own choice","None"),MID(IF(AND($O127&gt;MATCH($J127,Scales!$B$6:$B$10,0)-1,$N127&lt;&gt;"Yes",$T127=MATCH($J127,Scales!$B$6:$B$10,0)-1)," + Exception not approved","")&amp;IF(AND($F127&lt;&gt;Scales!$B$24,OR($F127=Scales!$B$27,$G127=Scales!$B$33),$T127=3)," + Human-signature guardrail","")&amp;IF($T127=$L127," + Model confidence","")&amp;IF($T127=IF($F127=Scales!$B$24,IF($S127="Passed",4,IF(NOT(ISNUMBER($R127)),0,IF(OR($R127&lt;0,$R127&gt;4,$R127&lt;&gt;INT($R127)),0,$R127))),IF(NOT(ISNUMBER($R127)),0,IF(OR($R127&lt;0,$R127&gt;4,$R127&lt;&gt;INT($R127)),0,$R127))+IF($S127="Passed",1,0))," + "&amp;IF($S127&lt;&gt;"Passed","Readiness gate","Readiness gate (one level per gate)"),""),4,200)))</f>
        <v/>
      </c>
      <c r="V127" s="23"/>
    </row>
    <row r="128" spans="1:22" x14ac:dyDescent="0.25">
      <c r="A128" s="8" t="s">
        <v>262</v>
      </c>
      <c r="B128" s="11" t="str">
        <f>IF($A128="","",IF(COUNTIF('Use cases'!$A$5:$A$34,$A128)&gt;1,"Duplicate ID",IFERROR(IF(VLOOKUP($A128,'Use cases'!$A$5:$B$34,2,FALSE())=0,"",VLOOKUP($A128,'Use cases'!$A$5:$B$34,2,FALSE())),"")))</f>
        <v/>
      </c>
      <c r="C128" s="12" t="str">
        <f>IF(OR($B128="",$B128="Duplicate ID"),"",IFERROR(VLOOKUP($A128,'Use cases'!$A$5:$C$34,3,FALSE()),""))</f>
        <v/>
      </c>
      <c r="D128" s="13" t="s">
        <v>120</v>
      </c>
      <c r="E128" s="23"/>
      <c r="F128" s="23"/>
      <c r="G128" s="24"/>
      <c r="H128" s="24"/>
      <c r="I128" s="13" t="str">
        <f>IF(OR($B128="",$B128="Duplicate ID"),"",IFERROR(VLOOKUP($A128,'Use cases'!$A$5:$E$34,5,FALSE()),""))</f>
        <v/>
      </c>
      <c r="J128" s="11" t="str">
        <f>IF(OR($B128="",$B128="Duplicate ID"),"",IF(OR($F128="",$G128=""),"",IF(Policy!$B$24&lt;&gt;"OK","Config error",IFERROR(INDEX(Scales!$B$6:$B$10,1+INDEX(Policy!$C$5:$E$16,MATCH($F128&amp;"|"&amp;$G128,Policy!$G$5:$G$16,0),MATCH($I128,Policy!$C$4:$E$4,0))),"Config error"))))</f>
        <v/>
      </c>
      <c r="K128" s="13" t="str">
        <f>IF($H128="","",IF($F128=Scales!$B$24,"exempt",IFERROR(IF(VLOOKUP($H128,Conf_Check,3,FALSE())="valid",VLOOKUP($H128,Conf_Adjust,2,FALSE()),"n/a"),"n/a")))</f>
        <v/>
      </c>
      <c r="L128" s="13" t="str">
        <f>IF(OR($J128="",$J128="Config error"),"",IF(OR($F128=Scales!$B$24,AND(ISNUMBER($K128),$K128=0)),4,IF(ISNUMBER($K128),MAX(1,MATCH($J128,Scales!$B$6:$B$10,0)-1+$K128),1)))</f>
        <v/>
      </c>
      <c r="M128" s="5"/>
      <c r="N128" s="5"/>
      <c r="O128" s="8" t="str">
        <f>IF(OR($J128="",$J128="Config error",$E128="",$F128="",$G128="",$H128="",$R128=""),"",IF($M128="",MATCH($J128,Scales!$B$6:$B$10,0),IFERROR(MATCH($M128,Scales!$B$6:$B$10,0),MATCH($J128,Scales!$B$6:$B$10,0)))-1)</f>
        <v/>
      </c>
      <c r="P128" s="12" t="str">
        <f>IF($J128="",IF(AND($B128&lt;&gt;"",$B128&lt;&gt;"Duplicate ID"),"Incomplete assessment",""),IF($J128="Config error","Config error",IF($O128="","Incomplete assessment",IF($M128="","As recommended",IF(ISERROR(MATCH($M128,Scales!$B$6:$B$10,0)),"Invalid choice",IF(MATCH($M128,Scales!$B$6:$B$10,0)&gt;MATCH($J128,Scales!$B$6:$B$10,0),"Above policy: needs sign-off",IF(MATCH($M128,Scales!$B$6:$B$10,0)&lt;MATCH($J128,Scales!$B$6:$B$10,0),"More cautious than policy","As recommended")))))))</f>
        <v/>
      </c>
      <c r="Q128" s="13" t="str">
        <f>IF(OR($O128="",Policy!$B$24&lt;&gt;"OK"),"",IFERROR(MIN($O128,INDEX(Policy!$C$5:$E$16,MATCH($F128&amp;"|"&amp;Scales!$B$33,Policy!$G$5:$G$16,0),MATCH($I128,Policy!$C$4:$E$4,0))),""))</f>
        <v/>
      </c>
      <c r="R128" s="5"/>
      <c r="S128" s="13" t="str">
        <f>IF($B128="","",IF(COUNTIF('Readiness gate'!$A$7:$A$36,$A128)&lt;&gt;1,"Incomplete",IFERROR(IF(VLOOKUP($A128,GateTab,IF($F128=Scales!$B$24,11,9),FALSE())="","Incomplete",VLOOKUP($A128,GateTab,IF($F128=Scales!$B$24,11,9),FALSE())),"Incomplete")))</f>
        <v/>
      </c>
      <c r="T128" s="8" t="str">
        <f>IF($O128="","",MIN(IF(AND($O128&gt;MATCH($J128,Scales!$B$6:$B$10,0)-1,$N128&lt;&gt;"Yes"),MATCH($J128,Scales!$B$6:$B$10,0)-1,$O128),$L128,IF($F128=Scales!$B$24,IF($S128="Passed",4,IF(NOT(ISNUMBER($R128)),0,IF(OR($R128&lt;0,$R128&gt;4,$R128&lt;&gt;INT($R128)),0,$R128))),IF(NOT(ISNUMBER($R128)),0,IF(OR($R128&lt;0,$R128&gt;4,$R128&lt;&gt;INT($R128)),0,$R128))+IF($S128="Passed",1,0)),IF(AND($F128&lt;&gt;Scales!$B$24,OR($F128=Scales!$B$27,$G128=Scales!$B$33)),3,4)))</f>
        <v/>
      </c>
      <c r="U128" s="13" t="str">
        <f>IF($O128="",IF(AND($B128&lt;&gt;"",$B128&lt;&gt;"Duplicate ID"),IF($J128="Config error","Config error","Incomplete assessment"),""),IF($T128&gt;=$O128,IF(LEFT($P128,4)="More","Own choice","None"),MID(IF(AND($O128&gt;MATCH($J128,Scales!$B$6:$B$10,0)-1,$N128&lt;&gt;"Yes",$T128=MATCH($J128,Scales!$B$6:$B$10,0)-1)," + Exception not approved","")&amp;IF(AND($F128&lt;&gt;Scales!$B$24,OR($F128=Scales!$B$27,$G128=Scales!$B$33),$T128=3)," + Human-signature guardrail","")&amp;IF($T128=$L128," + Model confidence","")&amp;IF($T128=IF($F128=Scales!$B$24,IF($S128="Passed",4,IF(NOT(ISNUMBER($R128)),0,IF(OR($R128&lt;0,$R128&gt;4,$R128&lt;&gt;INT($R128)),0,$R128))),IF(NOT(ISNUMBER($R128)),0,IF(OR($R128&lt;0,$R128&gt;4,$R128&lt;&gt;INT($R128)),0,$R128))+IF($S128="Passed",1,0))," + "&amp;IF($S128&lt;&gt;"Passed","Readiness gate","Readiness gate (one level per gate)"),""),4,200)))</f>
        <v/>
      </c>
      <c r="V128" s="23"/>
    </row>
    <row r="129" spans="1:22" x14ac:dyDescent="0.25">
      <c r="A129" s="8" t="s">
        <v>262</v>
      </c>
      <c r="B129" s="11" t="str">
        <f>IF($A129="","",IF(COUNTIF('Use cases'!$A$5:$A$34,$A129)&gt;1,"Duplicate ID",IFERROR(IF(VLOOKUP($A129,'Use cases'!$A$5:$B$34,2,FALSE())=0,"",VLOOKUP($A129,'Use cases'!$A$5:$B$34,2,FALSE())),"")))</f>
        <v/>
      </c>
      <c r="C129" s="12" t="str">
        <f>IF(OR($B129="",$B129="Duplicate ID"),"",IFERROR(VLOOKUP($A129,'Use cases'!$A$5:$C$34,3,FALSE()),""))</f>
        <v/>
      </c>
      <c r="D129" s="13" t="s">
        <v>123</v>
      </c>
      <c r="E129" s="23"/>
      <c r="F129" s="23"/>
      <c r="G129" s="24"/>
      <c r="H129" s="24"/>
      <c r="I129" s="13" t="str">
        <f>IF(OR($B129="",$B129="Duplicate ID"),"",IFERROR(VLOOKUP($A129,'Use cases'!$A$5:$E$34,5,FALSE()),""))</f>
        <v/>
      </c>
      <c r="J129" s="11" t="str">
        <f>IF(OR($B129="",$B129="Duplicate ID"),"",IF(OR($F129="",$G129=""),"",IF(Policy!$B$24&lt;&gt;"OK","Config error",IFERROR(INDEX(Scales!$B$6:$B$10,1+INDEX(Policy!$C$5:$E$16,MATCH($F129&amp;"|"&amp;$G129,Policy!$G$5:$G$16,0),MATCH($I129,Policy!$C$4:$E$4,0))),"Config error"))))</f>
        <v/>
      </c>
      <c r="K129" s="13" t="str">
        <f>IF($H129="","",IF($F129=Scales!$B$24,"exempt",IFERROR(IF(VLOOKUP($H129,Conf_Check,3,FALSE())="valid",VLOOKUP($H129,Conf_Adjust,2,FALSE()),"n/a"),"n/a")))</f>
        <v/>
      </c>
      <c r="L129" s="13" t="str">
        <f>IF(OR($J129="",$J129="Config error"),"",IF(OR($F129=Scales!$B$24,AND(ISNUMBER($K129),$K129=0)),4,IF(ISNUMBER($K129),MAX(1,MATCH($J129,Scales!$B$6:$B$10,0)-1+$K129),1)))</f>
        <v/>
      </c>
      <c r="M129" s="5"/>
      <c r="N129" s="5"/>
      <c r="O129" s="8" t="str">
        <f>IF(OR($J129="",$J129="Config error",$E129="",$F129="",$G129="",$H129="",$R129=""),"",IF($M129="",MATCH($J129,Scales!$B$6:$B$10,0),IFERROR(MATCH($M129,Scales!$B$6:$B$10,0),MATCH($J129,Scales!$B$6:$B$10,0)))-1)</f>
        <v/>
      </c>
      <c r="P129" s="12" t="str">
        <f>IF($J129="",IF(AND($B129&lt;&gt;"",$B129&lt;&gt;"Duplicate ID"),"Incomplete assessment",""),IF($J129="Config error","Config error",IF($O129="","Incomplete assessment",IF($M129="","As recommended",IF(ISERROR(MATCH($M129,Scales!$B$6:$B$10,0)),"Invalid choice",IF(MATCH($M129,Scales!$B$6:$B$10,0)&gt;MATCH($J129,Scales!$B$6:$B$10,0),"Above policy: needs sign-off",IF(MATCH($M129,Scales!$B$6:$B$10,0)&lt;MATCH($J129,Scales!$B$6:$B$10,0),"More cautious than policy","As recommended")))))))</f>
        <v/>
      </c>
      <c r="Q129" s="13" t="str">
        <f>IF(OR($O129="",Policy!$B$24&lt;&gt;"OK"),"",IFERROR(MIN($O129,INDEX(Policy!$C$5:$E$16,MATCH($F129&amp;"|"&amp;Scales!$B$33,Policy!$G$5:$G$16,0),MATCH($I129,Policy!$C$4:$E$4,0))),""))</f>
        <v/>
      </c>
      <c r="R129" s="5"/>
      <c r="S129" s="13" t="str">
        <f>IF($B129="","",IF(COUNTIF('Readiness gate'!$A$7:$A$36,$A129)&lt;&gt;1,"Incomplete",IFERROR(IF(VLOOKUP($A129,GateTab,IF($F129=Scales!$B$24,11,9),FALSE())="","Incomplete",VLOOKUP($A129,GateTab,IF($F129=Scales!$B$24,11,9),FALSE())),"Incomplete")))</f>
        <v/>
      </c>
      <c r="T129" s="8" t="str">
        <f>IF($O129="","",MIN(IF(AND($O129&gt;MATCH($J129,Scales!$B$6:$B$10,0)-1,$N129&lt;&gt;"Yes"),MATCH($J129,Scales!$B$6:$B$10,0)-1,$O129),$L129,IF($F129=Scales!$B$24,IF($S129="Passed",4,IF(NOT(ISNUMBER($R129)),0,IF(OR($R129&lt;0,$R129&gt;4,$R129&lt;&gt;INT($R129)),0,$R129))),IF(NOT(ISNUMBER($R129)),0,IF(OR($R129&lt;0,$R129&gt;4,$R129&lt;&gt;INT($R129)),0,$R129))+IF($S129="Passed",1,0)),IF(AND($F129&lt;&gt;Scales!$B$24,OR($F129=Scales!$B$27,$G129=Scales!$B$33)),3,4)))</f>
        <v/>
      </c>
      <c r="U129" s="13" t="str">
        <f>IF($O129="",IF(AND($B129&lt;&gt;"",$B129&lt;&gt;"Duplicate ID"),IF($J129="Config error","Config error","Incomplete assessment"),""),IF($T129&gt;=$O129,IF(LEFT($P129,4)="More","Own choice","None"),MID(IF(AND($O129&gt;MATCH($J129,Scales!$B$6:$B$10,0)-1,$N129&lt;&gt;"Yes",$T129=MATCH($J129,Scales!$B$6:$B$10,0)-1)," + Exception not approved","")&amp;IF(AND($F129&lt;&gt;Scales!$B$24,OR($F129=Scales!$B$27,$G129=Scales!$B$33),$T129=3)," + Human-signature guardrail","")&amp;IF($T129=$L129," + Model confidence","")&amp;IF($T129=IF($F129=Scales!$B$24,IF($S129="Passed",4,IF(NOT(ISNUMBER($R129)),0,IF(OR($R129&lt;0,$R129&gt;4,$R129&lt;&gt;INT($R129)),0,$R129))),IF(NOT(ISNUMBER($R129)),0,IF(OR($R129&lt;0,$R129&gt;4,$R129&lt;&gt;INT($R129)),0,$R129))+IF($S129="Passed",1,0))," + "&amp;IF($S129&lt;&gt;"Passed","Readiness gate","Readiness gate (one level per gate)"),""),4,200)))</f>
        <v/>
      </c>
      <c r="V129" s="23"/>
    </row>
    <row r="130" spans="1:22" x14ac:dyDescent="0.25">
      <c r="A130" s="8" t="s">
        <v>262</v>
      </c>
      <c r="B130" s="11" t="str">
        <f>IF($A130="","",IF(COUNTIF('Use cases'!$A$5:$A$34,$A130)&gt;1,"Duplicate ID",IFERROR(IF(VLOOKUP($A130,'Use cases'!$A$5:$B$34,2,FALSE())=0,"",VLOOKUP($A130,'Use cases'!$A$5:$B$34,2,FALSE())),"")))</f>
        <v/>
      </c>
      <c r="C130" s="12" t="str">
        <f>IF(OR($B130="",$B130="Duplicate ID"),"",IFERROR(VLOOKUP($A130,'Use cases'!$A$5:$C$34,3,FALSE()),""))</f>
        <v/>
      </c>
      <c r="D130" s="13" t="s">
        <v>125</v>
      </c>
      <c r="E130" s="23"/>
      <c r="F130" s="23"/>
      <c r="G130" s="24"/>
      <c r="H130" s="24"/>
      <c r="I130" s="13" t="str">
        <f>IF(OR($B130="",$B130="Duplicate ID"),"",IFERROR(VLOOKUP($A130,'Use cases'!$A$5:$E$34,5,FALSE()),""))</f>
        <v/>
      </c>
      <c r="J130" s="11" t="str">
        <f>IF(OR($B130="",$B130="Duplicate ID"),"",IF(OR($F130="",$G130=""),"",IF(Policy!$B$24&lt;&gt;"OK","Config error",IFERROR(INDEX(Scales!$B$6:$B$10,1+INDEX(Policy!$C$5:$E$16,MATCH($F130&amp;"|"&amp;$G130,Policy!$G$5:$G$16,0),MATCH($I130,Policy!$C$4:$E$4,0))),"Config error"))))</f>
        <v/>
      </c>
      <c r="K130" s="13" t="str">
        <f>IF($H130="","",IF($F130=Scales!$B$24,"exempt",IFERROR(IF(VLOOKUP($H130,Conf_Check,3,FALSE())="valid",VLOOKUP($H130,Conf_Adjust,2,FALSE()),"n/a"),"n/a")))</f>
        <v/>
      </c>
      <c r="L130" s="13" t="str">
        <f>IF(OR($J130="",$J130="Config error"),"",IF(OR($F130=Scales!$B$24,AND(ISNUMBER($K130),$K130=0)),4,IF(ISNUMBER($K130),MAX(1,MATCH($J130,Scales!$B$6:$B$10,0)-1+$K130),1)))</f>
        <v/>
      </c>
      <c r="M130" s="5"/>
      <c r="N130" s="5"/>
      <c r="O130" s="8" t="str">
        <f>IF(OR($J130="",$J130="Config error",$E130="",$F130="",$G130="",$H130="",$R130=""),"",IF($M130="",MATCH($J130,Scales!$B$6:$B$10,0),IFERROR(MATCH($M130,Scales!$B$6:$B$10,0),MATCH($J130,Scales!$B$6:$B$10,0)))-1)</f>
        <v/>
      </c>
      <c r="P130" s="12" t="str">
        <f>IF($J130="",IF(AND($B130&lt;&gt;"",$B130&lt;&gt;"Duplicate ID"),"Incomplete assessment",""),IF($J130="Config error","Config error",IF($O130="","Incomplete assessment",IF($M130="","As recommended",IF(ISERROR(MATCH($M130,Scales!$B$6:$B$10,0)),"Invalid choice",IF(MATCH($M130,Scales!$B$6:$B$10,0)&gt;MATCH($J130,Scales!$B$6:$B$10,0),"Above policy: needs sign-off",IF(MATCH($M130,Scales!$B$6:$B$10,0)&lt;MATCH($J130,Scales!$B$6:$B$10,0),"More cautious than policy","As recommended")))))))</f>
        <v/>
      </c>
      <c r="Q130" s="13" t="str">
        <f>IF(OR($O130="",Policy!$B$24&lt;&gt;"OK"),"",IFERROR(MIN($O130,INDEX(Policy!$C$5:$E$16,MATCH($F130&amp;"|"&amp;Scales!$B$33,Policy!$G$5:$G$16,0),MATCH($I130,Policy!$C$4:$E$4,0))),""))</f>
        <v/>
      </c>
      <c r="R130" s="5"/>
      <c r="S130" s="13" t="str">
        <f>IF($B130="","",IF(COUNTIF('Readiness gate'!$A$7:$A$36,$A130)&lt;&gt;1,"Incomplete",IFERROR(IF(VLOOKUP($A130,GateTab,IF($F130=Scales!$B$24,11,9),FALSE())="","Incomplete",VLOOKUP($A130,GateTab,IF($F130=Scales!$B$24,11,9),FALSE())),"Incomplete")))</f>
        <v/>
      </c>
      <c r="T130" s="8" t="str">
        <f>IF($O130="","",MIN(IF(AND($O130&gt;MATCH($J130,Scales!$B$6:$B$10,0)-1,$N130&lt;&gt;"Yes"),MATCH($J130,Scales!$B$6:$B$10,0)-1,$O130),$L130,IF($F130=Scales!$B$24,IF($S130="Passed",4,IF(NOT(ISNUMBER($R130)),0,IF(OR($R130&lt;0,$R130&gt;4,$R130&lt;&gt;INT($R130)),0,$R130))),IF(NOT(ISNUMBER($R130)),0,IF(OR($R130&lt;0,$R130&gt;4,$R130&lt;&gt;INT($R130)),0,$R130))+IF($S130="Passed",1,0)),IF(AND($F130&lt;&gt;Scales!$B$24,OR($F130=Scales!$B$27,$G130=Scales!$B$33)),3,4)))</f>
        <v/>
      </c>
      <c r="U130" s="13" t="str">
        <f>IF($O130="",IF(AND($B130&lt;&gt;"",$B130&lt;&gt;"Duplicate ID"),IF($J130="Config error","Config error","Incomplete assessment"),""),IF($T130&gt;=$O130,IF(LEFT($P130,4)="More","Own choice","None"),MID(IF(AND($O130&gt;MATCH($J130,Scales!$B$6:$B$10,0)-1,$N130&lt;&gt;"Yes",$T130=MATCH($J130,Scales!$B$6:$B$10,0)-1)," + Exception not approved","")&amp;IF(AND($F130&lt;&gt;Scales!$B$24,OR($F130=Scales!$B$27,$G130=Scales!$B$33),$T130=3)," + Human-signature guardrail","")&amp;IF($T130=$L130," + Model confidence","")&amp;IF($T130=IF($F130=Scales!$B$24,IF($S130="Passed",4,IF(NOT(ISNUMBER($R130)),0,IF(OR($R130&lt;0,$R130&gt;4,$R130&lt;&gt;INT($R130)),0,$R130))),IF(NOT(ISNUMBER($R130)),0,IF(OR($R130&lt;0,$R130&gt;4,$R130&lt;&gt;INT($R130)),0,$R130))+IF($S130="Passed",1,0))," + "&amp;IF($S130&lt;&gt;"Passed","Readiness gate","Readiness gate (one level per gate)"),""),4,200)))</f>
        <v/>
      </c>
      <c r="V130" s="23"/>
    </row>
    <row r="131" spans="1:22" x14ac:dyDescent="0.25">
      <c r="A131" s="8" t="s">
        <v>262</v>
      </c>
      <c r="B131" s="11" t="str">
        <f>IF($A131="","",IF(COUNTIF('Use cases'!$A$5:$A$34,$A131)&gt;1,"Duplicate ID",IFERROR(IF(VLOOKUP($A131,'Use cases'!$A$5:$B$34,2,FALSE())=0,"",VLOOKUP($A131,'Use cases'!$A$5:$B$34,2,FALSE())),"")))</f>
        <v/>
      </c>
      <c r="C131" s="12" t="str">
        <f>IF(OR($B131="",$B131="Duplicate ID"),"",IFERROR(VLOOKUP($A131,'Use cases'!$A$5:$C$34,3,FALSE()),""))</f>
        <v/>
      </c>
      <c r="D131" s="13" t="s">
        <v>127</v>
      </c>
      <c r="E131" s="23"/>
      <c r="F131" s="23"/>
      <c r="G131" s="24"/>
      <c r="H131" s="24"/>
      <c r="I131" s="13" t="str">
        <f>IF(OR($B131="",$B131="Duplicate ID"),"",IFERROR(VLOOKUP($A131,'Use cases'!$A$5:$E$34,5,FALSE()),""))</f>
        <v/>
      </c>
      <c r="J131" s="11" t="str">
        <f>IF(OR($B131="",$B131="Duplicate ID"),"",IF(OR($F131="",$G131=""),"",IF(Policy!$B$24&lt;&gt;"OK","Config error",IFERROR(INDEX(Scales!$B$6:$B$10,1+INDEX(Policy!$C$5:$E$16,MATCH($F131&amp;"|"&amp;$G131,Policy!$G$5:$G$16,0),MATCH($I131,Policy!$C$4:$E$4,0))),"Config error"))))</f>
        <v/>
      </c>
      <c r="K131" s="13" t="str">
        <f>IF($H131="","",IF($F131=Scales!$B$24,"exempt",IFERROR(IF(VLOOKUP($H131,Conf_Check,3,FALSE())="valid",VLOOKUP($H131,Conf_Adjust,2,FALSE()),"n/a"),"n/a")))</f>
        <v/>
      </c>
      <c r="L131" s="13" t="str">
        <f>IF(OR($J131="",$J131="Config error"),"",IF(OR($F131=Scales!$B$24,AND(ISNUMBER($K131),$K131=0)),4,IF(ISNUMBER($K131),MAX(1,MATCH($J131,Scales!$B$6:$B$10,0)-1+$K131),1)))</f>
        <v/>
      </c>
      <c r="M131" s="5"/>
      <c r="N131" s="5"/>
      <c r="O131" s="8" t="str">
        <f>IF(OR($J131="",$J131="Config error",$E131="",$F131="",$G131="",$H131="",$R131=""),"",IF($M131="",MATCH($J131,Scales!$B$6:$B$10,0),IFERROR(MATCH($M131,Scales!$B$6:$B$10,0),MATCH($J131,Scales!$B$6:$B$10,0)))-1)</f>
        <v/>
      </c>
      <c r="P131" s="12" t="str">
        <f>IF($J131="",IF(AND($B131&lt;&gt;"",$B131&lt;&gt;"Duplicate ID"),"Incomplete assessment",""),IF($J131="Config error","Config error",IF($O131="","Incomplete assessment",IF($M131="","As recommended",IF(ISERROR(MATCH($M131,Scales!$B$6:$B$10,0)),"Invalid choice",IF(MATCH($M131,Scales!$B$6:$B$10,0)&gt;MATCH($J131,Scales!$B$6:$B$10,0),"Above policy: needs sign-off",IF(MATCH($M131,Scales!$B$6:$B$10,0)&lt;MATCH($J131,Scales!$B$6:$B$10,0),"More cautious than policy","As recommended")))))))</f>
        <v/>
      </c>
      <c r="Q131" s="13" t="str">
        <f>IF(OR($O131="",Policy!$B$24&lt;&gt;"OK"),"",IFERROR(MIN($O131,INDEX(Policy!$C$5:$E$16,MATCH($F131&amp;"|"&amp;Scales!$B$33,Policy!$G$5:$G$16,0),MATCH($I131,Policy!$C$4:$E$4,0))),""))</f>
        <v/>
      </c>
      <c r="R131" s="5"/>
      <c r="S131" s="13" t="str">
        <f>IF($B131="","",IF(COUNTIF('Readiness gate'!$A$7:$A$36,$A131)&lt;&gt;1,"Incomplete",IFERROR(IF(VLOOKUP($A131,GateTab,IF($F131=Scales!$B$24,11,9),FALSE())="","Incomplete",VLOOKUP($A131,GateTab,IF($F131=Scales!$B$24,11,9),FALSE())),"Incomplete")))</f>
        <v/>
      </c>
      <c r="T131" s="8" t="str">
        <f>IF($O131="","",MIN(IF(AND($O131&gt;MATCH($J131,Scales!$B$6:$B$10,0)-1,$N131&lt;&gt;"Yes"),MATCH($J131,Scales!$B$6:$B$10,0)-1,$O131),$L131,IF($F131=Scales!$B$24,IF($S131="Passed",4,IF(NOT(ISNUMBER($R131)),0,IF(OR($R131&lt;0,$R131&gt;4,$R131&lt;&gt;INT($R131)),0,$R131))),IF(NOT(ISNUMBER($R131)),0,IF(OR($R131&lt;0,$R131&gt;4,$R131&lt;&gt;INT($R131)),0,$R131))+IF($S131="Passed",1,0)),IF(AND($F131&lt;&gt;Scales!$B$24,OR($F131=Scales!$B$27,$G131=Scales!$B$33)),3,4)))</f>
        <v/>
      </c>
      <c r="U131" s="13" t="str">
        <f>IF($O131="",IF(AND($B131&lt;&gt;"",$B131&lt;&gt;"Duplicate ID"),IF($J131="Config error","Config error","Incomplete assessment"),""),IF($T131&gt;=$O131,IF(LEFT($P131,4)="More","Own choice","None"),MID(IF(AND($O131&gt;MATCH($J131,Scales!$B$6:$B$10,0)-1,$N131&lt;&gt;"Yes",$T131=MATCH($J131,Scales!$B$6:$B$10,0)-1)," + Exception not approved","")&amp;IF(AND($F131&lt;&gt;Scales!$B$24,OR($F131=Scales!$B$27,$G131=Scales!$B$33),$T131=3)," + Human-signature guardrail","")&amp;IF($T131=$L131," + Model confidence","")&amp;IF($T131=IF($F131=Scales!$B$24,IF($S131="Passed",4,IF(NOT(ISNUMBER($R131)),0,IF(OR($R131&lt;0,$R131&gt;4,$R131&lt;&gt;INT($R131)),0,$R131))),IF(NOT(ISNUMBER($R131)),0,IF(OR($R131&lt;0,$R131&gt;4,$R131&lt;&gt;INT($R131)),0,$R131))+IF($S131="Passed",1,0))," + "&amp;IF($S131&lt;&gt;"Passed","Readiness gate","Readiness gate (one level per gate)"),""),4,200)))</f>
        <v/>
      </c>
      <c r="V131" s="23"/>
    </row>
    <row r="132" spans="1:22" x14ac:dyDescent="0.25">
      <c r="A132" s="8" t="s">
        <v>263</v>
      </c>
      <c r="B132" s="11" t="str">
        <f>IF($A132="","",IF(COUNTIF('Use cases'!$A$5:$A$34,$A132)&gt;1,"Duplicate ID",IFERROR(IF(VLOOKUP($A132,'Use cases'!$A$5:$B$34,2,FALSE())=0,"",VLOOKUP($A132,'Use cases'!$A$5:$B$34,2,FALSE())),"")))</f>
        <v/>
      </c>
      <c r="C132" s="12" t="str">
        <f>IF(OR($B132="",$B132="Duplicate ID"),"",IFERROR(VLOOKUP($A132,'Use cases'!$A$5:$C$34,3,FALSE()),""))</f>
        <v/>
      </c>
      <c r="D132" s="13" t="s">
        <v>112</v>
      </c>
      <c r="E132" s="23"/>
      <c r="F132" s="23"/>
      <c r="G132" s="24"/>
      <c r="H132" s="24"/>
      <c r="I132" s="13" t="str">
        <f>IF(OR($B132="",$B132="Duplicate ID"),"",IFERROR(VLOOKUP($A132,'Use cases'!$A$5:$E$34,5,FALSE()),""))</f>
        <v/>
      </c>
      <c r="J132" s="11" t="str">
        <f>IF(OR($B132="",$B132="Duplicate ID"),"",IF(OR($F132="",$G132=""),"",IF(Policy!$B$24&lt;&gt;"OK","Config error",IFERROR(INDEX(Scales!$B$6:$B$10,1+INDEX(Policy!$C$5:$E$16,MATCH($F132&amp;"|"&amp;$G132,Policy!$G$5:$G$16,0),MATCH($I132,Policy!$C$4:$E$4,0))),"Config error"))))</f>
        <v/>
      </c>
      <c r="K132" s="13" t="str">
        <f>IF($H132="","",IF($F132=Scales!$B$24,"exempt",IFERROR(IF(VLOOKUP($H132,Conf_Check,3,FALSE())="valid",VLOOKUP($H132,Conf_Adjust,2,FALSE()),"n/a"),"n/a")))</f>
        <v/>
      </c>
      <c r="L132" s="13" t="str">
        <f>IF(OR($J132="",$J132="Config error"),"",IF(OR($F132=Scales!$B$24,AND(ISNUMBER($K132),$K132=0)),4,IF(ISNUMBER($K132),MAX(1,MATCH($J132,Scales!$B$6:$B$10,0)-1+$K132),1)))</f>
        <v/>
      </c>
      <c r="M132" s="5"/>
      <c r="N132" s="5"/>
      <c r="O132" s="8" t="str">
        <f>IF(OR($J132="",$J132="Config error",$E132="",$F132="",$G132="",$H132="",$R132=""),"",IF($M132="",MATCH($J132,Scales!$B$6:$B$10,0),IFERROR(MATCH($M132,Scales!$B$6:$B$10,0),MATCH($J132,Scales!$B$6:$B$10,0)))-1)</f>
        <v/>
      </c>
      <c r="P132" s="12" t="str">
        <f>IF($J132="",IF(AND($B132&lt;&gt;"",$B132&lt;&gt;"Duplicate ID"),"Incomplete assessment",""),IF($J132="Config error","Config error",IF($O132="","Incomplete assessment",IF($M132="","As recommended",IF(ISERROR(MATCH($M132,Scales!$B$6:$B$10,0)),"Invalid choice",IF(MATCH($M132,Scales!$B$6:$B$10,0)&gt;MATCH($J132,Scales!$B$6:$B$10,0),"Above policy: needs sign-off",IF(MATCH($M132,Scales!$B$6:$B$10,0)&lt;MATCH($J132,Scales!$B$6:$B$10,0),"More cautious than policy","As recommended")))))))</f>
        <v/>
      </c>
      <c r="Q132" s="13" t="str">
        <f>IF(OR($O132="",Policy!$B$24&lt;&gt;"OK"),"",IFERROR(MIN($O132,INDEX(Policy!$C$5:$E$16,MATCH($F132&amp;"|"&amp;Scales!$B$33,Policy!$G$5:$G$16,0),MATCH($I132,Policy!$C$4:$E$4,0))),""))</f>
        <v/>
      </c>
      <c r="R132" s="5"/>
      <c r="S132" s="13" t="str">
        <f>IF($B132="","",IF(COUNTIF('Readiness gate'!$A$7:$A$36,$A132)&lt;&gt;1,"Incomplete",IFERROR(IF(VLOOKUP($A132,GateTab,IF($F132=Scales!$B$24,11,9),FALSE())="","Incomplete",VLOOKUP($A132,GateTab,IF($F132=Scales!$B$24,11,9),FALSE())),"Incomplete")))</f>
        <v/>
      </c>
      <c r="T132" s="8" t="str">
        <f>IF($O132="","",MIN(IF(AND($O132&gt;MATCH($J132,Scales!$B$6:$B$10,0)-1,$N132&lt;&gt;"Yes"),MATCH($J132,Scales!$B$6:$B$10,0)-1,$O132),$L132,IF($F132=Scales!$B$24,IF($S132="Passed",4,IF(NOT(ISNUMBER($R132)),0,IF(OR($R132&lt;0,$R132&gt;4,$R132&lt;&gt;INT($R132)),0,$R132))),IF(NOT(ISNUMBER($R132)),0,IF(OR($R132&lt;0,$R132&gt;4,$R132&lt;&gt;INT($R132)),0,$R132))+IF($S132="Passed",1,0)),IF(AND($F132&lt;&gt;Scales!$B$24,OR($F132=Scales!$B$27,$G132=Scales!$B$33)),3,4)))</f>
        <v/>
      </c>
      <c r="U132" s="13" t="str">
        <f>IF($O132="",IF(AND($B132&lt;&gt;"",$B132&lt;&gt;"Duplicate ID"),IF($J132="Config error","Config error","Incomplete assessment"),""),IF($T132&gt;=$O132,IF(LEFT($P132,4)="More","Own choice","None"),MID(IF(AND($O132&gt;MATCH($J132,Scales!$B$6:$B$10,0)-1,$N132&lt;&gt;"Yes",$T132=MATCH($J132,Scales!$B$6:$B$10,0)-1)," + Exception not approved","")&amp;IF(AND($F132&lt;&gt;Scales!$B$24,OR($F132=Scales!$B$27,$G132=Scales!$B$33),$T132=3)," + Human-signature guardrail","")&amp;IF($T132=$L132," + Model confidence","")&amp;IF($T132=IF($F132=Scales!$B$24,IF($S132="Passed",4,IF(NOT(ISNUMBER($R132)),0,IF(OR($R132&lt;0,$R132&gt;4,$R132&lt;&gt;INT($R132)),0,$R132))),IF(NOT(ISNUMBER($R132)),0,IF(OR($R132&lt;0,$R132&gt;4,$R132&lt;&gt;INT($R132)),0,$R132))+IF($S132="Passed",1,0))," + "&amp;IF($S132&lt;&gt;"Passed","Readiness gate","Readiness gate (one level per gate)"),""),4,200)))</f>
        <v/>
      </c>
      <c r="V132" s="23"/>
    </row>
    <row r="133" spans="1:22" x14ac:dyDescent="0.25">
      <c r="A133" s="8" t="s">
        <v>263</v>
      </c>
      <c r="B133" s="11" t="str">
        <f>IF($A133="","",IF(COUNTIF('Use cases'!$A$5:$A$34,$A133)&gt;1,"Duplicate ID",IFERROR(IF(VLOOKUP($A133,'Use cases'!$A$5:$B$34,2,FALSE())=0,"",VLOOKUP($A133,'Use cases'!$A$5:$B$34,2,FALSE())),"")))</f>
        <v/>
      </c>
      <c r="C133" s="12" t="str">
        <f>IF(OR($B133="",$B133="Duplicate ID"),"",IFERROR(VLOOKUP($A133,'Use cases'!$A$5:$C$34,3,FALSE()),""))</f>
        <v/>
      </c>
      <c r="D133" s="13" t="s">
        <v>117</v>
      </c>
      <c r="E133" s="23"/>
      <c r="F133" s="23"/>
      <c r="G133" s="24"/>
      <c r="H133" s="24"/>
      <c r="I133" s="13" t="str">
        <f>IF(OR($B133="",$B133="Duplicate ID"),"",IFERROR(VLOOKUP($A133,'Use cases'!$A$5:$E$34,5,FALSE()),""))</f>
        <v/>
      </c>
      <c r="J133" s="11" t="str">
        <f>IF(OR($B133="",$B133="Duplicate ID"),"",IF(OR($F133="",$G133=""),"",IF(Policy!$B$24&lt;&gt;"OK","Config error",IFERROR(INDEX(Scales!$B$6:$B$10,1+INDEX(Policy!$C$5:$E$16,MATCH($F133&amp;"|"&amp;$G133,Policy!$G$5:$G$16,0),MATCH($I133,Policy!$C$4:$E$4,0))),"Config error"))))</f>
        <v/>
      </c>
      <c r="K133" s="13" t="str">
        <f>IF($H133="","",IF($F133=Scales!$B$24,"exempt",IFERROR(IF(VLOOKUP($H133,Conf_Check,3,FALSE())="valid",VLOOKUP($H133,Conf_Adjust,2,FALSE()),"n/a"),"n/a")))</f>
        <v/>
      </c>
      <c r="L133" s="13" t="str">
        <f>IF(OR($J133="",$J133="Config error"),"",IF(OR($F133=Scales!$B$24,AND(ISNUMBER($K133),$K133=0)),4,IF(ISNUMBER($K133),MAX(1,MATCH($J133,Scales!$B$6:$B$10,0)-1+$K133),1)))</f>
        <v/>
      </c>
      <c r="M133" s="5"/>
      <c r="N133" s="5"/>
      <c r="O133" s="8" t="str">
        <f>IF(OR($J133="",$J133="Config error",$E133="",$F133="",$G133="",$H133="",$R133=""),"",IF($M133="",MATCH($J133,Scales!$B$6:$B$10,0),IFERROR(MATCH($M133,Scales!$B$6:$B$10,0),MATCH($J133,Scales!$B$6:$B$10,0)))-1)</f>
        <v/>
      </c>
      <c r="P133" s="12" t="str">
        <f>IF($J133="",IF(AND($B133&lt;&gt;"",$B133&lt;&gt;"Duplicate ID"),"Incomplete assessment",""),IF($J133="Config error","Config error",IF($O133="","Incomplete assessment",IF($M133="","As recommended",IF(ISERROR(MATCH($M133,Scales!$B$6:$B$10,0)),"Invalid choice",IF(MATCH($M133,Scales!$B$6:$B$10,0)&gt;MATCH($J133,Scales!$B$6:$B$10,0),"Above policy: needs sign-off",IF(MATCH($M133,Scales!$B$6:$B$10,0)&lt;MATCH($J133,Scales!$B$6:$B$10,0),"More cautious than policy","As recommended")))))))</f>
        <v/>
      </c>
      <c r="Q133" s="13" t="str">
        <f>IF(OR($O133="",Policy!$B$24&lt;&gt;"OK"),"",IFERROR(MIN($O133,INDEX(Policy!$C$5:$E$16,MATCH($F133&amp;"|"&amp;Scales!$B$33,Policy!$G$5:$G$16,0),MATCH($I133,Policy!$C$4:$E$4,0))),""))</f>
        <v/>
      </c>
      <c r="R133" s="5"/>
      <c r="S133" s="13" t="str">
        <f>IF($B133="","",IF(COUNTIF('Readiness gate'!$A$7:$A$36,$A133)&lt;&gt;1,"Incomplete",IFERROR(IF(VLOOKUP($A133,GateTab,IF($F133=Scales!$B$24,11,9),FALSE())="","Incomplete",VLOOKUP($A133,GateTab,IF($F133=Scales!$B$24,11,9),FALSE())),"Incomplete")))</f>
        <v/>
      </c>
      <c r="T133" s="8" t="str">
        <f>IF($O133="","",MIN(IF(AND($O133&gt;MATCH($J133,Scales!$B$6:$B$10,0)-1,$N133&lt;&gt;"Yes"),MATCH($J133,Scales!$B$6:$B$10,0)-1,$O133),$L133,IF($F133=Scales!$B$24,IF($S133="Passed",4,IF(NOT(ISNUMBER($R133)),0,IF(OR($R133&lt;0,$R133&gt;4,$R133&lt;&gt;INT($R133)),0,$R133))),IF(NOT(ISNUMBER($R133)),0,IF(OR($R133&lt;0,$R133&gt;4,$R133&lt;&gt;INT($R133)),0,$R133))+IF($S133="Passed",1,0)),IF(AND($F133&lt;&gt;Scales!$B$24,OR($F133=Scales!$B$27,$G133=Scales!$B$33)),3,4)))</f>
        <v/>
      </c>
      <c r="U133" s="13" t="str">
        <f>IF($O133="",IF(AND($B133&lt;&gt;"",$B133&lt;&gt;"Duplicate ID"),IF($J133="Config error","Config error","Incomplete assessment"),""),IF($T133&gt;=$O133,IF(LEFT($P133,4)="More","Own choice","None"),MID(IF(AND($O133&gt;MATCH($J133,Scales!$B$6:$B$10,0)-1,$N133&lt;&gt;"Yes",$T133=MATCH($J133,Scales!$B$6:$B$10,0)-1)," + Exception not approved","")&amp;IF(AND($F133&lt;&gt;Scales!$B$24,OR($F133=Scales!$B$27,$G133=Scales!$B$33),$T133=3)," + Human-signature guardrail","")&amp;IF($T133=$L133," + Model confidence","")&amp;IF($T133=IF($F133=Scales!$B$24,IF($S133="Passed",4,IF(NOT(ISNUMBER($R133)),0,IF(OR($R133&lt;0,$R133&gt;4,$R133&lt;&gt;INT($R133)),0,$R133))),IF(NOT(ISNUMBER($R133)),0,IF(OR($R133&lt;0,$R133&gt;4,$R133&lt;&gt;INT($R133)),0,$R133))+IF($S133="Passed",1,0))," + "&amp;IF($S133&lt;&gt;"Passed","Readiness gate","Readiness gate (one level per gate)"),""),4,200)))</f>
        <v/>
      </c>
      <c r="V133" s="23"/>
    </row>
    <row r="134" spans="1:22" x14ac:dyDescent="0.25">
      <c r="A134" s="8" t="s">
        <v>263</v>
      </c>
      <c r="B134" s="11" t="str">
        <f>IF($A134="","",IF(COUNTIF('Use cases'!$A$5:$A$34,$A134)&gt;1,"Duplicate ID",IFERROR(IF(VLOOKUP($A134,'Use cases'!$A$5:$B$34,2,FALSE())=0,"",VLOOKUP($A134,'Use cases'!$A$5:$B$34,2,FALSE())),"")))</f>
        <v/>
      </c>
      <c r="C134" s="12" t="str">
        <f>IF(OR($B134="",$B134="Duplicate ID"),"",IFERROR(VLOOKUP($A134,'Use cases'!$A$5:$C$34,3,FALSE()),""))</f>
        <v/>
      </c>
      <c r="D134" s="13" t="s">
        <v>120</v>
      </c>
      <c r="E134" s="23"/>
      <c r="F134" s="23"/>
      <c r="G134" s="24"/>
      <c r="H134" s="24"/>
      <c r="I134" s="13" t="str">
        <f>IF(OR($B134="",$B134="Duplicate ID"),"",IFERROR(VLOOKUP($A134,'Use cases'!$A$5:$E$34,5,FALSE()),""))</f>
        <v/>
      </c>
      <c r="J134" s="11" t="str">
        <f>IF(OR($B134="",$B134="Duplicate ID"),"",IF(OR($F134="",$G134=""),"",IF(Policy!$B$24&lt;&gt;"OK","Config error",IFERROR(INDEX(Scales!$B$6:$B$10,1+INDEX(Policy!$C$5:$E$16,MATCH($F134&amp;"|"&amp;$G134,Policy!$G$5:$G$16,0),MATCH($I134,Policy!$C$4:$E$4,0))),"Config error"))))</f>
        <v/>
      </c>
      <c r="K134" s="13" t="str">
        <f>IF($H134="","",IF($F134=Scales!$B$24,"exempt",IFERROR(IF(VLOOKUP($H134,Conf_Check,3,FALSE())="valid",VLOOKUP($H134,Conf_Adjust,2,FALSE()),"n/a"),"n/a")))</f>
        <v/>
      </c>
      <c r="L134" s="13" t="str">
        <f>IF(OR($J134="",$J134="Config error"),"",IF(OR($F134=Scales!$B$24,AND(ISNUMBER($K134),$K134=0)),4,IF(ISNUMBER($K134),MAX(1,MATCH($J134,Scales!$B$6:$B$10,0)-1+$K134),1)))</f>
        <v/>
      </c>
      <c r="M134" s="5"/>
      <c r="N134" s="5"/>
      <c r="O134" s="8" t="str">
        <f>IF(OR($J134="",$J134="Config error",$E134="",$F134="",$G134="",$H134="",$R134=""),"",IF($M134="",MATCH($J134,Scales!$B$6:$B$10,0),IFERROR(MATCH($M134,Scales!$B$6:$B$10,0),MATCH($J134,Scales!$B$6:$B$10,0)))-1)</f>
        <v/>
      </c>
      <c r="P134" s="12" t="str">
        <f>IF($J134="",IF(AND($B134&lt;&gt;"",$B134&lt;&gt;"Duplicate ID"),"Incomplete assessment",""),IF($J134="Config error","Config error",IF($O134="","Incomplete assessment",IF($M134="","As recommended",IF(ISERROR(MATCH($M134,Scales!$B$6:$B$10,0)),"Invalid choice",IF(MATCH($M134,Scales!$B$6:$B$10,0)&gt;MATCH($J134,Scales!$B$6:$B$10,0),"Above policy: needs sign-off",IF(MATCH($M134,Scales!$B$6:$B$10,0)&lt;MATCH($J134,Scales!$B$6:$B$10,0),"More cautious than policy","As recommended")))))))</f>
        <v/>
      </c>
      <c r="Q134" s="13" t="str">
        <f>IF(OR($O134="",Policy!$B$24&lt;&gt;"OK"),"",IFERROR(MIN($O134,INDEX(Policy!$C$5:$E$16,MATCH($F134&amp;"|"&amp;Scales!$B$33,Policy!$G$5:$G$16,0),MATCH($I134,Policy!$C$4:$E$4,0))),""))</f>
        <v/>
      </c>
      <c r="R134" s="5"/>
      <c r="S134" s="13" t="str">
        <f>IF($B134="","",IF(COUNTIF('Readiness gate'!$A$7:$A$36,$A134)&lt;&gt;1,"Incomplete",IFERROR(IF(VLOOKUP($A134,GateTab,IF($F134=Scales!$B$24,11,9),FALSE())="","Incomplete",VLOOKUP($A134,GateTab,IF($F134=Scales!$B$24,11,9),FALSE())),"Incomplete")))</f>
        <v/>
      </c>
      <c r="T134" s="8" t="str">
        <f>IF($O134="","",MIN(IF(AND($O134&gt;MATCH($J134,Scales!$B$6:$B$10,0)-1,$N134&lt;&gt;"Yes"),MATCH($J134,Scales!$B$6:$B$10,0)-1,$O134),$L134,IF($F134=Scales!$B$24,IF($S134="Passed",4,IF(NOT(ISNUMBER($R134)),0,IF(OR($R134&lt;0,$R134&gt;4,$R134&lt;&gt;INT($R134)),0,$R134))),IF(NOT(ISNUMBER($R134)),0,IF(OR($R134&lt;0,$R134&gt;4,$R134&lt;&gt;INT($R134)),0,$R134))+IF($S134="Passed",1,0)),IF(AND($F134&lt;&gt;Scales!$B$24,OR($F134=Scales!$B$27,$G134=Scales!$B$33)),3,4)))</f>
        <v/>
      </c>
      <c r="U134" s="13" t="str">
        <f>IF($O134="",IF(AND($B134&lt;&gt;"",$B134&lt;&gt;"Duplicate ID"),IF($J134="Config error","Config error","Incomplete assessment"),""),IF($T134&gt;=$O134,IF(LEFT($P134,4)="More","Own choice","None"),MID(IF(AND($O134&gt;MATCH($J134,Scales!$B$6:$B$10,0)-1,$N134&lt;&gt;"Yes",$T134=MATCH($J134,Scales!$B$6:$B$10,0)-1)," + Exception not approved","")&amp;IF(AND($F134&lt;&gt;Scales!$B$24,OR($F134=Scales!$B$27,$G134=Scales!$B$33),$T134=3)," + Human-signature guardrail","")&amp;IF($T134=$L134," + Model confidence","")&amp;IF($T134=IF($F134=Scales!$B$24,IF($S134="Passed",4,IF(NOT(ISNUMBER($R134)),0,IF(OR($R134&lt;0,$R134&gt;4,$R134&lt;&gt;INT($R134)),0,$R134))),IF(NOT(ISNUMBER($R134)),0,IF(OR($R134&lt;0,$R134&gt;4,$R134&lt;&gt;INT($R134)),0,$R134))+IF($S134="Passed",1,0))," + "&amp;IF($S134&lt;&gt;"Passed","Readiness gate","Readiness gate (one level per gate)"),""),4,200)))</f>
        <v/>
      </c>
      <c r="V134" s="23"/>
    </row>
    <row r="135" spans="1:22" x14ac:dyDescent="0.25">
      <c r="A135" s="8" t="s">
        <v>263</v>
      </c>
      <c r="B135" s="11" t="str">
        <f>IF($A135="","",IF(COUNTIF('Use cases'!$A$5:$A$34,$A135)&gt;1,"Duplicate ID",IFERROR(IF(VLOOKUP($A135,'Use cases'!$A$5:$B$34,2,FALSE())=0,"",VLOOKUP($A135,'Use cases'!$A$5:$B$34,2,FALSE())),"")))</f>
        <v/>
      </c>
      <c r="C135" s="12" t="str">
        <f>IF(OR($B135="",$B135="Duplicate ID"),"",IFERROR(VLOOKUP($A135,'Use cases'!$A$5:$C$34,3,FALSE()),""))</f>
        <v/>
      </c>
      <c r="D135" s="13" t="s">
        <v>123</v>
      </c>
      <c r="E135" s="23"/>
      <c r="F135" s="23"/>
      <c r="G135" s="24"/>
      <c r="H135" s="24"/>
      <c r="I135" s="13" t="str">
        <f>IF(OR($B135="",$B135="Duplicate ID"),"",IFERROR(VLOOKUP($A135,'Use cases'!$A$5:$E$34,5,FALSE()),""))</f>
        <v/>
      </c>
      <c r="J135" s="11" t="str">
        <f>IF(OR($B135="",$B135="Duplicate ID"),"",IF(OR($F135="",$G135=""),"",IF(Policy!$B$24&lt;&gt;"OK","Config error",IFERROR(INDEX(Scales!$B$6:$B$10,1+INDEX(Policy!$C$5:$E$16,MATCH($F135&amp;"|"&amp;$G135,Policy!$G$5:$G$16,0),MATCH($I135,Policy!$C$4:$E$4,0))),"Config error"))))</f>
        <v/>
      </c>
      <c r="K135" s="13" t="str">
        <f>IF($H135="","",IF($F135=Scales!$B$24,"exempt",IFERROR(IF(VLOOKUP($H135,Conf_Check,3,FALSE())="valid",VLOOKUP($H135,Conf_Adjust,2,FALSE()),"n/a"),"n/a")))</f>
        <v/>
      </c>
      <c r="L135" s="13" t="str">
        <f>IF(OR($J135="",$J135="Config error"),"",IF(OR($F135=Scales!$B$24,AND(ISNUMBER($K135),$K135=0)),4,IF(ISNUMBER($K135),MAX(1,MATCH($J135,Scales!$B$6:$B$10,0)-1+$K135),1)))</f>
        <v/>
      </c>
      <c r="M135" s="5"/>
      <c r="N135" s="5"/>
      <c r="O135" s="8" t="str">
        <f>IF(OR($J135="",$J135="Config error",$E135="",$F135="",$G135="",$H135="",$R135=""),"",IF($M135="",MATCH($J135,Scales!$B$6:$B$10,0),IFERROR(MATCH($M135,Scales!$B$6:$B$10,0),MATCH($J135,Scales!$B$6:$B$10,0)))-1)</f>
        <v/>
      </c>
      <c r="P135" s="12" t="str">
        <f>IF($J135="",IF(AND($B135&lt;&gt;"",$B135&lt;&gt;"Duplicate ID"),"Incomplete assessment",""),IF($J135="Config error","Config error",IF($O135="","Incomplete assessment",IF($M135="","As recommended",IF(ISERROR(MATCH($M135,Scales!$B$6:$B$10,0)),"Invalid choice",IF(MATCH($M135,Scales!$B$6:$B$10,0)&gt;MATCH($J135,Scales!$B$6:$B$10,0),"Above policy: needs sign-off",IF(MATCH($M135,Scales!$B$6:$B$10,0)&lt;MATCH($J135,Scales!$B$6:$B$10,0),"More cautious than policy","As recommended")))))))</f>
        <v/>
      </c>
      <c r="Q135" s="13" t="str">
        <f>IF(OR($O135="",Policy!$B$24&lt;&gt;"OK"),"",IFERROR(MIN($O135,INDEX(Policy!$C$5:$E$16,MATCH($F135&amp;"|"&amp;Scales!$B$33,Policy!$G$5:$G$16,0),MATCH($I135,Policy!$C$4:$E$4,0))),""))</f>
        <v/>
      </c>
      <c r="R135" s="5"/>
      <c r="S135" s="13" t="str">
        <f>IF($B135="","",IF(COUNTIF('Readiness gate'!$A$7:$A$36,$A135)&lt;&gt;1,"Incomplete",IFERROR(IF(VLOOKUP($A135,GateTab,IF($F135=Scales!$B$24,11,9),FALSE())="","Incomplete",VLOOKUP($A135,GateTab,IF($F135=Scales!$B$24,11,9),FALSE())),"Incomplete")))</f>
        <v/>
      </c>
      <c r="T135" s="8" t="str">
        <f>IF($O135="","",MIN(IF(AND($O135&gt;MATCH($J135,Scales!$B$6:$B$10,0)-1,$N135&lt;&gt;"Yes"),MATCH($J135,Scales!$B$6:$B$10,0)-1,$O135),$L135,IF($F135=Scales!$B$24,IF($S135="Passed",4,IF(NOT(ISNUMBER($R135)),0,IF(OR($R135&lt;0,$R135&gt;4,$R135&lt;&gt;INT($R135)),0,$R135))),IF(NOT(ISNUMBER($R135)),0,IF(OR($R135&lt;0,$R135&gt;4,$R135&lt;&gt;INT($R135)),0,$R135))+IF($S135="Passed",1,0)),IF(AND($F135&lt;&gt;Scales!$B$24,OR($F135=Scales!$B$27,$G135=Scales!$B$33)),3,4)))</f>
        <v/>
      </c>
      <c r="U135" s="13" t="str">
        <f>IF($O135="",IF(AND($B135&lt;&gt;"",$B135&lt;&gt;"Duplicate ID"),IF($J135="Config error","Config error","Incomplete assessment"),""),IF($T135&gt;=$O135,IF(LEFT($P135,4)="More","Own choice","None"),MID(IF(AND($O135&gt;MATCH($J135,Scales!$B$6:$B$10,0)-1,$N135&lt;&gt;"Yes",$T135=MATCH($J135,Scales!$B$6:$B$10,0)-1)," + Exception not approved","")&amp;IF(AND($F135&lt;&gt;Scales!$B$24,OR($F135=Scales!$B$27,$G135=Scales!$B$33),$T135=3)," + Human-signature guardrail","")&amp;IF($T135=$L135," + Model confidence","")&amp;IF($T135=IF($F135=Scales!$B$24,IF($S135="Passed",4,IF(NOT(ISNUMBER($R135)),0,IF(OR($R135&lt;0,$R135&gt;4,$R135&lt;&gt;INT($R135)),0,$R135))),IF(NOT(ISNUMBER($R135)),0,IF(OR($R135&lt;0,$R135&gt;4,$R135&lt;&gt;INT($R135)),0,$R135))+IF($S135="Passed",1,0))," + "&amp;IF($S135&lt;&gt;"Passed","Readiness gate","Readiness gate (one level per gate)"),""),4,200)))</f>
        <v/>
      </c>
      <c r="V135" s="23"/>
    </row>
    <row r="136" spans="1:22" x14ac:dyDescent="0.25">
      <c r="A136" s="8" t="s">
        <v>263</v>
      </c>
      <c r="B136" s="11" t="str">
        <f>IF($A136="","",IF(COUNTIF('Use cases'!$A$5:$A$34,$A136)&gt;1,"Duplicate ID",IFERROR(IF(VLOOKUP($A136,'Use cases'!$A$5:$B$34,2,FALSE())=0,"",VLOOKUP($A136,'Use cases'!$A$5:$B$34,2,FALSE())),"")))</f>
        <v/>
      </c>
      <c r="C136" s="12" t="str">
        <f>IF(OR($B136="",$B136="Duplicate ID"),"",IFERROR(VLOOKUP($A136,'Use cases'!$A$5:$C$34,3,FALSE()),""))</f>
        <v/>
      </c>
      <c r="D136" s="13" t="s">
        <v>125</v>
      </c>
      <c r="E136" s="23"/>
      <c r="F136" s="23"/>
      <c r="G136" s="24"/>
      <c r="H136" s="24"/>
      <c r="I136" s="13" t="str">
        <f>IF(OR($B136="",$B136="Duplicate ID"),"",IFERROR(VLOOKUP($A136,'Use cases'!$A$5:$E$34,5,FALSE()),""))</f>
        <v/>
      </c>
      <c r="J136" s="11" t="str">
        <f>IF(OR($B136="",$B136="Duplicate ID"),"",IF(OR($F136="",$G136=""),"",IF(Policy!$B$24&lt;&gt;"OK","Config error",IFERROR(INDEX(Scales!$B$6:$B$10,1+INDEX(Policy!$C$5:$E$16,MATCH($F136&amp;"|"&amp;$G136,Policy!$G$5:$G$16,0),MATCH($I136,Policy!$C$4:$E$4,0))),"Config error"))))</f>
        <v/>
      </c>
      <c r="K136" s="13" t="str">
        <f>IF($H136="","",IF($F136=Scales!$B$24,"exempt",IFERROR(IF(VLOOKUP($H136,Conf_Check,3,FALSE())="valid",VLOOKUP($H136,Conf_Adjust,2,FALSE()),"n/a"),"n/a")))</f>
        <v/>
      </c>
      <c r="L136" s="13" t="str">
        <f>IF(OR($J136="",$J136="Config error"),"",IF(OR($F136=Scales!$B$24,AND(ISNUMBER($K136),$K136=0)),4,IF(ISNUMBER($K136),MAX(1,MATCH($J136,Scales!$B$6:$B$10,0)-1+$K136),1)))</f>
        <v/>
      </c>
      <c r="M136" s="5"/>
      <c r="N136" s="5"/>
      <c r="O136" s="8" t="str">
        <f>IF(OR($J136="",$J136="Config error",$E136="",$F136="",$G136="",$H136="",$R136=""),"",IF($M136="",MATCH($J136,Scales!$B$6:$B$10,0),IFERROR(MATCH($M136,Scales!$B$6:$B$10,0),MATCH($J136,Scales!$B$6:$B$10,0)))-1)</f>
        <v/>
      </c>
      <c r="P136" s="12" t="str">
        <f>IF($J136="",IF(AND($B136&lt;&gt;"",$B136&lt;&gt;"Duplicate ID"),"Incomplete assessment",""),IF($J136="Config error","Config error",IF($O136="","Incomplete assessment",IF($M136="","As recommended",IF(ISERROR(MATCH($M136,Scales!$B$6:$B$10,0)),"Invalid choice",IF(MATCH($M136,Scales!$B$6:$B$10,0)&gt;MATCH($J136,Scales!$B$6:$B$10,0),"Above policy: needs sign-off",IF(MATCH($M136,Scales!$B$6:$B$10,0)&lt;MATCH($J136,Scales!$B$6:$B$10,0),"More cautious than policy","As recommended")))))))</f>
        <v/>
      </c>
      <c r="Q136" s="13" t="str">
        <f>IF(OR($O136="",Policy!$B$24&lt;&gt;"OK"),"",IFERROR(MIN($O136,INDEX(Policy!$C$5:$E$16,MATCH($F136&amp;"|"&amp;Scales!$B$33,Policy!$G$5:$G$16,0),MATCH($I136,Policy!$C$4:$E$4,0))),""))</f>
        <v/>
      </c>
      <c r="R136" s="5"/>
      <c r="S136" s="13" t="str">
        <f>IF($B136="","",IF(COUNTIF('Readiness gate'!$A$7:$A$36,$A136)&lt;&gt;1,"Incomplete",IFERROR(IF(VLOOKUP($A136,GateTab,IF($F136=Scales!$B$24,11,9),FALSE())="","Incomplete",VLOOKUP($A136,GateTab,IF($F136=Scales!$B$24,11,9),FALSE())),"Incomplete")))</f>
        <v/>
      </c>
      <c r="T136" s="8" t="str">
        <f>IF($O136="","",MIN(IF(AND($O136&gt;MATCH($J136,Scales!$B$6:$B$10,0)-1,$N136&lt;&gt;"Yes"),MATCH($J136,Scales!$B$6:$B$10,0)-1,$O136),$L136,IF($F136=Scales!$B$24,IF($S136="Passed",4,IF(NOT(ISNUMBER($R136)),0,IF(OR($R136&lt;0,$R136&gt;4,$R136&lt;&gt;INT($R136)),0,$R136))),IF(NOT(ISNUMBER($R136)),0,IF(OR($R136&lt;0,$R136&gt;4,$R136&lt;&gt;INT($R136)),0,$R136))+IF($S136="Passed",1,0)),IF(AND($F136&lt;&gt;Scales!$B$24,OR($F136=Scales!$B$27,$G136=Scales!$B$33)),3,4)))</f>
        <v/>
      </c>
      <c r="U136" s="13" t="str">
        <f>IF($O136="",IF(AND($B136&lt;&gt;"",$B136&lt;&gt;"Duplicate ID"),IF($J136="Config error","Config error","Incomplete assessment"),""),IF($T136&gt;=$O136,IF(LEFT($P136,4)="More","Own choice","None"),MID(IF(AND($O136&gt;MATCH($J136,Scales!$B$6:$B$10,0)-1,$N136&lt;&gt;"Yes",$T136=MATCH($J136,Scales!$B$6:$B$10,0)-1)," + Exception not approved","")&amp;IF(AND($F136&lt;&gt;Scales!$B$24,OR($F136=Scales!$B$27,$G136=Scales!$B$33),$T136=3)," + Human-signature guardrail","")&amp;IF($T136=$L136," + Model confidence","")&amp;IF($T136=IF($F136=Scales!$B$24,IF($S136="Passed",4,IF(NOT(ISNUMBER($R136)),0,IF(OR($R136&lt;0,$R136&gt;4,$R136&lt;&gt;INT($R136)),0,$R136))),IF(NOT(ISNUMBER($R136)),0,IF(OR($R136&lt;0,$R136&gt;4,$R136&lt;&gt;INT($R136)),0,$R136))+IF($S136="Passed",1,0))," + "&amp;IF($S136&lt;&gt;"Passed","Readiness gate","Readiness gate (one level per gate)"),""),4,200)))</f>
        <v/>
      </c>
      <c r="V136" s="23"/>
    </row>
    <row r="137" spans="1:22" x14ac:dyDescent="0.25">
      <c r="A137" s="8" t="s">
        <v>263</v>
      </c>
      <c r="B137" s="11" t="str">
        <f>IF($A137="","",IF(COUNTIF('Use cases'!$A$5:$A$34,$A137)&gt;1,"Duplicate ID",IFERROR(IF(VLOOKUP($A137,'Use cases'!$A$5:$B$34,2,FALSE())=0,"",VLOOKUP($A137,'Use cases'!$A$5:$B$34,2,FALSE())),"")))</f>
        <v/>
      </c>
      <c r="C137" s="12" t="str">
        <f>IF(OR($B137="",$B137="Duplicate ID"),"",IFERROR(VLOOKUP($A137,'Use cases'!$A$5:$C$34,3,FALSE()),""))</f>
        <v/>
      </c>
      <c r="D137" s="13" t="s">
        <v>127</v>
      </c>
      <c r="E137" s="23"/>
      <c r="F137" s="23"/>
      <c r="G137" s="24"/>
      <c r="H137" s="24"/>
      <c r="I137" s="13" t="str">
        <f>IF(OR($B137="",$B137="Duplicate ID"),"",IFERROR(VLOOKUP($A137,'Use cases'!$A$5:$E$34,5,FALSE()),""))</f>
        <v/>
      </c>
      <c r="J137" s="11" t="str">
        <f>IF(OR($B137="",$B137="Duplicate ID"),"",IF(OR($F137="",$G137=""),"",IF(Policy!$B$24&lt;&gt;"OK","Config error",IFERROR(INDEX(Scales!$B$6:$B$10,1+INDEX(Policy!$C$5:$E$16,MATCH($F137&amp;"|"&amp;$G137,Policy!$G$5:$G$16,0),MATCH($I137,Policy!$C$4:$E$4,0))),"Config error"))))</f>
        <v/>
      </c>
      <c r="K137" s="13" t="str">
        <f>IF($H137="","",IF($F137=Scales!$B$24,"exempt",IFERROR(IF(VLOOKUP($H137,Conf_Check,3,FALSE())="valid",VLOOKUP($H137,Conf_Adjust,2,FALSE()),"n/a"),"n/a")))</f>
        <v/>
      </c>
      <c r="L137" s="13" t="str">
        <f>IF(OR($J137="",$J137="Config error"),"",IF(OR($F137=Scales!$B$24,AND(ISNUMBER($K137),$K137=0)),4,IF(ISNUMBER($K137),MAX(1,MATCH($J137,Scales!$B$6:$B$10,0)-1+$K137),1)))</f>
        <v/>
      </c>
      <c r="M137" s="5"/>
      <c r="N137" s="5"/>
      <c r="O137" s="8" t="str">
        <f>IF(OR($J137="",$J137="Config error",$E137="",$F137="",$G137="",$H137="",$R137=""),"",IF($M137="",MATCH($J137,Scales!$B$6:$B$10,0),IFERROR(MATCH($M137,Scales!$B$6:$B$10,0),MATCH($J137,Scales!$B$6:$B$10,0)))-1)</f>
        <v/>
      </c>
      <c r="P137" s="12" t="str">
        <f>IF($J137="",IF(AND($B137&lt;&gt;"",$B137&lt;&gt;"Duplicate ID"),"Incomplete assessment",""),IF($J137="Config error","Config error",IF($O137="","Incomplete assessment",IF($M137="","As recommended",IF(ISERROR(MATCH($M137,Scales!$B$6:$B$10,0)),"Invalid choice",IF(MATCH($M137,Scales!$B$6:$B$10,0)&gt;MATCH($J137,Scales!$B$6:$B$10,0),"Above policy: needs sign-off",IF(MATCH($M137,Scales!$B$6:$B$10,0)&lt;MATCH($J137,Scales!$B$6:$B$10,0),"More cautious than policy","As recommended")))))))</f>
        <v/>
      </c>
      <c r="Q137" s="13" t="str">
        <f>IF(OR($O137="",Policy!$B$24&lt;&gt;"OK"),"",IFERROR(MIN($O137,INDEX(Policy!$C$5:$E$16,MATCH($F137&amp;"|"&amp;Scales!$B$33,Policy!$G$5:$G$16,0),MATCH($I137,Policy!$C$4:$E$4,0))),""))</f>
        <v/>
      </c>
      <c r="R137" s="5"/>
      <c r="S137" s="13" t="str">
        <f>IF($B137="","",IF(COUNTIF('Readiness gate'!$A$7:$A$36,$A137)&lt;&gt;1,"Incomplete",IFERROR(IF(VLOOKUP($A137,GateTab,IF($F137=Scales!$B$24,11,9),FALSE())="","Incomplete",VLOOKUP($A137,GateTab,IF($F137=Scales!$B$24,11,9),FALSE())),"Incomplete")))</f>
        <v/>
      </c>
      <c r="T137" s="8" t="str">
        <f>IF($O137="","",MIN(IF(AND($O137&gt;MATCH($J137,Scales!$B$6:$B$10,0)-1,$N137&lt;&gt;"Yes"),MATCH($J137,Scales!$B$6:$B$10,0)-1,$O137),$L137,IF($F137=Scales!$B$24,IF($S137="Passed",4,IF(NOT(ISNUMBER($R137)),0,IF(OR($R137&lt;0,$R137&gt;4,$R137&lt;&gt;INT($R137)),0,$R137))),IF(NOT(ISNUMBER($R137)),0,IF(OR($R137&lt;0,$R137&gt;4,$R137&lt;&gt;INT($R137)),0,$R137))+IF($S137="Passed",1,0)),IF(AND($F137&lt;&gt;Scales!$B$24,OR($F137=Scales!$B$27,$G137=Scales!$B$33)),3,4)))</f>
        <v/>
      </c>
      <c r="U137" s="13" t="str">
        <f>IF($O137="",IF(AND($B137&lt;&gt;"",$B137&lt;&gt;"Duplicate ID"),IF($J137="Config error","Config error","Incomplete assessment"),""),IF($T137&gt;=$O137,IF(LEFT($P137,4)="More","Own choice","None"),MID(IF(AND($O137&gt;MATCH($J137,Scales!$B$6:$B$10,0)-1,$N137&lt;&gt;"Yes",$T137=MATCH($J137,Scales!$B$6:$B$10,0)-1)," + Exception not approved","")&amp;IF(AND($F137&lt;&gt;Scales!$B$24,OR($F137=Scales!$B$27,$G137=Scales!$B$33),$T137=3)," + Human-signature guardrail","")&amp;IF($T137=$L137," + Model confidence","")&amp;IF($T137=IF($F137=Scales!$B$24,IF($S137="Passed",4,IF(NOT(ISNUMBER($R137)),0,IF(OR($R137&lt;0,$R137&gt;4,$R137&lt;&gt;INT($R137)),0,$R137))),IF(NOT(ISNUMBER($R137)),0,IF(OR($R137&lt;0,$R137&gt;4,$R137&lt;&gt;INT($R137)),0,$R137))+IF($S137="Passed",1,0))," + "&amp;IF($S137&lt;&gt;"Passed","Readiness gate","Readiness gate (one level per gate)"),""),4,200)))</f>
        <v/>
      </c>
      <c r="V137" s="23"/>
    </row>
    <row r="138" spans="1:22" x14ac:dyDescent="0.25">
      <c r="A138" s="8" t="s">
        <v>264</v>
      </c>
      <c r="B138" s="11" t="str">
        <f>IF($A138="","",IF(COUNTIF('Use cases'!$A$5:$A$34,$A138)&gt;1,"Duplicate ID",IFERROR(IF(VLOOKUP($A138,'Use cases'!$A$5:$B$34,2,FALSE())=0,"",VLOOKUP($A138,'Use cases'!$A$5:$B$34,2,FALSE())),"")))</f>
        <v/>
      </c>
      <c r="C138" s="12" t="str">
        <f>IF(OR($B138="",$B138="Duplicate ID"),"",IFERROR(VLOOKUP($A138,'Use cases'!$A$5:$C$34,3,FALSE()),""))</f>
        <v/>
      </c>
      <c r="D138" s="13" t="s">
        <v>112</v>
      </c>
      <c r="E138" s="23"/>
      <c r="F138" s="23"/>
      <c r="G138" s="24"/>
      <c r="H138" s="24"/>
      <c r="I138" s="13" t="str">
        <f>IF(OR($B138="",$B138="Duplicate ID"),"",IFERROR(VLOOKUP($A138,'Use cases'!$A$5:$E$34,5,FALSE()),""))</f>
        <v/>
      </c>
      <c r="J138" s="11" t="str">
        <f>IF(OR($B138="",$B138="Duplicate ID"),"",IF(OR($F138="",$G138=""),"",IF(Policy!$B$24&lt;&gt;"OK","Config error",IFERROR(INDEX(Scales!$B$6:$B$10,1+INDEX(Policy!$C$5:$E$16,MATCH($F138&amp;"|"&amp;$G138,Policy!$G$5:$G$16,0),MATCH($I138,Policy!$C$4:$E$4,0))),"Config error"))))</f>
        <v/>
      </c>
      <c r="K138" s="13" t="str">
        <f>IF($H138="","",IF($F138=Scales!$B$24,"exempt",IFERROR(IF(VLOOKUP($H138,Conf_Check,3,FALSE())="valid",VLOOKUP($H138,Conf_Adjust,2,FALSE()),"n/a"),"n/a")))</f>
        <v/>
      </c>
      <c r="L138" s="13" t="str">
        <f>IF(OR($J138="",$J138="Config error"),"",IF(OR($F138=Scales!$B$24,AND(ISNUMBER($K138),$K138=0)),4,IF(ISNUMBER($K138),MAX(1,MATCH($J138,Scales!$B$6:$B$10,0)-1+$K138),1)))</f>
        <v/>
      </c>
      <c r="M138" s="5"/>
      <c r="N138" s="5"/>
      <c r="O138" s="8" t="str">
        <f>IF(OR($J138="",$J138="Config error",$E138="",$F138="",$G138="",$H138="",$R138=""),"",IF($M138="",MATCH($J138,Scales!$B$6:$B$10,0),IFERROR(MATCH($M138,Scales!$B$6:$B$10,0),MATCH($J138,Scales!$B$6:$B$10,0)))-1)</f>
        <v/>
      </c>
      <c r="P138" s="12" t="str">
        <f>IF($J138="",IF(AND($B138&lt;&gt;"",$B138&lt;&gt;"Duplicate ID"),"Incomplete assessment",""),IF($J138="Config error","Config error",IF($O138="","Incomplete assessment",IF($M138="","As recommended",IF(ISERROR(MATCH($M138,Scales!$B$6:$B$10,0)),"Invalid choice",IF(MATCH($M138,Scales!$B$6:$B$10,0)&gt;MATCH($J138,Scales!$B$6:$B$10,0),"Above policy: needs sign-off",IF(MATCH($M138,Scales!$B$6:$B$10,0)&lt;MATCH($J138,Scales!$B$6:$B$10,0),"More cautious than policy","As recommended")))))))</f>
        <v/>
      </c>
      <c r="Q138" s="13" t="str">
        <f>IF(OR($O138="",Policy!$B$24&lt;&gt;"OK"),"",IFERROR(MIN($O138,INDEX(Policy!$C$5:$E$16,MATCH($F138&amp;"|"&amp;Scales!$B$33,Policy!$G$5:$G$16,0),MATCH($I138,Policy!$C$4:$E$4,0))),""))</f>
        <v/>
      </c>
      <c r="R138" s="5"/>
      <c r="S138" s="13" t="str">
        <f>IF($B138="","",IF(COUNTIF('Readiness gate'!$A$7:$A$36,$A138)&lt;&gt;1,"Incomplete",IFERROR(IF(VLOOKUP($A138,GateTab,IF($F138=Scales!$B$24,11,9),FALSE())="","Incomplete",VLOOKUP($A138,GateTab,IF($F138=Scales!$B$24,11,9),FALSE())),"Incomplete")))</f>
        <v/>
      </c>
      <c r="T138" s="8" t="str">
        <f>IF($O138="","",MIN(IF(AND($O138&gt;MATCH($J138,Scales!$B$6:$B$10,0)-1,$N138&lt;&gt;"Yes"),MATCH($J138,Scales!$B$6:$B$10,0)-1,$O138),$L138,IF($F138=Scales!$B$24,IF($S138="Passed",4,IF(NOT(ISNUMBER($R138)),0,IF(OR($R138&lt;0,$R138&gt;4,$R138&lt;&gt;INT($R138)),0,$R138))),IF(NOT(ISNUMBER($R138)),0,IF(OR($R138&lt;0,$R138&gt;4,$R138&lt;&gt;INT($R138)),0,$R138))+IF($S138="Passed",1,0)),IF(AND($F138&lt;&gt;Scales!$B$24,OR($F138=Scales!$B$27,$G138=Scales!$B$33)),3,4)))</f>
        <v/>
      </c>
      <c r="U138" s="13" t="str">
        <f>IF($O138="",IF(AND($B138&lt;&gt;"",$B138&lt;&gt;"Duplicate ID"),IF($J138="Config error","Config error","Incomplete assessment"),""),IF($T138&gt;=$O138,IF(LEFT($P138,4)="More","Own choice","None"),MID(IF(AND($O138&gt;MATCH($J138,Scales!$B$6:$B$10,0)-1,$N138&lt;&gt;"Yes",$T138=MATCH($J138,Scales!$B$6:$B$10,0)-1)," + Exception not approved","")&amp;IF(AND($F138&lt;&gt;Scales!$B$24,OR($F138=Scales!$B$27,$G138=Scales!$B$33),$T138=3)," + Human-signature guardrail","")&amp;IF($T138=$L138," + Model confidence","")&amp;IF($T138=IF($F138=Scales!$B$24,IF($S138="Passed",4,IF(NOT(ISNUMBER($R138)),0,IF(OR($R138&lt;0,$R138&gt;4,$R138&lt;&gt;INT($R138)),0,$R138))),IF(NOT(ISNUMBER($R138)),0,IF(OR($R138&lt;0,$R138&gt;4,$R138&lt;&gt;INT($R138)),0,$R138))+IF($S138="Passed",1,0))," + "&amp;IF($S138&lt;&gt;"Passed","Readiness gate","Readiness gate (one level per gate)"),""),4,200)))</f>
        <v/>
      </c>
      <c r="V138" s="23"/>
    </row>
    <row r="139" spans="1:22" x14ac:dyDescent="0.25">
      <c r="A139" s="8" t="s">
        <v>264</v>
      </c>
      <c r="B139" s="11" t="str">
        <f>IF($A139="","",IF(COUNTIF('Use cases'!$A$5:$A$34,$A139)&gt;1,"Duplicate ID",IFERROR(IF(VLOOKUP($A139,'Use cases'!$A$5:$B$34,2,FALSE())=0,"",VLOOKUP($A139,'Use cases'!$A$5:$B$34,2,FALSE())),"")))</f>
        <v/>
      </c>
      <c r="C139" s="12" t="str">
        <f>IF(OR($B139="",$B139="Duplicate ID"),"",IFERROR(VLOOKUP($A139,'Use cases'!$A$5:$C$34,3,FALSE()),""))</f>
        <v/>
      </c>
      <c r="D139" s="13" t="s">
        <v>117</v>
      </c>
      <c r="E139" s="23"/>
      <c r="F139" s="23"/>
      <c r="G139" s="24"/>
      <c r="H139" s="24"/>
      <c r="I139" s="13" t="str">
        <f>IF(OR($B139="",$B139="Duplicate ID"),"",IFERROR(VLOOKUP($A139,'Use cases'!$A$5:$E$34,5,FALSE()),""))</f>
        <v/>
      </c>
      <c r="J139" s="11" t="str">
        <f>IF(OR($B139="",$B139="Duplicate ID"),"",IF(OR($F139="",$G139=""),"",IF(Policy!$B$24&lt;&gt;"OK","Config error",IFERROR(INDEX(Scales!$B$6:$B$10,1+INDEX(Policy!$C$5:$E$16,MATCH($F139&amp;"|"&amp;$G139,Policy!$G$5:$G$16,0),MATCH($I139,Policy!$C$4:$E$4,0))),"Config error"))))</f>
        <v/>
      </c>
      <c r="K139" s="13" t="str">
        <f>IF($H139="","",IF($F139=Scales!$B$24,"exempt",IFERROR(IF(VLOOKUP($H139,Conf_Check,3,FALSE())="valid",VLOOKUP($H139,Conf_Adjust,2,FALSE()),"n/a"),"n/a")))</f>
        <v/>
      </c>
      <c r="L139" s="13" t="str">
        <f>IF(OR($J139="",$J139="Config error"),"",IF(OR($F139=Scales!$B$24,AND(ISNUMBER($K139),$K139=0)),4,IF(ISNUMBER($K139),MAX(1,MATCH($J139,Scales!$B$6:$B$10,0)-1+$K139),1)))</f>
        <v/>
      </c>
      <c r="M139" s="5"/>
      <c r="N139" s="5"/>
      <c r="O139" s="8" t="str">
        <f>IF(OR($J139="",$J139="Config error",$E139="",$F139="",$G139="",$H139="",$R139=""),"",IF($M139="",MATCH($J139,Scales!$B$6:$B$10,0),IFERROR(MATCH($M139,Scales!$B$6:$B$10,0),MATCH($J139,Scales!$B$6:$B$10,0)))-1)</f>
        <v/>
      </c>
      <c r="P139" s="12" t="str">
        <f>IF($J139="",IF(AND($B139&lt;&gt;"",$B139&lt;&gt;"Duplicate ID"),"Incomplete assessment",""),IF($J139="Config error","Config error",IF($O139="","Incomplete assessment",IF($M139="","As recommended",IF(ISERROR(MATCH($M139,Scales!$B$6:$B$10,0)),"Invalid choice",IF(MATCH($M139,Scales!$B$6:$B$10,0)&gt;MATCH($J139,Scales!$B$6:$B$10,0),"Above policy: needs sign-off",IF(MATCH($M139,Scales!$B$6:$B$10,0)&lt;MATCH($J139,Scales!$B$6:$B$10,0),"More cautious than policy","As recommended")))))))</f>
        <v/>
      </c>
      <c r="Q139" s="13" t="str">
        <f>IF(OR($O139="",Policy!$B$24&lt;&gt;"OK"),"",IFERROR(MIN($O139,INDEX(Policy!$C$5:$E$16,MATCH($F139&amp;"|"&amp;Scales!$B$33,Policy!$G$5:$G$16,0),MATCH($I139,Policy!$C$4:$E$4,0))),""))</f>
        <v/>
      </c>
      <c r="R139" s="5"/>
      <c r="S139" s="13" t="str">
        <f>IF($B139="","",IF(COUNTIF('Readiness gate'!$A$7:$A$36,$A139)&lt;&gt;1,"Incomplete",IFERROR(IF(VLOOKUP($A139,GateTab,IF($F139=Scales!$B$24,11,9),FALSE())="","Incomplete",VLOOKUP($A139,GateTab,IF($F139=Scales!$B$24,11,9),FALSE())),"Incomplete")))</f>
        <v/>
      </c>
      <c r="T139" s="8" t="str">
        <f>IF($O139="","",MIN(IF(AND($O139&gt;MATCH($J139,Scales!$B$6:$B$10,0)-1,$N139&lt;&gt;"Yes"),MATCH($J139,Scales!$B$6:$B$10,0)-1,$O139),$L139,IF($F139=Scales!$B$24,IF($S139="Passed",4,IF(NOT(ISNUMBER($R139)),0,IF(OR($R139&lt;0,$R139&gt;4,$R139&lt;&gt;INT($R139)),0,$R139))),IF(NOT(ISNUMBER($R139)),0,IF(OR($R139&lt;0,$R139&gt;4,$R139&lt;&gt;INT($R139)),0,$R139))+IF($S139="Passed",1,0)),IF(AND($F139&lt;&gt;Scales!$B$24,OR($F139=Scales!$B$27,$G139=Scales!$B$33)),3,4)))</f>
        <v/>
      </c>
      <c r="U139" s="13" t="str">
        <f>IF($O139="",IF(AND($B139&lt;&gt;"",$B139&lt;&gt;"Duplicate ID"),IF($J139="Config error","Config error","Incomplete assessment"),""),IF($T139&gt;=$O139,IF(LEFT($P139,4)="More","Own choice","None"),MID(IF(AND($O139&gt;MATCH($J139,Scales!$B$6:$B$10,0)-1,$N139&lt;&gt;"Yes",$T139=MATCH($J139,Scales!$B$6:$B$10,0)-1)," + Exception not approved","")&amp;IF(AND($F139&lt;&gt;Scales!$B$24,OR($F139=Scales!$B$27,$G139=Scales!$B$33),$T139=3)," + Human-signature guardrail","")&amp;IF($T139=$L139," + Model confidence","")&amp;IF($T139=IF($F139=Scales!$B$24,IF($S139="Passed",4,IF(NOT(ISNUMBER($R139)),0,IF(OR($R139&lt;0,$R139&gt;4,$R139&lt;&gt;INT($R139)),0,$R139))),IF(NOT(ISNUMBER($R139)),0,IF(OR($R139&lt;0,$R139&gt;4,$R139&lt;&gt;INT($R139)),0,$R139))+IF($S139="Passed",1,0))," + "&amp;IF($S139&lt;&gt;"Passed","Readiness gate","Readiness gate (one level per gate)"),""),4,200)))</f>
        <v/>
      </c>
      <c r="V139" s="23"/>
    </row>
    <row r="140" spans="1:22" x14ac:dyDescent="0.25">
      <c r="A140" s="8" t="s">
        <v>264</v>
      </c>
      <c r="B140" s="11" t="str">
        <f>IF($A140="","",IF(COUNTIF('Use cases'!$A$5:$A$34,$A140)&gt;1,"Duplicate ID",IFERROR(IF(VLOOKUP($A140,'Use cases'!$A$5:$B$34,2,FALSE())=0,"",VLOOKUP($A140,'Use cases'!$A$5:$B$34,2,FALSE())),"")))</f>
        <v/>
      </c>
      <c r="C140" s="12" t="str">
        <f>IF(OR($B140="",$B140="Duplicate ID"),"",IFERROR(VLOOKUP($A140,'Use cases'!$A$5:$C$34,3,FALSE()),""))</f>
        <v/>
      </c>
      <c r="D140" s="13" t="s">
        <v>120</v>
      </c>
      <c r="E140" s="23"/>
      <c r="F140" s="23"/>
      <c r="G140" s="24"/>
      <c r="H140" s="24"/>
      <c r="I140" s="13" t="str">
        <f>IF(OR($B140="",$B140="Duplicate ID"),"",IFERROR(VLOOKUP($A140,'Use cases'!$A$5:$E$34,5,FALSE()),""))</f>
        <v/>
      </c>
      <c r="J140" s="11" t="str">
        <f>IF(OR($B140="",$B140="Duplicate ID"),"",IF(OR($F140="",$G140=""),"",IF(Policy!$B$24&lt;&gt;"OK","Config error",IFERROR(INDEX(Scales!$B$6:$B$10,1+INDEX(Policy!$C$5:$E$16,MATCH($F140&amp;"|"&amp;$G140,Policy!$G$5:$G$16,0),MATCH($I140,Policy!$C$4:$E$4,0))),"Config error"))))</f>
        <v/>
      </c>
      <c r="K140" s="13" t="str">
        <f>IF($H140="","",IF($F140=Scales!$B$24,"exempt",IFERROR(IF(VLOOKUP($H140,Conf_Check,3,FALSE())="valid",VLOOKUP($H140,Conf_Adjust,2,FALSE()),"n/a"),"n/a")))</f>
        <v/>
      </c>
      <c r="L140" s="13" t="str">
        <f>IF(OR($J140="",$J140="Config error"),"",IF(OR($F140=Scales!$B$24,AND(ISNUMBER($K140),$K140=0)),4,IF(ISNUMBER($K140),MAX(1,MATCH($J140,Scales!$B$6:$B$10,0)-1+$K140),1)))</f>
        <v/>
      </c>
      <c r="M140" s="5"/>
      <c r="N140" s="5"/>
      <c r="O140" s="8" t="str">
        <f>IF(OR($J140="",$J140="Config error",$E140="",$F140="",$G140="",$H140="",$R140=""),"",IF($M140="",MATCH($J140,Scales!$B$6:$B$10,0),IFERROR(MATCH($M140,Scales!$B$6:$B$10,0),MATCH($J140,Scales!$B$6:$B$10,0)))-1)</f>
        <v/>
      </c>
      <c r="P140" s="12" t="str">
        <f>IF($J140="",IF(AND($B140&lt;&gt;"",$B140&lt;&gt;"Duplicate ID"),"Incomplete assessment",""),IF($J140="Config error","Config error",IF($O140="","Incomplete assessment",IF($M140="","As recommended",IF(ISERROR(MATCH($M140,Scales!$B$6:$B$10,0)),"Invalid choice",IF(MATCH($M140,Scales!$B$6:$B$10,0)&gt;MATCH($J140,Scales!$B$6:$B$10,0),"Above policy: needs sign-off",IF(MATCH($M140,Scales!$B$6:$B$10,0)&lt;MATCH($J140,Scales!$B$6:$B$10,0),"More cautious than policy","As recommended")))))))</f>
        <v/>
      </c>
      <c r="Q140" s="13" t="str">
        <f>IF(OR($O140="",Policy!$B$24&lt;&gt;"OK"),"",IFERROR(MIN($O140,INDEX(Policy!$C$5:$E$16,MATCH($F140&amp;"|"&amp;Scales!$B$33,Policy!$G$5:$G$16,0),MATCH($I140,Policy!$C$4:$E$4,0))),""))</f>
        <v/>
      </c>
      <c r="R140" s="5"/>
      <c r="S140" s="13" t="str">
        <f>IF($B140="","",IF(COUNTIF('Readiness gate'!$A$7:$A$36,$A140)&lt;&gt;1,"Incomplete",IFERROR(IF(VLOOKUP($A140,GateTab,IF($F140=Scales!$B$24,11,9),FALSE())="","Incomplete",VLOOKUP($A140,GateTab,IF($F140=Scales!$B$24,11,9),FALSE())),"Incomplete")))</f>
        <v/>
      </c>
      <c r="T140" s="8" t="str">
        <f>IF($O140="","",MIN(IF(AND($O140&gt;MATCH($J140,Scales!$B$6:$B$10,0)-1,$N140&lt;&gt;"Yes"),MATCH($J140,Scales!$B$6:$B$10,0)-1,$O140),$L140,IF($F140=Scales!$B$24,IF($S140="Passed",4,IF(NOT(ISNUMBER($R140)),0,IF(OR($R140&lt;0,$R140&gt;4,$R140&lt;&gt;INT($R140)),0,$R140))),IF(NOT(ISNUMBER($R140)),0,IF(OR($R140&lt;0,$R140&gt;4,$R140&lt;&gt;INT($R140)),0,$R140))+IF($S140="Passed",1,0)),IF(AND($F140&lt;&gt;Scales!$B$24,OR($F140=Scales!$B$27,$G140=Scales!$B$33)),3,4)))</f>
        <v/>
      </c>
      <c r="U140" s="13" t="str">
        <f>IF($O140="",IF(AND($B140&lt;&gt;"",$B140&lt;&gt;"Duplicate ID"),IF($J140="Config error","Config error","Incomplete assessment"),""),IF($T140&gt;=$O140,IF(LEFT($P140,4)="More","Own choice","None"),MID(IF(AND($O140&gt;MATCH($J140,Scales!$B$6:$B$10,0)-1,$N140&lt;&gt;"Yes",$T140=MATCH($J140,Scales!$B$6:$B$10,0)-1)," + Exception not approved","")&amp;IF(AND($F140&lt;&gt;Scales!$B$24,OR($F140=Scales!$B$27,$G140=Scales!$B$33),$T140=3)," + Human-signature guardrail","")&amp;IF($T140=$L140," + Model confidence","")&amp;IF($T140=IF($F140=Scales!$B$24,IF($S140="Passed",4,IF(NOT(ISNUMBER($R140)),0,IF(OR($R140&lt;0,$R140&gt;4,$R140&lt;&gt;INT($R140)),0,$R140))),IF(NOT(ISNUMBER($R140)),0,IF(OR($R140&lt;0,$R140&gt;4,$R140&lt;&gt;INT($R140)),0,$R140))+IF($S140="Passed",1,0))," + "&amp;IF($S140&lt;&gt;"Passed","Readiness gate","Readiness gate (one level per gate)"),""),4,200)))</f>
        <v/>
      </c>
      <c r="V140" s="23"/>
    </row>
    <row r="141" spans="1:22" x14ac:dyDescent="0.25">
      <c r="A141" s="8" t="s">
        <v>264</v>
      </c>
      <c r="B141" s="11" t="str">
        <f>IF($A141="","",IF(COUNTIF('Use cases'!$A$5:$A$34,$A141)&gt;1,"Duplicate ID",IFERROR(IF(VLOOKUP($A141,'Use cases'!$A$5:$B$34,2,FALSE())=0,"",VLOOKUP($A141,'Use cases'!$A$5:$B$34,2,FALSE())),"")))</f>
        <v/>
      </c>
      <c r="C141" s="12" t="str">
        <f>IF(OR($B141="",$B141="Duplicate ID"),"",IFERROR(VLOOKUP($A141,'Use cases'!$A$5:$C$34,3,FALSE()),""))</f>
        <v/>
      </c>
      <c r="D141" s="13" t="s">
        <v>123</v>
      </c>
      <c r="E141" s="23"/>
      <c r="F141" s="23"/>
      <c r="G141" s="24"/>
      <c r="H141" s="24"/>
      <c r="I141" s="13" t="str">
        <f>IF(OR($B141="",$B141="Duplicate ID"),"",IFERROR(VLOOKUP($A141,'Use cases'!$A$5:$E$34,5,FALSE()),""))</f>
        <v/>
      </c>
      <c r="J141" s="11" t="str">
        <f>IF(OR($B141="",$B141="Duplicate ID"),"",IF(OR($F141="",$G141=""),"",IF(Policy!$B$24&lt;&gt;"OK","Config error",IFERROR(INDEX(Scales!$B$6:$B$10,1+INDEX(Policy!$C$5:$E$16,MATCH($F141&amp;"|"&amp;$G141,Policy!$G$5:$G$16,0),MATCH($I141,Policy!$C$4:$E$4,0))),"Config error"))))</f>
        <v/>
      </c>
      <c r="K141" s="13" t="str">
        <f>IF($H141="","",IF($F141=Scales!$B$24,"exempt",IFERROR(IF(VLOOKUP($H141,Conf_Check,3,FALSE())="valid",VLOOKUP($H141,Conf_Adjust,2,FALSE()),"n/a"),"n/a")))</f>
        <v/>
      </c>
      <c r="L141" s="13" t="str">
        <f>IF(OR($J141="",$J141="Config error"),"",IF(OR($F141=Scales!$B$24,AND(ISNUMBER($K141),$K141=0)),4,IF(ISNUMBER($K141),MAX(1,MATCH($J141,Scales!$B$6:$B$10,0)-1+$K141),1)))</f>
        <v/>
      </c>
      <c r="M141" s="5"/>
      <c r="N141" s="5"/>
      <c r="O141" s="8" t="str">
        <f>IF(OR($J141="",$J141="Config error",$E141="",$F141="",$G141="",$H141="",$R141=""),"",IF($M141="",MATCH($J141,Scales!$B$6:$B$10,0),IFERROR(MATCH($M141,Scales!$B$6:$B$10,0),MATCH($J141,Scales!$B$6:$B$10,0)))-1)</f>
        <v/>
      </c>
      <c r="P141" s="12" t="str">
        <f>IF($J141="",IF(AND($B141&lt;&gt;"",$B141&lt;&gt;"Duplicate ID"),"Incomplete assessment",""),IF($J141="Config error","Config error",IF($O141="","Incomplete assessment",IF($M141="","As recommended",IF(ISERROR(MATCH($M141,Scales!$B$6:$B$10,0)),"Invalid choice",IF(MATCH($M141,Scales!$B$6:$B$10,0)&gt;MATCH($J141,Scales!$B$6:$B$10,0),"Above policy: needs sign-off",IF(MATCH($M141,Scales!$B$6:$B$10,0)&lt;MATCH($J141,Scales!$B$6:$B$10,0),"More cautious than policy","As recommended")))))))</f>
        <v/>
      </c>
      <c r="Q141" s="13" t="str">
        <f>IF(OR($O141="",Policy!$B$24&lt;&gt;"OK"),"",IFERROR(MIN($O141,INDEX(Policy!$C$5:$E$16,MATCH($F141&amp;"|"&amp;Scales!$B$33,Policy!$G$5:$G$16,0),MATCH($I141,Policy!$C$4:$E$4,0))),""))</f>
        <v/>
      </c>
      <c r="R141" s="5"/>
      <c r="S141" s="13" t="str">
        <f>IF($B141="","",IF(COUNTIF('Readiness gate'!$A$7:$A$36,$A141)&lt;&gt;1,"Incomplete",IFERROR(IF(VLOOKUP($A141,GateTab,IF($F141=Scales!$B$24,11,9),FALSE())="","Incomplete",VLOOKUP($A141,GateTab,IF($F141=Scales!$B$24,11,9),FALSE())),"Incomplete")))</f>
        <v/>
      </c>
      <c r="T141" s="8" t="str">
        <f>IF($O141="","",MIN(IF(AND($O141&gt;MATCH($J141,Scales!$B$6:$B$10,0)-1,$N141&lt;&gt;"Yes"),MATCH($J141,Scales!$B$6:$B$10,0)-1,$O141),$L141,IF($F141=Scales!$B$24,IF($S141="Passed",4,IF(NOT(ISNUMBER($R141)),0,IF(OR($R141&lt;0,$R141&gt;4,$R141&lt;&gt;INT($R141)),0,$R141))),IF(NOT(ISNUMBER($R141)),0,IF(OR($R141&lt;0,$R141&gt;4,$R141&lt;&gt;INT($R141)),0,$R141))+IF($S141="Passed",1,0)),IF(AND($F141&lt;&gt;Scales!$B$24,OR($F141=Scales!$B$27,$G141=Scales!$B$33)),3,4)))</f>
        <v/>
      </c>
      <c r="U141" s="13" t="str">
        <f>IF($O141="",IF(AND($B141&lt;&gt;"",$B141&lt;&gt;"Duplicate ID"),IF($J141="Config error","Config error","Incomplete assessment"),""),IF($T141&gt;=$O141,IF(LEFT($P141,4)="More","Own choice","None"),MID(IF(AND($O141&gt;MATCH($J141,Scales!$B$6:$B$10,0)-1,$N141&lt;&gt;"Yes",$T141=MATCH($J141,Scales!$B$6:$B$10,0)-1)," + Exception not approved","")&amp;IF(AND($F141&lt;&gt;Scales!$B$24,OR($F141=Scales!$B$27,$G141=Scales!$B$33),$T141=3)," + Human-signature guardrail","")&amp;IF($T141=$L141," + Model confidence","")&amp;IF($T141=IF($F141=Scales!$B$24,IF($S141="Passed",4,IF(NOT(ISNUMBER($R141)),0,IF(OR($R141&lt;0,$R141&gt;4,$R141&lt;&gt;INT($R141)),0,$R141))),IF(NOT(ISNUMBER($R141)),0,IF(OR($R141&lt;0,$R141&gt;4,$R141&lt;&gt;INT($R141)),0,$R141))+IF($S141="Passed",1,0))," + "&amp;IF($S141&lt;&gt;"Passed","Readiness gate","Readiness gate (one level per gate)"),""),4,200)))</f>
        <v/>
      </c>
      <c r="V141" s="23"/>
    </row>
    <row r="142" spans="1:22" x14ac:dyDescent="0.25">
      <c r="A142" s="8" t="s">
        <v>264</v>
      </c>
      <c r="B142" s="11" t="str">
        <f>IF($A142="","",IF(COUNTIF('Use cases'!$A$5:$A$34,$A142)&gt;1,"Duplicate ID",IFERROR(IF(VLOOKUP($A142,'Use cases'!$A$5:$B$34,2,FALSE())=0,"",VLOOKUP($A142,'Use cases'!$A$5:$B$34,2,FALSE())),"")))</f>
        <v/>
      </c>
      <c r="C142" s="12" t="str">
        <f>IF(OR($B142="",$B142="Duplicate ID"),"",IFERROR(VLOOKUP($A142,'Use cases'!$A$5:$C$34,3,FALSE()),""))</f>
        <v/>
      </c>
      <c r="D142" s="13" t="s">
        <v>125</v>
      </c>
      <c r="E142" s="23"/>
      <c r="F142" s="23"/>
      <c r="G142" s="24"/>
      <c r="H142" s="24"/>
      <c r="I142" s="13" t="str">
        <f>IF(OR($B142="",$B142="Duplicate ID"),"",IFERROR(VLOOKUP($A142,'Use cases'!$A$5:$E$34,5,FALSE()),""))</f>
        <v/>
      </c>
      <c r="J142" s="11" t="str">
        <f>IF(OR($B142="",$B142="Duplicate ID"),"",IF(OR($F142="",$G142=""),"",IF(Policy!$B$24&lt;&gt;"OK","Config error",IFERROR(INDEX(Scales!$B$6:$B$10,1+INDEX(Policy!$C$5:$E$16,MATCH($F142&amp;"|"&amp;$G142,Policy!$G$5:$G$16,0),MATCH($I142,Policy!$C$4:$E$4,0))),"Config error"))))</f>
        <v/>
      </c>
      <c r="K142" s="13" t="str">
        <f>IF($H142="","",IF($F142=Scales!$B$24,"exempt",IFERROR(IF(VLOOKUP($H142,Conf_Check,3,FALSE())="valid",VLOOKUP($H142,Conf_Adjust,2,FALSE()),"n/a"),"n/a")))</f>
        <v/>
      </c>
      <c r="L142" s="13" t="str">
        <f>IF(OR($J142="",$J142="Config error"),"",IF(OR($F142=Scales!$B$24,AND(ISNUMBER($K142),$K142=0)),4,IF(ISNUMBER($K142),MAX(1,MATCH($J142,Scales!$B$6:$B$10,0)-1+$K142),1)))</f>
        <v/>
      </c>
      <c r="M142" s="5"/>
      <c r="N142" s="5"/>
      <c r="O142" s="8" t="str">
        <f>IF(OR($J142="",$J142="Config error",$E142="",$F142="",$G142="",$H142="",$R142=""),"",IF($M142="",MATCH($J142,Scales!$B$6:$B$10,0),IFERROR(MATCH($M142,Scales!$B$6:$B$10,0),MATCH($J142,Scales!$B$6:$B$10,0)))-1)</f>
        <v/>
      </c>
      <c r="P142" s="12" t="str">
        <f>IF($J142="",IF(AND($B142&lt;&gt;"",$B142&lt;&gt;"Duplicate ID"),"Incomplete assessment",""),IF($J142="Config error","Config error",IF($O142="","Incomplete assessment",IF($M142="","As recommended",IF(ISERROR(MATCH($M142,Scales!$B$6:$B$10,0)),"Invalid choice",IF(MATCH($M142,Scales!$B$6:$B$10,0)&gt;MATCH($J142,Scales!$B$6:$B$10,0),"Above policy: needs sign-off",IF(MATCH($M142,Scales!$B$6:$B$10,0)&lt;MATCH($J142,Scales!$B$6:$B$10,0),"More cautious than policy","As recommended")))))))</f>
        <v/>
      </c>
      <c r="Q142" s="13" t="str">
        <f>IF(OR($O142="",Policy!$B$24&lt;&gt;"OK"),"",IFERROR(MIN($O142,INDEX(Policy!$C$5:$E$16,MATCH($F142&amp;"|"&amp;Scales!$B$33,Policy!$G$5:$G$16,0),MATCH($I142,Policy!$C$4:$E$4,0))),""))</f>
        <v/>
      </c>
      <c r="R142" s="5"/>
      <c r="S142" s="13" t="str">
        <f>IF($B142="","",IF(COUNTIF('Readiness gate'!$A$7:$A$36,$A142)&lt;&gt;1,"Incomplete",IFERROR(IF(VLOOKUP($A142,GateTab,IF($F142=Scales!$B$24,11,9),FALSE())="","Incomplete",VLOOKUP($A142,GateTab,IF($F142=Scales!$B$24,11,9),FALSE())),"Incomplete")))</f>
        <v/>
      </c>
      <c r="T142" s="8" t="str">
        <f>IF($O142="","",MIN(IF(AND($O142&gt;MATCH($J142,Scales!$B$6:$B$10,0)-1,$N142&lt;&gt;"Yes"),MATCH($J142,Scales!$B$6:$B$10,0)-1,$O142),$L142,IF($F142=Scales!$B$24,IF($S142="Passed",4,IF(NOT(ISNUMBER($R142)),0,IF(OR($R142&lt;0,$R142&gt;4,$R142&lt;&gt;INT($R142)),0,$R142))),IF(NOT(ISNUMBER($R142)),0,IF(OR($R142&lt;0,$R142&gt;4,$R142&lt;&gt;INT($R142)),0,$R142))+IF($S142="Passed",1,0)),IF(AND($F142&lt;&gt;Scales!$B$24,OR($F142=Scales!$B$27,$G142=Scales!$B$33)),3,4)))</f>
        <v/>
      </c>
      <c r="U142" s="13" t="str">
        <f>IF($O142="",IF(AND($B142&lt;&gt;"",$B142&lt;&gt;"Duplicate ID"),IF($J142="Config error","Config error","Incomplete assessment"),""),IF($T142&gt;=$O142,IF(LEFT($P142,4)="More","Own choice","None"),MID(IF(AND($O142&gt;MATCH($J142,Scales!$B$6:$B$10,0)-1,$N142&lt;&gt;"Yes",$T142=MATCH($J142,Scales!$B$6:$B$10,0)-1)," + Exception not approved","")&amp;IF(AND($F142&lt;&gt;Scales!$B$24,OR($F142=Scales!$B$27,$G142=Scales!$B$33),$T142=3)," + Human-signature guardrail","")&amp;IF($T142=$L142," + Model confidence","")&amp;IF($T142=IF($F142=Scales!$B$24,IF($S142="Passed",4,IF(NOT(ISNUMBER($R142)),0,IF(OR($R142&lt;0,$R142&gt;4,$R142&lt;&gt;INT($R142)),0,$R142))),IF(NOT(ISNUMBER($R142)),0,IF(OR($R142&lt;0,$R142&gt;4,$R142&lt;&gt;INT($R142)),0,$R142))+IF($S142="Passed",1,0))," + "&amp;IF($S142&lt;&gt;"Passed","Readiness gate","Readiness gate (one level per gate)"),""),4,200)))</f>
        <v/>
      </c>
      <c r="V142" s="23"/>
    </row>
    <row r="143" spans="1:22" x14ac:dyDescent="0.25">
      <c r="A143" s="8" t="s">
        <v>264</v>
      </c>
      <c r="B143" s="11" t="str">
        <f>IF($A143="","",IF(COUNTIF('Use cases'!$A$5:$A$34,$A143)&gt;1,"Duplicate ID",IFERROR(IF(VLOOKUP($A143,'Use cases'!$A$5:$B$34,2,FALSE())=0,"",VLOOKUP($A143,'Use cases'!$A$5:$B$34,2,FALSE())),"")))</f>
        <v/>
      </c>
      <c r="C143" s="12" t="str">
        <f>IF(OR($B143="",$B143="Duplicate ID"),"",IFERROR(VLOOKUP($A143,'Use cases'!$A$5:$C$34,3,FALSE()),""))</f>
        <v/>
      </c>
      <c r="D143" s="13" t="s">
        <v>127</v>
      </c>
      <c r="E143" s="23"/>
      <c r="F143" s="23"/>
      <c r="G143" s="24"/>
      <c r="H143" s="24"/>
      <c r="I143" s="13" t="str">
        <f>IF(OR($B143="",$B143="Duplicate ID"),"",IFERROR(VLOOKUP($A143,'Use cases'!$A$5:$E$34,5,FALSE()),""))</f>
        <v/>
      </c>
      <c r="J143" s="11" t="str">
        <f>IF(OR($B143="",$B143="Duplicate ID"),"",IF(OR($F143="",$G143=""),"",IF(Policy!$B$24&lt;&gt;"OK","Config error",IFERROR(INDEX(Scales!$B$6:$B$10,1+INDEX(Policy!$C$5:$E$16,MATCH($F143&amp;"|"&amp;$G143,Policy!$G$5:$G$16,0),MATCH($I143,Policy!$C$4:$E$4,0))),"Config error"))))</f>
        <v/>
      </c>
      <c r="K143" s="13" t="str">
        <f>IF($H143="","",IF($F143=Scales!$B$24,"exempt",IFERROR(IF(VLOOKUP($H143,Conf_Check,3,FALSE())="valid",VLOOKUP($H143,Conf_Adjust,2,FALSE()),"n/a"),"n/a")))</f>
        <v/>
      </c>
      <c r="L143" s="13" t="str">
        <f>IF(OR($J143="",$J143="Config error"),"",IF(OR($F143=Scales!$B$24,AND(ISNUMBER($K143),$K143=0)),4,IF(ISNUMBER($K143),MAX(1,MATCH($J143,Scales!$B$6:$B$10,0)-1+$K143),1)))</f>
        <v/>
      </c>
      <c r="M143" s="5"/>
      <c r="N143" s="5"/>
      <c r="O143" s="8" t="str">
        <f>IF(OR($J143="",$J143="Config error",$E143="",$F143="",$G143="",$H143="",$R143=""),"",IF($M143="",MATCH($J143,Scales!$B$6:$B$10,0),IFERROR(MATCH($M143,Scales!$B$6:$B$10,0),MATCH($J143,Scales!$B$6:$B$10,0)))-1)</f>
        <v/>
      </c>
      <c r="P143" s="12" t="str">
        <f>IF($J143="",IF(AND($B143&lt;&gt;"",$B143&lt;&gt;"Duplicate ID"),"Incomplete assessment",""),IF($J143="Config error","Config error",IF($O143="","Incomplete assessment",IF($M143="","As recommended",IF(ISERROR(MATCH($M143,Scales!$B$6:$B$10,0)),"Invalid choice",IF(MATCH($M143,Scales!$B$6:$B$10,0)&gt;MATCH($J143,Scales!$B$6:$B$10,0),"Above policy: needs sign-off",IF(MATCH($M143,Scales!$B$6:$B$10,0)&lt;MATCH($J143,Scales!$B$6:$B$10,0),"More cautious than policy","As recommended")))))))</f>
        <v/>
      </c>
      <c r="Q143" s="13" t="str">
        <f>IF(OR($O143="",Policy!$B$24&lt;&gt;"OK"),"",IFERROR(MIN($O143,INDEX(Policy!$C$5:$E$16,MATCH($F143&amp;"|"&amp;Scales!$B$33,Policy!$G$5:$G$16,0),MATCH($I143,Policy!$C$4:$E$4,0))),""))</f>
        <v/>
      </c>
      <c r="R143" s="5"/>
      <c r="S143" s="13" t="str">
        <f>IF($B143="","",IF(COUNTIF('Readiness gate'!$A$7:$A$36,$A143)&lt;&gt;1,"Incomplete",IFERROR(IF(VLOOKUP($A143,GateTab,IF($F143=Scales!$B$24,11,9),FALSE())="","Incomplete",VLOOKUP($A143,GateTab,IF($F143=Scales!$B$24,11,9),FALSE())),"Incomplete")))</f>
        <v/>
      </c>
      <c r="T143" s="8" t="str">
        <f>IF($O143="","",MIN(IF(AND($O143&gt;MATCH($J143,Scales!$B$6:$B$10,0)-1,$N143&lt;&gt;"Yes"),MATCH($J143,Scales!$B$6:$B$10,0)-1,$O143),$L143,IF($F143=Scales!$B$24,IF($S143="Passed",4,IF(NOT(ISNUMBER($R143)),0,IF(OR($R143&lt;0,$R143&gt;4,$R143&lt;&gt;INT($R143)),0,$R143))),IF(NOT(ISNUMBER($R143)),0,IF(OR($R143&lt;0,$R143&gt;4,$R143&lt;&gt;INT($R143)),0,$R143))+IF($S143="Passed",1,0)),IF(AND($F143&lt;&gt;Scales!$B$24,OR($F143=Scales!$B$27,$G143=Scales!$B$33)),3,4)))</f>
        <v/>
      </c>
      <c r="U143" s="13" t="str">
        <f>IF($O143="",IF(AND($B143&lt;&gt;"",$B143&lt;&gt;"Duplicate ID"),IF($J143="Config error","Config error","Incomplete assessment"),""),IF($T143&gt;=$O143,IF(LEFT($P143,4)="More","Own choice","None"),MID(IF(AND($O143&gt;MATCH($J143,Scales!$B$6:$B$10,0)-1,$N143&lt;&gt;"Yes",$T143=MATCH($J143,Scales!$B$6:$B$10,0)-1)," + Exception not approved","")&amp;IF(AND($F143&lt;&gt;Scales!$B$24,OR($F143=Scales!$B$27,$G143=Scales!$B$33),$T143=3)," + Human-signature guardrail","")&amp;IF($T143=$L143," + Model confidence","")&amp;IF($T143=IF($F143=Scales!$B$24,IF($S143="Passed",4,IF(NOT(ISNUMBER($R143)),0,IF(OR($R143&lt;0,$R143&gt;4,$R143&lt;&gt;INT($R143)),0,$R143))),IF(NOT(ISNUMBER($R143)),0,IF(OR($R143&lt;0,$R143&gt;4,$R143&lt;&gt;INT($R143)),0,$R143))+IF($S143="Passed",1,0))," + "&amp;IF($S143&lt;&gt;"Passed","Readiness gate","Readiness gate (one level per gate)"),""),4,200)))</f>
        <v/>
      </c>
      <c r="V143" s="23"/>
    </row>
    <row r="144" spans="1:22" x14ac:dyDescent="0.25">
      <c r="A144" s="8" t="s">
        <v>265</v>
      </c>
      <c r="B144" s="11" t="str">
        <f>IF($A144="","",IF(COUNTIF('Use cases'!$A$5:$A$34,$A144)&gt;1,"Duplicate ID",IFERROR(IF(VLOOKUP($A144,'Use cases'!$A$5:$B$34,2,FALSE())=0,"",VLOOKUP($A144,'Use cases'!$A$5:$B$34,2,FALSE())),"")))</f>
        <v/>
      </c>
      <c r="C144" s="12" t="str">
        <f>IF(OR($B144="",$B144="Duplicate ID"),"",IFERROR(VLOOKUP($A144,'Use cases'!$A$5:$C$34,3,FALSE()),""))</f>
        <v/>
      </c>
      <c r="D144" s="13" t="s">
        <v>112</v>
      </c>
      <c r="E144" s="23"/>
      <c r="F144" s="23"/>
      <c r="G144" s="24"/>
      <c r="H144" s="24"/>
      <c r="I144" s="13" t="str">
        <f>IF(OR($B144="",$B144="Duplicate ID"),"",IFERROR(VLOOKUP($A144,'Use cases'!$A$5:$E$34,5,FALSE()),""))</f>
        <v/>
      </c>
      <c r="J144" s="11" t="str">
        <f>IF(OR($B144="",$B144="Duplicate ID"),"",IF(OR($F144="",$G144=""),"",IF(Policy!$B$24&lt;&gt;"OK","Config error",IFERROR(INDEX(Scales!$B$6:$B$10,1+INDEX(Policy!$C$5:$E$16,MATCH($F144&amp;"|"&amp;$G144,Policy!$G$5:$G$16,0),MATCH($I144,Policy!$C$4:$E$4,0))),"Config error"))))</f>
        <v/>
      </c>
      <c r="K144" s="13" t="str">
        <f>IF($H144="","",IF($F144=Scales!$B$24,"exempt",IFERROR(IF(VLOOKUP($H144,Conf_Check,3,FALSE())="valid",VLOOKUP($H144,Conf_Adjust,2,FALSE()),"n/a"),"n/a")))</f>
        <v/>
      </c>
      <c r="L144" s="13" t="str">
        <f>IF(OR($J144="",$J144="Config error"),"",IF(OR($F144=Scales!$B$24,AND(ISNUMBER($K144),$K144=0)),4,IF(ISNUMBER($K144),MAX(1,MATCH($J144,Scales!$B$6:$B$10,0)-1+$K144),1)))</f>
        <v/>
      </c>
      <c r="M144" s="5"/>
      <c r="N144" s="5"/>
      <c r="O144" s="8" t="str">
        <f>IF(OR($J144="",$J144="Config error",$E144="",$F144="",$G144="",$H144="",$R144=""),"",IF($M144="",MATCH($J144,Scales!$B$6:$B$10,0),IFERROR(MATCH($M144,Scales!$B$6:$B$10,0),MATCH($J144,Scales!$B$6:$B$10,0)))-1)</f>
        <v/>
      </c>
      <c r="P144" s="12" t="str">
        <f>IF($J144="",IF(AND($B144&lt;&gt;"",$B144&lt;&gt;"Duplicate ID"),"Incomplete assessment",""),IF($J144="Config error","Config error",IF($O144="","Incomplete assessment",IF($M144="","As recommended",IF(ISERROR(MATCH($M144,Scales!$B$6:$B$10,0)),"Invalid choice",IF(MATCH($M144,Scales!$B$6:$B$10,0)&gt;MATCH($J144,Scales!$B$6:$B$10,0),"Above policy: needs sign-off",IF(MATCH($M144,Scales!$B$6:$B$10,0)&lt;MATCH($J144,Scales!$B$6:$B$10,0),"More cautious than policy","As recommended")))))))</f>
        <v/>
      </c>
      <c r="Q144" s="13" t="str">
        <f>IF(OR($O144="",Policy!$B$24&lt;&gt;"OK"),"",IFERROR(MIN($O144,INDEX(Policy!$C$5:$E$16,MATCH($F144&amp;"|"&amp;Scales!$B$33,Policy!$G$5:$G$16,0),MATCH($I144,Policy!$C$4:$E$4,0))),""))</f>
        <v/>
      </c>
      <c r="R144" s="5"/>
      <c r="S144" s="13" t="str">
        <f>IF($B144="","",IF(COUNTIF('Readiness gate'!$A$7:$A$36,$A144)&lt;&gt;1,"Incomplete",IFERROR(IF(VLOOKUP($A144,GateTab,IF($F144=Scales!$B$24,11,9),FALSE())="","Incomplete",VLOOKUP($A144,GateTab,IF($F144=Scales!$B$24,11,9),FALSE())),"Incomplete")))</f>
        <v/>
      </c>
      <c r="T144" s="8" t="str">
        <f>IF($O144="","",MIN(IF(AND($O144&gt;MATCH($J144,Scales!$B$6:$B$10,0)-1,$N144&lt;&gt;"Yes"),MATCH($J144,Scales!$B$6:$B$10,0)-1,$O144),$L144,IF($F144=Scales!$B$24,IF($S144="Passed",4,IF(NOT(ISNUMBER($R144)),0,IF(OR($R144&lt;0,$R144&gt;4,$R144&lt;&gt;INT($R144)),0,$R144))),IF(NOT(ISNUMBER($R144)),0,IF(OR($R144&lt;0,$R144&gt;4,$R144&lt;&gt;INT($R144)),0,$R144))+IF($S144="Passed",1,0)),IF(AND($F144&lt;&gt;Scales!$B$24,OR($F144=Scales!$B$27,$G144=Scales!$B$33)),3,4)))</f>
        <v/>
      </c>
      <c r="U144" s="13" t="str">
        <f>IF($O144="",IF(AND($B144&lt;&gt;"",$B144&lt;&gt;"Duplicate ID"),IF($J144="Config error","Config error","Incomplete assessment"),""),IF($T144&gt;=$O144,IF(LEFT($P144,4)="More","Own choice","None"),MID(IF(AND($O144&gt;MATCH($J144,Scales!$B$6:$B$10,0)-1,$N144&lt;&gt;"Yes",$T144=MATCH($J144,Scales!$B$6:$B$10,0)-1)," + Exception not approved","")&amp;IF(AND($F144&lt;&gt;Scales!$B$24,OR($F144=Scales!$B$27,$G144=Scales!$B$33),$T144=3)," + Human-signature guardrail","")&amp;IF($T144=$L144," + Model confidence","")&amp;IF($T144=IF($F144=Scales!$B$24,IF($S144="Passed",4,IF(NOT(ISNUMBER($R144)),0,IF(OR($R144&lt;0,$R144&gt;4,$R144&lt;&gt;INT($R144)),0,$R144))),IF(NOT(ISNUMBER($R144)),0,IF(OR($R144&lt;0,$R144&gt;4,$R144&lt;&gt;INT($R144)),0,$R144))+IF($S144="Passed",1,0))," + "&amp;IF($S144&lt;&gt;"Passed","Readiness gate","Readiness gate (one level per gate)"),""),4,200)))</f>
        <v/>
      </c>
      <c r="V144" s="23"/>
    </row>
    <row r="145" spans="1:22" x14ac:dyDescent="0.25">
      <c r="A145" s="8" t="s">
        <v>265</v>
      </c>
      <c r="B145" s="11" t="str">
        <f>IF($A145="","",IF(COUNTIF('Use cases'!$A$5:$A$34,$A145)&gt;1,"Duplicate ID",IFERROR(IF(VLOOKUP($A145,'Use cases'!$A$5:$B$34,2,FALSE())=0,"",VLOOKUP($A145,'Use cases'!$A$5:$B$34,2,FALSE())),"")))</f>
        <v/>
      </c>
      <c r="C145" s="12" t="str">
        <f>IF(OR($B145="",$B145="Duplicate ID"),"",IFERROR(VLOOKUP($A145,'Use cases'!$A$5:$C$34,3,FALSE()),""))</f>
        <v/>
      </c>
      <c r="D145" s="13" t="s">
        <v>117</v>
      </c>
      <c r="E145" s="23"/>
      <c r="F145" s="23"/>
      <c r="G145" s="24"/>
      <c r="H145" s="24"/>
      <c r="I145" s="13" t="str">
        <f>IF(OR($B145="",$B145="Duplicate ID"),"",IFERROR(VLOOKUP($A145,'Use cases'!$A$5:$E$34,5,FALSE()),""))</f>
        <v/>
      </c>
      <c r="J145" s="11" t="str">
        <f>IF(OR($B145="",$B145="Duplicate ID"),"",IF(OR($F145="",$G145=""),"",IF(Policy!$B$24&lt;&gt;"OK","Config error",IFERROR(INDEX(Scales!$B$6:$B$10,1+INDEX(Policy!$C$5:$E$16,MATCH($F145&amp;"|"&amp;$G145,Policy!$G$5:$G$16,0),MATCH($I145,Policy!$C$4:$E$4,0))),"Config error"))))</f>
        <v/>
      </c>
      <c r="K145" s="13" t="str">
        <f>IF($H145="","",IF($F145=Scales!$B$24,"exempt",IFERROR(IF(VLOOKUP($H145,Conf_Check,3,FALSE())="valid",VLOOKUP($H145,Conf_Adjust,2,FALSE()),"n/a"),"n/a")))</f>
        <v/>
      </c>
      <c r="L145" s="13" t="str">
        <f>IF(OR($J145="",$J145="Config error"),"",IF(OR($F145=Scales!$B$24,AND(ISNUMBER($K145),$K145=0)),4,IF(ISNUMBER($K145),MAX(1,MATCH($J145,Scales!$B$6:$B$10,0)-1+$K145),1)))</f>
        <v/>
      </c>
      <c r="M145" s="5"/>
      <c r="N145" s="5"/>
      <c r="O145" s="8" t="str">
        <f>IF(OR($J145="",$J145="Config error",$E145="",$F145="",$G145="",$H145="",$R145=""),"",IF($M145="",MATCH($J145,Scales!$B$6:$B$10,0),IFERROR(MATCH($M145,Scales!$B$6:$B$10,0),MATCH($J145,Scales!$B$6:$B$10,0)))-1)</f>
        <v/>
      </c>
      <c r="P145" s="12" t="str">
        <f>IF($J145="",IF(AND($B145&lt;&gt;"",$B145&lt;&gt;"Duplicate ID"),"Incomplete assessment",""),IF($J145="Config error","Config error",IF($O145="","Incomplete assessment",IF($M145="","As recommended",IF(ISERROR(MATCH($M145,Scales!$B$6:$B$10,0)),"Invalid choice",IF(MATCH($M145,Scales!$B$6:$B$10,0)&gt;MATCH($J145,Scales!$B$6:$B$10,0),"Above policy: needs sign-off",IF(MATCH($M145,Scales!$B$6:$B$10,0)&lt;MATCH($J145,Scales!$B$6:$B$10,0),"More cautious than policy","As recommended")))))))</f>
        <v/>
      </c>
      <c r="Q145" s="13" t="str">
        <f>IF(OR($O145="",Policy!$B$24&lt;&gt;"OK"),"",IFERROR(MIN($O145,INDEX(Policy!$C$5:$E$16,MATCH($F145&amp;"|"&amp;Scales!$B$33,Policy!$G$5:$G$16,0),MATCH($I145,Policy!$C$4:$E$4,0))),""))</f>
        <v/>
      </c>
      <c r="R145" s="5"/>
      <c r="S145" s="13" t="str">
        <f>IF($B145="","",IF(COUNTIF('Readiness gate'!$A$7:$A$36,$A145)&lt;&gt;1,"Incomplete",IFERROR(IF(VLOOKUP($A145,GateTab,IF($F145=Scales!$B$24,11,9),FALSE())="","Incomplete",VLOOKUP($A145,GateTab,IF($F145=Scales!$B$24,11,9),FALSE())),"Incomplete")))</f>
        <v/>
      </c>
      <c r="T145" s="8" t="str">
        <f>IF($O145="","",MIN(IF(AND($O145&gt;MATCH($J145,Scales!$B$6:$B$10,0)-1,$N145&lt;&gt;"Yes"),MATCH($J145,Scales!$B$6:$B$10,0)-1,$O145),$L145,IF($F145=Scales!$B$24,IF($S145="Passed",4,IF(NOT(ISNUMBER($R145)),0,IF(OR($R145&lt;0,$R145&gt;4,$R145&lt;&gt;INT($R145)),0,$R145))),IF(NOT(ISNUMBER($R145)),0,IF(OR($R145&lt;0,$R145&gt;4,$R145&lt;&gt;INT($R145)),0,$R145))+IF($S145="Passed",1,0)),IF(AND($F145&lt;&gt;Scales!$B$24,OR($F145=Scales!$B$27,$G145=Scales!$B$33)),3,4)))</f>
        <v/>
      </c>
      <c r="U145" s="13" t="str">
        <f>IF($O145="",IF(AND($B145&lt;&gt;"",$B145&lt;&gt;"Duplicate ID"),IF($J145="Config error","Config error","Incomplete assessment"),""),IF($T145&gt;=$O145,IF(LEFT($P145,4)="More","Own choice","None"),MID(IF(AND($O145&gt;MATCH($J145,Scales!$B$6:$B$10,0)-1,$N145&lt;&gt;"Yes",$T145=MATCH($J145,Scales!$B$6:$B$10,0)-1)," + Exception not approved","")&amp;IF(AND($F145&lt;&gt;Scales!$B$24,OR($F145=Scales!$B$27,$G145=Scales!$B$33),$T145=3)," + Human-signature guardrail","")&amp;IF($T145=$L145," + Model confidence","")&amp;IF($T145=IF($F145=Scales!$B$24,IF($S145="Passed",4,IF(NOT(ISNUMBER($R145)),0,IF(OR($R145&lt;0,$R145&gt;4,$R145&lt;&gt;INT($R145)),0,$R145))),IF(NOT(ISNUMBER($R145)),0,IF(OR($R145&lt;0,$R145&gt;4,$R145&lt;&gt;INT($R145)),0,$R145))+IF($S145="Passed",1,0))," + "&amp;IF($S145&lt;&gt;"Passed","Readiness gate","Readiness gate (one level per gate)"),""),4,200)))</f>
        <v/>
      </c>
      <c r="V145" s="23"/>
    </row>
    <row r="146" spans="1:22" x14ac:dyDescent="0.25">
      <c r="A146" s="8" t="s">
        <v>265</v>
      </c>
      <c r="B146" s="11" t="str">
        <f>IF($A146="","",IF(COUNTIF('Use cases'!$A$5:$A$34,$A146)&gt;1,"Duplicate ID",IFERROR(IF(VLOOKUP($A146,'Use cases'!$A$5:$B$34,2,FALSE())=0,"",VLOOKUP($A146,'Use cases'!$A$5:$B$34,2,FALSE())),"")))</f>
        <v/>
      </c>
      <c r="C146" s="12" t="str">
        <f>IF(OR($B146="",$B146="Duplicate ID"),"",IFERROR(VLOOKUP($A146,'Use cases'!$A$5:$C$34,3,FALSE()),""))</f>
        <v/>
      </c>
      <c r="D146" s="13" t="s">
        <v>120</v>
      </c>
      <c r="E146" s="23"/>
      <c r="F146" s="23"/>
      <c r="G146" s="24"/>
      <c r="H146" s="24"/>
      <c r="I146" s="13" t="str">
        <f>IF(OR($B146="",$B146="Duplicate ID"),"",IFERROR(VLOOKUP($A146,'Use cases'!$A$5:$E$34,5,FALSE()),""))</f>
        <v/>
      </c>
      <c r="J146" s="11" t="str">
        <f>IF(OR($B146="",$B146="Duplicate ID"),"",IF(OR($F146="",$G146=""),"",IF(Policy!$B$24&lt;&gt;"OK","Config error",IFERROR(INDEX(Scales!$B$6:$B$10,1+INDEX(Policy!$C$5:$E$16,MATCH($F146&amp;"|"&amp;$G146,Policy!$G$5:$G$16,0),MATCH($I146,Policy!$C$4:$E$4,0))),"Config error"))))</f>
        <v/>
      </c>
      <c r="K146" s="13" t="str">
        <f>IF($H146="","",IF($F146=Scales!$B$24,"exempt",IFERROR(IF(VLOOKUP($H146,Conf_Check,3,FALSE())="valid",VLOOKUP($H146,Conf_Adjust,2,FALSE()),"n/a"),"n/a")))</f>
        <v/>
      </c>
      <c r="L146" s="13" t="str">
        <f>IF(OR($J146="",$J146="Config error"),"",IF(OR($F146=Scales!$B$24,AND(ISNUMBER($K146),$K146=0)),4,IF(ISNUMBER($K146),MAX(1,MATCH($J146,Scales!$B$6:$B$10,0)-1+$K146),1)))</f>
        <v/>
      </c>
      <c r="M146" s="5"/>
      <c r="N146" s="5"/>
      <c r="O146" s="8" t="str">
        <f>IF(OR($J146="",$J146="Config error",$E146="",$F146="",$G146="",$H146="",$R146=""),"",IF($M146="",MATCH($J146,Scales!$B$6:$B$10,0),IFERROR(MATCH($M146,Scales!$B$6:$B$10,0),MATCH($J146,Scales!$B$6:$B$10,0)))-1)</f>
        <v/>
      </c>
      <c r="P146" s="12" t="str">
        <f>IF($J146="",IF(AND($B146&lt;&gt;"",$B146&lt;&gt;"Duplicate ID"),"Incomplete assessment",""),IF($J146="Config error","Config error",IF($O146="","Incomplete assessment",IF($M146="","As recommended",IF(ISERROR(MATCH($M146,Scales!$B$6:$B$10,0)),"Invalid choice",IF(MATCH($M146,Scales!$B$6:$B$10,0)&gt;MATCH($J146,Scales!$B$6:$B$10,0),"Above policy: needs sign-off",IF(MATCH($M146,Scales!$B$6:$B$10,0)&lt;MATCH($J146,Scales!$B$6:$B$10,0),"More cautious than policy","As recommended")))))))</f>
        <v/>
      </c>
      <c r="Q146" s="13" t="str">
        <f>IF(OR($O146="",Policy!$B$24&lt;&gt;"OK"),"",IFERROR(MIN($O146,INDEX(Policy!$C$5:$E$16,MATCH($F146&amp;"|"&amp;Scales!$B$33,Policy!$G$5:$G$16,0),MATCH($I146,Policy!$C$4:$E$4,0))),""))</f>
        <v/>
      </c>
      <c r="R146" s="5"/>
      <c r="S146" s="13" t="str">
        <f>IF($B146="","",IF(COUNTIF('Readiness gate'!$A$7:$A$36,$A146)&lt;&gt;1,"Incomplete",IFERROR(IF(VLOOKUP($A146,GateTab,IF($F146=Scales!$B$24,11,9),FALSE())="","Incomplete",VLOOKUP($A146,GateTab,IF($F146=Scales!$B$24,11,9),FALSE())),"Incomplete")))</f>
        <v/>
      </c>
      <c r="T146" s="8" t="str">
        <f>IF($O146="","",MIN(IF(AND($O146&gt;MATCH($J146,Scales!$B$6:$B$10,0)-1,$N146&lt;&gt;"Yes"),MATCH($J146,Scales!$B$6:$B$10,0)-1,$O146),$L146,IF($F146=Scales!$B$24,IF($S146="Passed",4,IF(NOT(ISNUMBER($R146)),0,IF(OR($R146&lt;0,$R146&gt;4,$R146&lt;&gt;INT($R146)),0,$R146))),IF(NOT(ISNUMBER($R146)),0,IF(OR($R146&lt;0,$R146&gt;4,$R146&lt;&gt;INT($R146)),0,$R146))+IF($S146="Passed",1,0)),IF(AND($F146&lt;&gt;Scales!$B$24,OR($F146=Scales!$B$27,$G146=Scales!$B$33)),3,4)))</f>
        <v/>
      </c>
      <c r="U146" s="13" t="str">
        <f>IF($O146="",IF(AND($B146&lt;&gt;"",$B146&lt;&gt;"Duplicate ID"),IF($J146="Config error","Config error","Incomplete assessment"),""),IF($T146&gt;=$O146,IF(LEFT($P146,4)="More","Own choice","None"),MID(IF(AND($O146&gt;MATCH($J146,Scales!$B$6:$B$10,0)-1,$N146&lt;&gt;"Yes",$T146=MATCH($J146,Scales!$B$6:$B$10,0)-1)," + Exception not approved","")&amp;IF(AND($F146&lt;&gt;Scales!$B$24,OR($F146=Scales!$B$27,$G146=Scales!$B$33),$T146=3)," + Human-signature guardrail","")&amp;IF($T146=$L146," + Model confidence","")&amp;IF($T146=IF($F146=Scales!$B$24,IF($S146="Passed",4,IF(NOT(ISNUMBER($R146)),0,IF(OR($R146&lt;0,$R146&gt;4,$R146&lt;&gt;INT($R146)),0,$R146))),IF(NOT(ISNUMBER($R146)),0,IF(OR($R146&lt;0,$R146&gt;4,$R146&lt;&gt;INT($R146)),0,$R146))+IF($S146="Passed",1,0))," + "&amp;IF($S146&lt;&gt;"Passed","Readiness gate","Readiness gate (one level per gate)"),""),4,200)))</f>
        <v/>
      </c>
      <c r="V146" s="23"/>
    </row>
    <row r="147" spans="1:22" x14ac:dyDescent="0.25">
      <c r="A147" s="8" t="s">
        <v>265</v>
      </c>
      <c r="B147" s="11" t="str">
        <f>IF($A147="","",IF(COUNTIF('Use cases'!$A$5:$A$34,$A147)&gt;1,"Duplicate ID",IFERROR(IF(VLOOKUP($A147,'Use cases'!$A$5:$B$34,2,FALSE())=0,"",VLOOKUP($A147,'Use cases'!$A$5:$B$34,2,FALSE())),"")))</f>
        <v/>
      </c>
      <c r="C147" s="12" t="str">
        <f>IF(OR($B147="",$B147="Duplicate ID"),"",IFERROR(VLOOKUP($A147,'Use cases'!$A$5:$C$34,3,FALSE()),""))</f>
        <v/>
      </c>
      <c r="D147" s="13" t="s">
        <v>123</v>
      </c>
      <c r="E147" s="23"/>
      <c r="F147" s="23"/>
      <c r="G147" s="24"/>
      <c r="H147" s="24"/>
      <c r="I147" s="13" t="str">
        <f>IF(OR($B147="",$B147="Duplicate ID"),"",IFERROR(VLOOKUP($A147,'Use cases'!$A$5:$E$34,5,FALSE()),""))</f>
        <v/>
      </c>
      <c r="J147" s="11" t="str">
        <f>IF(OR($B147="",$B147="Duplicate ID"),"",IF(OR($F147="",$G147=""),"",IF(Policy!$B$24&lt;&gt;"OK","Config error",IFERROR(INDEX(Scales!$B$6:$B$10,1+INDEX(Policy!$C$5:$E$16,MATCH($F147&amp;"|"&amp;$G147,Policy!$G$5:$G$16,0),MATCH($I147,Policy!$C$4:$E$4,0))),"Config error"))))</f>
        <v/>
      </c>
      <c r="K147" s="13" t="str">
        <f>IF($H147="","",IF($F147=Scales!$B$24,"exempt",IFERROR(IF(VLOOKUP($H147,Conf_Check,3,FALSE())="valid",VLOOKUP($H147,Conf_Adjust,2,FALSE()),"n/a"),"n/a")))</f>
        <v/>
      </c>
      <c r="L147" s="13" t="str">
        <f>IF(OR($J147="",$J147="Config error"),"",IF(OR($F147=Scales!$B$24,AND(ISNUMBER($K147),$K147=0)),4,IF(ISNUMBER($K147),MAX(1,MATCH($J147,Scales!$B$6:$B$10,0)-1+$K147),1)))</f>
        <v/>
      </c>
      <c r="M147" s="5"/>
      <c r="N147" s="5"/>
      <c r="O147" s="8" t="str">
        <f>IF(OR($J147="",$J147="Config error",$E147="",$F147="",$G147="",$H147="",$R147=""),"",IF($M147="",MATCH($J147,Scales!$B$6:$B$10,0),IFERROR(MATCH($M147,Scales!$B$6:$B$10,0),MATCH($J147,Scales!$B$6:$B$10,0)))-1)</f>
        <v/>
      </c>
      <c r="P147" s="12" t="str">
        <f>IF($J147="",IF(AND($B147&lt;&gt;"",$B147&lt;&gt;"Duplicate ID"),"Incomplete assessment",""),IF($J147="Config error","Config error",IF($O147="","Incomplete assessment",IF($M147="","As recommended",IF(ISERROR(MATCH($M147,Scales!$B$6:$B$10,0)),"Invalid choice",IF(MATCH($M147,Scales!$B$6:$B$10,0)&gt;MATCH($J147,Scales!$B$6:$B$10,0),"Above policy: needs sign-off",IF(MATCH($M147,Scales!$B$6:$B$10,0)&lt;MATCH($J147,Scales!$B$6:$B$10,0),"More cautious than policy","As recommended")))))))</f>
        <v/>
      </c>
      <c r="Q147" s="13" t="str">
        <f>IF(OR($O147="",Policy!$B$24&lt;&gt;"OK"),"",IFERROR(MIN($O147,INDEX(Policy!$C$5:$E$16,MATCH($F147&amp;"|"&amp;Scales!$B$33,Policy!$G$5:$G$16,0),MATCH($I147,Policy!$C$4:$E$4,0))),""))</f>
        <v/>
      </c>
      <c r="R147" s="5"/>
      <c r="S147" s="13" t="str">
        <f>IF($B147="","",IF(COUNTIF('Readiness gate'!$A$7:$A$36,$A147)&lt;&gt;1,"Incomplete",IFERROR(IF(VLOOKUP($A147,GateTab,IF($F147=Scales!$B$24,11,9),FALSE())="","Incomplete",VLOOKUP($A147,GateTab,IF($F147=Scales!$B$24,11,9),FALSE())),"Incomplete")))</f>
        <v/>
      </c>
      <c r="T147" s="8" t="str">
        <f>IF($O147="","",MIN(IF(AND($O147&gt;MATCH($J147,Scales!$B$6:$B$10,0)-1,$N147&lt;&gt;"Yes"),MATCH($J147,Scales!$B$6:$B$10,0)-1,$O147),$L147,IF($F147=Scales!$B$24,IF($S147="Passed",4,IF(NOT(ISNUMBER($R147)),0,IF(OR($R147&lt;0,$R147&gt;4,$R147&lt;&gt;INT($R147)),0,$R147))),IF(NOT(ISNUMBER($R147)),0,IF(OR($R147&lt;0,$R147&gt;4,$R147&lt;&gt;INT($R147)),0,$R147))+IF($S147="Passed",1,0)),IF(AND($F147&lt;&gt;Scales!$B$24,OR($F147=Scales!$B$27,$G147=Scales!$B$33)),3,4)))</f>
        <v/>
      </c>
      <c r="U147" s="13" t="str">
        <f>IF($O147="",IF(AND($B147&lt;&gt;"",$B147&lt;&gt;"Duplicate ID"),IF($J147="Config error","Config error","Incomplete assessment"),""),IF($T147&gt;=$O147,IF(LEFT($P147,4)="More","Own choice","None"),MID(IF(AND($O147&gt;MATCH($J147,Scales!$B$6:$B$10,0)-1,$N147&lt;&gt;"Yes",$T147=MATCH($J147,Scales!$B$6:$B$10,0)-1)," + Exception not approved","")&amp;IF(AND($F147&lt;&gt;Scales!$B$24,OR($F147=Scales!$B$27,$G147=Scales!$B$33),$T147=3)," + Human-signature guardrail","")&amp;IF($T147=$L147," + Model confidence","")&amp;IF($T147=IF($F147=Scales!$B$24,IF($S147="Passed",4,IF(NOT(ISNUMBER($R147)),0,IF(OR($R147&lt;0,$R147&gt;4,$R147&lt;&gt;INT($R147)),0,$R147))),IF(NOT(ISNUMBER($R147)),0,IF(OR($R147&lt;0,$R147&gt;4,$R147&lt;&gt;INT($R147)),0,$R147))+IF($S147="Passed",1,0))," + "&amp;IF($S147&lt;&gt;"Passed","Readiness gate","Readiness gate (one level per gate)"),""),4,200)))</f>
        <v/>
      </c>
      <c r="V147" s="23"/>
    </row>
    <row r="148" spans="1:22" x14ac:dyDescent="0.25">
      <c r="A148" s="8" t="s">
        <v>265</v>
      </c>
      <c r="B148" s="11" t="str">
        <f>IF($A148="","",IF(COUNTIF('Use cases'!$A$5:$A$34,$A148)&gt;1,"Duplicate ID",IFERROR(IF(VLOOKUP($A148,'Use cases'!$A$5:$B$34,2,FALSE())=0,"",VLOOKUP($A148,'Use cases'!$A$5:$B$34,2,FALSE())),"")))</f>
        <v/>
      </c>
      <c r="C148" s="12" t="str">
        <f>IF(OR($B148="",$B148="Duplicate ID"),"",IFERROR(VLOOKUP($A148,'Use cases'!$A$5:$C$34,3,FALSE()),""))</f>
        <v/>
      </c>
      <c r="D148" s="13" t="s">
        <v>125</v>
      </c>
      <c r="E148" s="23"/>
      <c r="F148" s="23"/>
      <c r="G148" s="24"/>
      <c r="H148" s="24"/>
      <c r="I148" s="13" t="str">
        <f>IF(OR($B148="",$B148="Duplicate ID"),"",IFERROR(VLOOKUP($A148,'Use cases'!$A$5:$E$34,5,FALSE()),""))</f>
        <v/>
      </c>
      <c r="J148" s="11" t="str">
        <f>IF(OR($B148="",$B148="Duplicate ID"),"",IF(OR($F148="",$G148=""),"",IF(Policy!$B$24&lt;&gt;"OK","Config error",IFERROR(INDEX(Scales!$B$6:$B$10,1+INDEX(Policy!$C$5:$E$16,MATCH($F148&amp;"|"&amp;$G148,Policy!$G$5:$G$16,0),MATCH($I148,Policy!$C$4:$E$4,0))),"Config error"))))</f>
        <v/>
      </c>
      <c r="K148" s="13" t="str">
        <f>IF($H148="","",IF($F148=Scales!$B$24,"exempt",IFERROR(IF(VLOOKUP($H148,Conf_Check,3,FALSE())="valid",VLOOKUP($H148,Conf_Adjust,2,FALSE()),"n/a"),"n/a")))</f>
        <v/>
      </c>
      <c r="L148" s="13" t="str">
        <f>IF(OR($J148="",$J148="Config error"),"",IF(OR($F148=Scales!$B$24,AND(ISNUMBER($K148),$K148=0)),4,IF(ISNUMBER($K148),MAX(1,MATCH($J148,Scales!$B$6:$B$10,0)-1+$K148),1)))</f>
        <v/>
      </c>
      <c r="M148" s="5"/>
      <c r="N148" s="5"/>
      <c r="O148" s="8" t="str">
        <f>IF(OR($J148="",$J148="Config error",$E148="",$F148="",$G148="",$H148="",$R148=""),"",IF($M148="",MATCH($J148,Scales!$B$6:$B$10,0),IFERROR(MATCH($M148,Scales!$B$6:$B$10,0),MATCH($J148,Scales!$B$6:$B$10,0)))-1)</f>
        <v/>
      </c>
      <c r="P148" s="12" t="str">
        <f>IF($J148="",IF(AND($B148&lt;&gt;"",$B148&lt;&gt;"Duplicate ID"),"Incomplete assessment",""),IF($J148="Config error","Config error",IF($O148="","Incomplete assessment",IF($M148="","As recommended",IF(ISERROR(MATCH($M148,Scales!$B$6:$B$10,0)),"Invalid choice",IF(MATCH($M148,Scales!$B$6:$B$10,0)&gt;MATCH($J148,Scales!$B$6:$B$10,0),"Above policy: needs sign-off",IF(MATCH($M148,Scales!$B$6:$B$10,0)&lt;MATCH($J148,Scales!$B$6:$B$10,0),"More cautious than policy","As recommended")))))))</f>
        <v/>
      </c>
      <c r="Q148" s="13" t="str">
        <f>IF(OR($O148="",Policy!$B$24&lt;&gt;"OK"),"",IFERROR(MIN($O148,INDEX(Policy!$C$5:$E$16,MATCH($F148&amp;"|"&amp;Scales!$B$33,Policy!$G$5:$G$16,0),MATCH($I148,Policy!$C$4:$E$4,0))),""))</f>
        <v/>
      </c>
      <c r="R148" s="5"/>
      <c r="S148" s="13" t="str">
        <f>IF($B148="","",IF(COUNTIF('Readiness gate'!$A$7:$A$36,$A148)&lt;&gt;1,"Incomplete",IFERROR(IF(VLOOKUP($A148,GateTab,IF($F148=Scales!$B$24,11,9),FALSE())="","Incomplete",VLOOKUP($A148,GateTab,IF($F148=Scales!$B$24,11,9),FALSE())),"Incomplete")))</f>
        <v/>
      </c>
      <c r="T148" s="8" t="str">
        <f>IF($O148="","",MIN(IF(AND($O148&gt;MATCH($J148,Scales!$B$6:$B$10,0)-1,$N148&lt;&gt;"Yes"),MATCH($J148,Scales!$B$6:$B$10,0)-1,$O148),$L148,IF($F148=Scales!$B$24,IF($S148="Passed",4,IF(NOT(ISNUMBER($R148)),0,IF(OR($R148&lt;0,$R148&gt;4,$R148&lt;&gt;INT($R148)),0,$R148))),IF(NOT(ISNUMBER($R148)),0,IF(OR($R148&lt;0,$R148&gt;4,$R148&lt;&gt;INT($R148)),0,$R148))+IF($S148="Passed",1,0)),IF(AND($F148&lt;&gt;Scales!$B$24,OR($F148=Scales!$B$27,$G148=Scales!$B$33)),3,4)))</f>
        <v/>
      </c>
      <c r="U148" s="13" t="str">
        <f>IF($O148="",IF(AND($B148&lt;&gt;"",$B148&lt;&gt;"Duplicate ID"),IF($J148="Config error","Config error","Incomplete assessment"),""),IF($T148&gt;=$O148,IF(LEFT($P148,4)="More","Own choice","None"),MID(IF(AND($O148&gt;MATCH($J148,Scales!$B$6:$B$10,0)-1,$N148&lt;&gt;"Yes",$T148=MATCH($J148,Scales!$B$6:$B$10,0)-1)," + Exception not approved","")&amp;IF(AND($F148&lt;&gt;Scales!$B$24,OR($F148=Scales!$B$27,$G148=Scales!$B$33),$T148=3)," + Human-signature guardrail","")&amp;IF($T148=$L148," + Model confidence","")&amp;IF($T148=IF($F148=Scales!$B$24,IF($S148="Passed",4,IF(NOT(ISNUMBER($R148)),0,IF(OR($R148&lt;0,$R148&gt;4,$R148&lt;&gt;INT($R148)),0,$R148))),IF(NOT(ISNUMBER($R148)),0,IF(OR($R148&lt;0,$R148&gt;4,$R148&lt;&gt;INT($R148)),0,$R148))+IF($S148="Passed",1,0))," + "&amp;IF($S148&lt;&gt;"Passed","Readiness gate","Readiness gate (one level per gate)"),""),4,200)))</f>
        <v/>
      </c>
      <c r="V148" s="23"/>
    </row>
    <row r="149" spans="1:22" x14ac:dyDescent="0.25">
      <c r="A149" s="8" t="s">
        <v>265</v>
      </c>
      <c r="B149" s="11" t="str">
        <f>IF($A149="","",IF(COUNTIF('Use cases'!$A$5:$A$34,$A149)&gt;1,"Duplicate ID",IFERROR(IF(VLOOKUP($A149,'Use cases'!$A$5:$B$34,2,FALSE())=0,"",VLOOKUP($A149,'Use cases'!$A$5:$B$34,2,FALSE())),"")))</f>
        <v/>
      </c>
      <c r="C149" s="12" t="str">
        <f>IF(OR($B149="",$B149="Duplicate ID"),"",IFERROR(VLOOKUP($A149,'Use cases'!$A$5:$C$34,3,FALSE()),""))</f>
        <v/>
      </c>
      <c r="D149" s="13" t="s">
        <v>127</v>
      </c>
      <c r="E149" s="23"/>
      <c r="F149" s="23"/>
      <c r="G149" s="24"/>
      <c r="H149" s="24"/>
      <c r="I149" s="13" t="str">
        <f>IF(OR($B149="",$B149="Duplicate ID"),"",IFERROR(VLOOKUP($A149,'Use cases'!$A$5:$E$34,5,FALSE()),""))</f>
        <v/>
      </c>
      <c r="J149" s="11" t="str">
        <f>IF(OR($B149="",$B149="Duplicate ID"),"",IF(OR($F149="",$G149=""),"",IF(Policy!$B$24&lt;&gt;"OK","Config error",IFERROR(INDEX(Scales!$B$6:$B$10,1+INDEX(Policy!$C$5:$E$16,MATCH($F149&amp;"|"&amp;$G149,Policy!$G$5:$G$16,0),MATCH($I149,Policy!$C$4:$E$4,0))),"Config error"))))</f>
        <v/>
      </c>
      <c r="K149" s="13" t="str">
        <f>IF($H149="","",IF($F149=Scales!$B$24,"exempt",IFERROR(IF(VLOOKUP($H149,Conf_Check,3,FALSE())="valid",VLOOKUP($H149,Conf_Adjust,2,FALSE()),"n/a"),"n/a")))</f>
        <v/>
      </c>
      <c r="L149" s="13" t="str">
        <f>IF(OR($J149="",$J149="Config error"),"",IF(OR($F149=Scales!$B$24,AND(ISNUMBER($K149),$K149=0)),4,IF(ISNUMBER($K149),MAX(1,MATCH($J149,Scales!$B$6:$B$10,0)-1+$K149),1)))</f>
        <v/>
      </c>
      <c r="M149" s="5"/>
      <c r="N149" s="5"/>
      <c r="O149" s="8" t="str">
        <f>IF(OR($J149="",$J149="Config error",$E149="",$F149="",$G149="",$H149="",$R149=""),"",IF($M149="",MATCH($J149,Scales!$B$6:$B$10,0),IFERROR(MATCH($M149,Scales!$B$6:$B$10,0),MATCH($J149,Scales!$B$6:$B$10,0)))-1)</f>
        <v/>
      </c>
      <c r="P149" s="12" t="str">
        <f>IF($J149="",IF(AND($B149&lt;&gt;"",$B149&lt;&gt;"Duplicate ID"),"Incomplete assessment",""),IF($J149="Config error","Config error",IF($O149="","Incomplete assessment",IF($M149="","As recommended",IF(ISERROR(MATCH($M149,Scales!$B$6:$B$10,0)),"Invalid choice",IF(MATCH($M149,Scales!$B$6:$B$10,0)&gt;MATCH($J149,Scales!$B$6:$B$10,0),"Above policy: needs sign-off",IF(MATCH($M149,Scales!$B$6:$B$10,0)&lt;MATCH($J149,Scales!$B$6:$B$10,0),"More cautious than policy","As recommended")))))))</f>
        <v/>
      </c>
      <c r="Q149" s="13" t="str">
        <f>IF(OR($O149="",Policy!$B$24&lt;&gt;"OK"),"",IFERROR(MIN($O149,INDEX(Policy!$C$5:$E$16,MATCH($F149&amp;"|"&amp;Scales!$B$33,Policy!$G$5:$G$16,0),MATCH($I149,Policy!$C$4:$E$4,0))),""))</f>
        <v/>
      </c>
      <c r="R149" s="5"/>
      <c r="S149" s="13" t="str">
        <f>IF($B149="","",IF(COUNTIF('Readiness gate'!$A$7:$A$36,$A149)&lt;&gt;1,"Incomplete",IFERROR(IF(VLOOKUP($A149,GateTab,IF($F149=Scales!$B$24,11,9),FALSE())="","Incomplete",VLOOKUP($A149,GateTab,IF($F149=Scales!$B$24,11,9),FALSE())),"Incomplete")))</f>
        <v/>
      </c>
      <c r="T149" s="8" t="str">
        <f>IF($O149="","",MIN(IF(AND($O149&gt;MATCH($J149,Scales!$B$6:$B$10,0)-1,$N149&lt;&gt;"Yes"),MATCH($J149,Scales!$B$6:$B$10,0)-1,$O149),$L149,IF($F149=Scales!$B$24,IF($S149="Passed",4,IF(NOT(ISNUMBER($R149)),0,IF(OR($R149&lt;0,$R149&gt;4,$R149&lt;&gt;INT($R149)),0,$R149))),IF(NOT(ISNUMBER($R149)),0,IF(OR($R149&lt;0,$R149&gt;4,$R149&lt;&gt;INT($R149)),0,$R149))+IF($S149="Passed",1,0)),IF(AND($F149&lt;&gt;Scales!$B$24,OR($F149=Scales!$B$27,$G149=Scales!$B$33)),3,4)))</f>
        <v/>
      </c>
      <c r="U149" s="13" t="str">
        <f>IF($O149="",IF(AND($B149&lt;&gt;"",$B149&lt;&gt;"Duplicate ID"),IF($J149="Config error","Config error","Incomplete assessment"),""),IF($T149&gt;=$O149,IF(LEFT($P149,4)="More","Own choice","None"),MID(IF(AND($O149&gt;MATCH($J149,Scales!$B$6:$B$10,0)-1,$N149&lt;&gt;"Yes",$T149=MATCH($J149,Scales!$B$6:$B$10,0)-1)," + Exception not approved","")&amp;IF(AND($F149&lt;&gt;Scales!$B$24,OR($F149=Scales!$B$27,$G149=Scales!$B$33),$T149=3)," + Human-signature guardrail","")&amp;IF($T149=$L149," + Model confidence","")&amp;IF($T149=IF($F149=Scales!$B$24,IF($S149="Passed",4,IF(NOT(ISNUMBER($R149)),0,IF(OR($R149&lt;0,$R149&gt;4,$R149&lt;&gt;INT($R149)),0,$R149))),IF(NOT(ISNUMBER($R149)),0,IF(OR($R149&lt;0,$R149&gt;4,$R149&lt;&gt;INT($R149)),0,$R149))+IF($S149="Passed",1,0))," + "&amp;IF($S149&lt;&gt;"Passed","Readiness gate","Readiness gate (one level per gate)"),""),4,200)))</f>
        <v/>
      </c>
      <c r="V149" s="23"/>
    </row>
    <row r="150" spans="1:22" x14ac:dyDescent="0.25">
      <c r="A150" s="8" t="s">
        <v>266</v>
      </c>
      <c r="B150" s="11" t="str">
        <f>IF($A150="","",IF(COUNTIF('Use cases'!$A$5:$A$34,$A150)&gt;1,"Duplicate ID",IFERROR(IF(VLOOKUP($A150,'Use cases'!$A$5:$B$34,2,FALSE())=0,"",VLOOKUP($A150,'Use cases'!$A$5:$B$34,2,FALSE())),"")))</f>
        <v/>
      </c>
      <c r="C150" s="12" t="str">
        <f>IF(OR($B150="",$B150="Duplicate ID"),"",IFERROR(VLOOKUP($A150,'Use cases'!$A$5:$C$34,3,FALSE()),""))</f>
        <v/>
      </c>
      <c r="D150" s="13" t="s">
        <v>112</v>
      </c>
      <c r="E150" s="23"/>
      <c r="F150" s="23"/>
      <c r="G150" s="24"/>
      <c r="H150" s="24"/>
      <c r="I150" s="13" t="str">
        <f>IF(OR($B150="",$B150="Duplicate ID"),"",IFERROR(VLOOKUP($A150,'Use cases'!$A$5:$E$34,5,FALSE()),""))</f>
        <v/>
      </c>
      <c r="J150" s="11" t="str">
        <f>IF(OR($B150="",$B150="Duplicate ID"),"",IF(OR($F150="",$G150=""),"",IF(Policy!$B$24&lt;&gt;"OK","Config error",IFERROR(INDEX(Scales!$B$6:$B$10,1+INDEX(Policy!$C$5:$E$16,MATCH($F150&amp;"|"&amp;$G150,Policy!$G$5:$G$16,0),MATCH($I150,Policy!$C$4:$E$4,0))),"Config error"))))</f>
        <v/>
      </c>
      <c r="K150" s="13" t="str">
        <f>IF($H150="","",IF($F150=Scales!$B$24,"exempt",IFERROR(IF(VLOOKUP($H150,Conf_Check,3,FALSE())="valid",VLOOKUP($H150,Conf_Adjust,2,FALSE()),"n/a"),"n/a")))</f>
        <v/>
      </c>
      <c r="L150" s="13" t="str">
        <f>IF(OR($J150="",$J150="Config error"),"",IF(OR($F150=Scales!$B$24,AND(ISNUMBER($K150),$K150=0)),4,IF(ISNUMBER($K150),MAX(1,MATCH($J150,Scales!$B$6:$B$10,0)-1+$K150),1)))</f>
        <v/>
      </c>
      <c r="M150" s="5"/>
      <c r="N150" s="5"/>
      <c r="O150" s="8" t="str">
        <f>IF(OR($J150="",$J150="Config error",$E150="",$F150="",$G150="",$H150="",$R150=""),"",IF($M150="",MATCH($J150,Scales!$B$6:$B$10,0),IFERROR(MATCH($M150,Scales!$B$6:$B$10,0),MATCH($J150,Scales!$B$6:$B$10,0)))-1)</f>
        <v/>
      </c>
      <c r="P150" s="12" t="str">
        <f>IF($J150="",IF(AND($B150&lt;&gt;"",$B150&lt;&gt;"Duplicate ID"),"Incomplete assessment",""),IF($J150="Config error","Config error",IF($O150="","Incomplete assessment",IF($M150="","As recommended",IF(ISERROR(MATCH($M150,Scales!$B$6:$B$10,0)),"Invalid choice",IF(MATCH($M150,Scales!$B$6:$B$10,0)&gt;MATCH($J150,Scales!$B$6:$B$10,0),"Above policy: needs sign-off",IF(MATCH($M150,Scales!$B$6:$B$10,0)&lt;MATCH($J150,Scales!$B$6:$B$10,0),"More cautious than policy","As recommended")))))))</f>
        <v/>
      </c>
      <c r="Q150" s="13" t="str">
        <f>IF(OR($O150="",Policy!$B$24&lt;&gt;"OK"),"",IFERROR(MIN($O150,INDEX(Policy!$C$5:$E$16,MATCH($F150&amp;"|"&amp;Scales!$B$33,Policy!$G$5:$G$16,0),MATCH($I150,Policy!$C$4:$E$4,0))),""))</f>
        <v/>
      </c>
      <c r="R150" s="5"/>
      <c r="S150" s="13" t="str">
        <f>IF($B150="","",IF(COUNTIF('Readiness gate'!$A$7:$A$36,$A150)&lt;&gt;1,"Incomplete",IFERROR(IF(VLOOKUP($A150,GateTab,IF($F150=Scales!$B$24,11,9),FALSE())="","Incomplete",VLOOKUP($A150,GateTab,IF($F150=Scales!$B$24,11,9),FALSE())),"Incomplete")))</f>
        <v/>
      </c>
      <c r="T150" s="8" t="str">
        <f>IF($O150="","",MIN(IF(AND($O150&gt;MATCH($J150,Scales!$B$6:$B$10,0)-1,$N150&lt;&gt;"Yes"),MATCH($J150,Scales!$B$6:$B$10,0)-1,$O150),$L150,IF($F150=Scales!$B$24,IF($S150="Passed",4,IF(NOT(ISNUMBER($R150)),0,IF(OR($R150&lt;0,$R150&gt;4,$R150&lt;&gt;INT($R150)),0,$R150))),IF(NOT(ISNUMBER($R150)),0,IF(OR($R150&lt;0,$R150&gt;4,$R150&lt;&gt;INT($R150)),0,$R150))+IF($S150="Passed",1,0)),IF(AND($F150&lt;&gt;Scales!$B$24,OR($F150=Scales!$B$27,$G150=Scales!$B$33)),3,4)))</f>
        <v/>
      </c>
      <c r="U150" s="13" t="str">
        <f>IF($O150="",IF(AND($B150&lt;&gt;"",$B150&lt;&gt;"Duplicate ID"),IF($J150="Config error","Config error","Incomplete assessment"),""),IF($T150&gt;=$O150,IF(LEFT($P150,4)="More","Own choice","None"),MID(IF(AND($O150&gt;MATCH($J150,Scales!$B$6:$B$10,0)-1,$N150&lt;&gt;"Yes",$T150=MATCH($J150,Scales!$B$6:$B$10,0)-1)," + Exception not approved","")&amp;IF(AND($F150&lt;&gt;Scales!$B$24,OR($F150=Scales!$B$27,$G150=Scales!$B$33),$T150=3)," + Human-signature guardrail","")&amp;IF($T150=$L150," + Model confidence","")&amp;IF($T150=IF($F150=Scales!$B$24,IF($S150="Passed",4,IF(NOT(ISNUMBER($R150)),0,IF(OR($R150&lt;0,$R150&gt;4,$R150&lt;&gt;INT($R150)),0,$R150))),IF(NOT(ISNUMBER($R150)),0,IF(OR($R150&lt;0,$R150&gt;4,$R150&lt;&gt;INT($R150)),0,$R150))+IF($S150="Passed",1,0))," + "&amp;IF($S150&lt;&gt;"Passed","Readiness gate","Readiness gate (one level per gate)"),""),4,200)))</f>
        <v/>
      </c>
      <c r="V150" s="23"/>
    </row>
    <row r="151" spans="1:22" x14ac:dyDescent="0.25">
      <c r="A151" s="8" t="s">
        <v>266</v>
      </c>
      <c r="B151" s="11" t="str">
        <f>IF($A151="","",IF(COUNTIF('Use cases'!$A$5:$A$34,$A151)&gt;1,"Duplicate ID",IFERROR(IF(VLOOKUP($A151,'Use cases'!$A$5:$B$34,2,FALSE())=0,"",VLOOKUP($A151,'Use cases'!$A$5:$B$34,2,FALSE())),"")))</f>
        <v/>
      </c>
      <c r="C151" s="12" t="str">
        <f>IF(OR($B151="",$B151="Duplicate ID"),"",IFERROR(VLOOKUP($A151,'Use cases'!$A$5:$C$34,3,FALSE()),""))</f>
        <v/>
      </c>
      <c r="D151" s="13" t="s">
        <v>117</v>
      </c>
      <c r="E151" s="23"/>
      <c r="F151" s="23"/>
      <c r="G151" s="24"/>
      <c r="H151" s="24"/>
      <c r="I151" s="13" t="str">
        <f>IF(OR($B151="",$B151="Duplicate ID"),"",IFERROR(VLOOKUP($A151,'Use cases'!$A$5:$E$34,5,FALSE()),""))</f>
        <v/>
      </c>
      <c r="J151" s="11" t="str">
        <f>IF(OR($B151="",$B151="Duplicate ID"),"",IF(OR($F151="",$G151=""),"",IF(Policy!$B$24&lt;&gt;"OK","Config error",IFERROR(INDEX(Scales!$B$6:$B$10,1+INDEX(Policy!$C$5:$E$16,MATCH($F151&amp;"|"&amp;$G151,Policy!$G$5:$G$16,0),MATCH($I151,Policy!$C$4:$E$4,0))),"Config error"))))</f>
        <v/>
      </c>
      <c r="K151" s="13" t="str">
        <f>IF($H151="","",IF($F151=Scales!$B$24,"exempt",IFERROR(IF(VLOOKUP($H151,Conf_Check,3,FALSE())="valid",VLOOKUP($H151,Conf_Adjust,2,FALSE()),"n/a"),"n/a")))</f>
        <v/>
      </c>
      <c r="L151" s="13" t="str">
        <f>IF(OR($J151="",$J151="Config error"),"",IF(OR($F151=Scales!$B$24,AND(ISNUMBER($K151),$K151=0)),4,IF(ISNUMBER($K151),MAX(1,MATCH($J151,Scales!$B$6:$B$10,0)-1+$K151),1)))</f>
        <v/>
      </c>
      <c r="M151" s="5"/>
      <c r="N151" s="5"/>
      <c r="O151" s="8" t="str">
        <f>IF(OR($J151="",$J151="Config error",$E151="",$F151="",$G151="",$H151="",$R151=""),"",IF($M151="",MATCH($J151,Scales!$B$6:$B$10,0),IFERROR(MATCH($M151,Scales!$B$6:$B$10,0),MATCH($J151,Scales!$B$6:$B$10,0)))-1)</f>
        <v/>
      </c>
      <c r="P151" s="12" t="str">
        <f>IF($J151="",IF(AND($B151&lt;&gt;"",$B151&lt;&gt;"Duplicate ID"),"Incomplete assessment",""),IF($J151="Config error","Config error",IF($O151="","Incomplete assessment",IF($M151="","As recommended",IF(ISERROR(MATCH($M151,Scales!$B$6:$B$10,0)),"Invalid choice",IF(MATCH($M151,Scales!$B$6:$B$10,0)&gt;MATCH($J151,Scales!$B$6:$B$10,0),"Above policy: needs sign-off",IF(MATCH($M151,Scales!$B$6:$B$10,0)&lt;MATCH($J151,Scales!$B$6:$B$10,0),"More cautious than policy","As recommended")))))))</f>
        <v/>
      </c>
      <c r="Q151" s="13" t="str">
        <f>IF(OR($O151="",Policy!$B$24&lt;&gt;"OK"),"",IFERROR(MIN($O151,INDEX(Policy!$C$5:$E$16,MATCH($F151&amp;"|"&amp;Scales!$B$33,Policy!$G$5:$G$16,0),MATCH($I151,Policy!$C$4:$E$4,0))),""))</f>
        <v/>
      </c>
      <c r="R151" s="5"/>
      <c r="S151" s="13" t="str">
        <f>IF($B151="","",IF(COUNTIF('Readiness gate'!$A$7:$A$36,$A151)&lt;&gt;1,"Incomplete",IFERROR(IF(VLOOKUP($A151,GateTab,IF($F151=Scales!$B$24,11,9),FALSE())="","Incomplete",VLOOKUP($A151,GateTab,IF($F151=Scales!$B$24,11,9),FALSE())),"Incomplete")))</f>
        <v/>
      </c>
      <c r="T151" s="8" t="str">
        <f>IF($O151="","",MIN(IF(AND($O151&gt;MATCH($J151,Scales!$B$6:$B$10,0)-1,$N151&lt;&gt;"Yes"),MATCH($J151,Scales!$B$6:$B$10,0)-1,$O151),$L151,IF($F151=Scales!$B$24,IF($S151="Passed",4,IF(NOT(ISNUMBER($R151)),0,IF(OR($R151&lt;0,$R151&gt;4,$R151&lt;&gt;INT($R151)),0,$R151))),IF(NOT(ISNUMBER($R151)),0,IF(OR($R151&lt;0,$R151&gt;4,$R151&lt;&gt;INT($R151)),0,$R151))+IF($S151="Passed",1,0)),IF(AND($F151&lt;&gt;Scales!$B$24,OR($F151=Scales!$B$27,$G151=Scales!$B$33)),3,4)))</f>
        <v/>
      </c>
      <c r="U151" s="13" t="str">
        <f>IF($O151="",IF(AND($B151&lt;&gt;"",$B151&lt;&gt;"Duplicate ID"),IF($J151="Config error","Config error","Incomplete assessment"),""),IF($T151&gt;=$O151,IF(LEFT($P151,4)="More","Own choice","None"),MID(IF(AND($O151&gt;MATCH($J151,Scales!$B$6:$B$10,0)-1,$N151&lt;&gt;"Yes",$T151=MATCH($J151,Scales!$B$6:$B$10,0)-1)," + Exception not approved","")&amp;IF(AND($F151&lt;&gt;Scales!$B$24,OR($F151=Scales!$B$27,$G151=Scales!$B$33),$T151=3)," + Human-signature guardrail","")&amp;IF($T151=$L151," + Model confidence","")&amp;IF($T151=IF($F151=Scales!$B$24,IF($S151="Passed",4,IF(NOT(ISNUMBER($R151)),0,IF(OR($R151&lt;0,$R151&gt;4,$R151&lt;&gt;INT($R151)),0,$R151))),IF(NOT(ISNUMBER($R151)),0,IF(OR($R151&lt;0,$R151&gt;4,$R151&lt;&gt;INT($R151)),0,$R151))+IF($S151="Passed",1,0))," + "&amp;IF($S151&lt;&gt;"Passed","Readiness gate","Readiness gate (one level per gate)"),""),4,200)))</f>
        <v/>
      </c>
      <c r="V151" s="23"/>
    </row>
    <row r="152" spans="1:22" x14ac:dyDescent="0.25">
      <c r="A152" s="8" t="s">
        <v>266</v>
      </c>
      <c r="B152" s="11" t="str">
        <f>IF($A152="","",IF(COUNTIF('Use cases'!$A$5:$A$34,$A152)&gt;1,"Duplicate ID",IFERROR(IF(VLOOKUP($A152,'Use cases'!$A$5:$B$34,2,FALSE())=0,"",VLOOKUP($A152,'Use cases'!$A$5:$B$34,2,FALSE())),"")))</f>
        <v/>
      </c>
      <c r="C152" s="12" t="str">
        <f>IF(OR($B152="",$B152="Duplicate ID"),"",IFERROR(VLOOKUP($A152,'Use cases'!$A$5:$C$34,3,FALSE()),""))</f>
        <v/>
      </c>
      <c r="D152" s="13" t="s">
        <v>120</v>
      </c>
      <c r="E152" s="23"/>
      <c r="F152" s="23"/>
      <c r="G152" s="24"/>
      <c r="H152" s="24"/>
      <c r="I152" s="13" t="str">
        <f>IF(OR($B152="",$B152="Duplicate ID"),"",IFERROR(VLOOKUP($A152,'Use cases'!$A$5:$E$34,5,FALSE()),""))</f>
        <v/>
      </c>
      <c r="J152" s="11" t="str">
        <f>IF(OR($B152="",$B152="Duplicate ID"),"",IF(OR($F152="",$G152=""),"",IF(Policy!$B$24&lt;&gt;"OK","Config error",IFERROR(INDEX(Scales!$B$6:$B$10,1+INDEX(Policy!$C$5:$E$16,MATCH($F152&amp;"|"&amp;$G152,Policy!$G$5:$G$16,0),MATCH($I152,Policy!$C$4:$E$4,0))),"Config error"))))</f>
        <v/>
      </c>
      <c r="K152" s="13" t="str">
        <f>IF($H152="","",IF($F152=Scales!$B$24,"exempt",IFERROR(IF(VLOOKUP($H152,Conf_Check,3,FALSE())="valid",VLOOKUP($H152,Conf_Adjust,2,FALSE()),"n/a"),"n/a")))</f>
        <v/>
      </c>
      <c r="L152" s="13" t="str">
        <f>IF(OR($J152="",$J152="Config error"),"",IF(OR($F152=Scales!$B$24,AND(ISNUMBER($K152),$K152=0)),4,IF(ISNUMBER($K152),MAX(1,MATCH($J152,Scales!$B$6:$B$10,0)-1+$K152),1)))</f>
        <v/>
      </c>
      <c r="M152" s="5"/>
      <c r="N152" s="5"/>
      <c r="O152" s="8" t="str">
        <f>IF(OR($J152="",$J152="Config error",$E152="",$F152="",$G152="",$H152="",$R152=""),"",IF($M152="",MATCH($J152,Scales!$B$6:$B$10,0),IFERROR(MATCH($M152,Scales!$B$6:$B$10,0),MATCH($J152,Scales!$B$6:$B$10,0)))-1)</f>
        <v/>
      </c>
      <c r="P152" s="12" t="str">
        <f>IF($J152="",IF(AND($B152&lt;&gt;"",$B152&lt;&gt;"Duplicate ID"),"Incomplete assessment",""),IF($J152="Config error","Config error",IF($O152="","Incomplete assessment",IF($M152="","As recommended",IF(ISERROR(MATCH($M152,Scales!$B$6:$B$10,0)),"Invalid choice",IF(MATCH($M152,Scales!$B$6:$B$10,0)&gt;MATCH($J152,Scales!$B$6:$B$10,0),"Above policy: needs sign-off",IF(MATCH($M152,Scales!$B$6:$B$10,0)&lt;MATCH($J152,Scales!$B$6:$B$10,0),"More cautious than policy","As recommended")))))))</f>
        <v/>
      </c>
      <c r="Q152" s="13" t="str">
        <f>IF(OR($O152="",Policy!$B$24&lt;&gt;"OK"),"",IFERROR(MIN($O152,INDEX(Policy!$C$5:$E$16,MATCH($F152&amp;"|"&amp;Scales!$B$33,Policy!$G$5:$G$16,0),MATCH($I152,Policy!$C$4:$E$4,0))),""))</f>
        <v/>
      </c>
      <c r="R152" s="5"/>
      <c r="S152" s="13" t="str">
        <f>IF($B152="","",IF(COUNTIF('Readiness gate'!$A$7:$A$36,$A152)&lt;&gt;1,"Incomplete",IFERROR(IF(VLOOKUP($A152,GateTab,IF($F152=Scales!$B$24,11,9),FALSE())="","Incomplete",VLOOKUP($A152,GateTab,IF($F152=Scales!$B$24,11,9),FALSE())),"Incomplete")))</f>
        <v/>
      </c>
      <c r="T152" s="8" t="str">
        <f>IF($O152="","",MIN(IF(AND($O152&gt;MATCH($J152,Scales!$B$6:$B$10,0)-1,$N152&lt;&gt;"Yes"),MATCH($J152,Scales!$B$6:$B$10,0)-1,$O152),$L152,IF($F152=Scales!$B$24,IF($S152="Passed",4,IF(NOT(ISNUMBER($R152)),0,IF(OR($R152&lt;0,$R152&gt;4,$R152&lt;&gt;INT($R152)),0,$R152))),IF(NOT(ISNUMBER($R152)),0,IF(OR($R152&lt;0,$R152&gt;4,$R152&lt;&gt;INT($R152)),0,$R152))+IF($S152="Passed",1,0)),IF(AND($F152&lt;&gt;Scales!$B$24,OR($F152=Scales!$B$27,$G152=Scales!$B$33)),3,4)))</f>
        <v/>
      </c>
      <c r="U152" s="13" t="str">
        <f>IF($O152="",IF(AND($B152&lt;&gt;"",$B152&lt;&gt;"Duplicate ID"),IF($J152="Config error","Config error","Incomplete assessment"),""),IF($T152&gt;=$O152,IF(LEFT($P152,4)="More","Own choice","None"),MID(IF(AND($O152&gt;MATCH($J152,Scales!$B$6:$B$10,0)-1,$N152&lt;&gt;"Yes",$T152=MATCH($J152,Scales!$B$6:$B$10,0)-1)," + Exception not approved","")&amp;IF(AND($F152&lt;&gt;Scales!$B$24,OR($F152=Scales!$B$27,$G152=Scales!$B$33),$T152=3)," + Human-signature guardrail","")&amp;IF($T152=$L152," + Model confidence","")&amp;IF($T152=IF($F152=Scales!$B$24,IF($S152="Passed",4,IF(NOT(ISNUMBER($R152)),0,IF(OR($R152&lt;0,$R152&gt;4,$R152&lt;&gt;INT($R152)),0,$R152))),IF(NOT(ISNUMBER($R152)),0,IF(OR($R152&lt;0,$R152&gt;4,$R152&lt;&gt;INT($R152)),0,$R152))+IF($S152="Passed",1,0))," + "&amp;IF($S152&lt;&gt;"Passed","Readiness gate","Readiness gate (one level per gate)"),""),4,200)))</f>
        <v/>
      </c>
      <c r="V152" s="23"/>
    </row>
    <row r="153" spans="1:22" x14ac:dyDescent="0.25">
      <c r="A153" s="8" t="s">
        <v>266</v>
      </c>
      <c r="B153" s="11" t="str">
        <f>IF($A153="","",IF(COUNTIF('Use cases'!$A$5:$A$34,$A153)&gt;1,"Duplicate ID",IFERROR(IF(VLOOKUP($A153,'Use cases'!$A$5:$B$34,2,FALSE())=0,"",VLOOKUP($A153,'Use cases'!$A$5:$B$34,2,FALSE())),"")))</f>
        <v/>
      </c>
      <c r="C153" s="12" t="str">
        <f>IF(OR($B153="",$B153="Duplicate ID"),"",IFERROR(VLOOKUP($A153,'Use cases'!$A$5:$C$34,3,FALSE()),""))</f>
        <v/>
      </c>
      <c r="D153" s="13" t="s">
        <v>123</v>
      </c>
      <c r="E153" s="23"/>
      <c r="F153" s="23"/>
      <c r="G153" s="24"/>
      <c r="H153" s="24"/>
      <c r="I153" s="13" t="str">
        <f>IF(OR($B153="",$B153="Duplicate ID"),"",IFERROR(VLOOKUP($A153,'Use cases'!$A$5:$E$34,5,FALSE()),""))</f>
        <v/>
      </c>
      <c r="J153" s="11" t="str">
        <f>IF(OR($B153="",$B153="Duplicate ID"),"",IF(OR($F153="",$G153=""),"",IF(Policy!$B$24&lt;&gt;"OK","Config error",IFERROR(INDEX(Scales!$B$6:$B$10,1+INDEX(Policy!$C$5:$E$16,MATCH($F153&amp;"|"&amp;$G153,Policy!$G$5:$G$16,0),MATCH($I153,Policy!$C$4:$E$4,0))),"Config error"))))</f>
        <v/>
      </c>
      <c r="K153" s="13" t="str">
        <f>IF($H153="","",IF($F153=Scales!$B$24,"exempt",IFERROR(IF(VLOOKUP($H153,Conf_Check,3,FALSE())="valid",VLOOKUP($H153,Conf_Adjust,2,FALSE()),"n/a"),"n/a")))</f>
        <v/>
      </c>
      <c r="L153" s="13" t="str">
        <f>IF(OR($J153="",$J153="Config error"),"",IF(OR($F153=Scales!$B$24,AND(ISNUMBER($K153),$K153=0)),4,IF(ISNUMBER($K153),MAX(1,MATCH($J153,Scales!$B$6:$B$10,0)-1+$K153),1)))</f>
        <v/>
      </c>
      <c r="M153" s="5"/>
      <c r="N153" s="5"/>
      <c r="O153" s="8" t="str">
        <f>IF(OR($J153="",$J153="Config error",$E153="",$F153="",$G153="",$H153="",$R153=""),"",IF($M153="",MATCH($J153,Scales!$B$6:$B$10,0),IFERROR(MATCH($M153,Scales!$B$6:$B$10,0),MATCH($J153,Scales!$B$6:$B$10,0)))-1)</f>
        <v/>
      </c>
      <c r="P153" s="12" t="str">
        <f>IF($J153="",IF(AND($B153&lt;&gt;"",$B153&lt;&gt;"Duplicate ID"),"Incomplete assessment",""),IF($J153="Config error","Config error",IF($O153="","Incomplete assessment",IF($M153="","As recommended",IF(ISERROR(MATCH($M153,Scales!$B$6:$B$10,0)),"Invalid choice",IF(MATCH($M153,Scales!$B$6:$B$10,0)&gt;MATCH($J153,Scales!$B$6:$B$10,0),"Above policy: needs sign-off",IF(MATCH($M153,Scales!$B$6:$B$10,0)&lt;MATCH($J153,Scales!$B$6:$B$10,0),"More cautious than policy","As recommended")))))))</f>
        <v/>
      </c>
      <c r="Q153" s="13" t="str">
        <f>IF(OR($O153="",Policy!$B$24&lt;&gt;"OK"),"",IFERROR(MIN($O153,INDEX(Policy!$C$5:$E$16,MATCH($F153&amp;"|"&amp;Scales!$B$33,Policy!$G$5:$G$16,0),MATCH($I153,Policy!$C$4:$E$4,0))),""))</f>
        <v/>
      </c>
      <c r="R153" s="5"/>
      <c r="S153" s="13" t="str">
        <f>IF($B153="","",IF(COUNTIF('Readiness gate'!$A$7:$A$36,$A153)&lt;&gt;1,"Incomplete",IFERROR(IF(VLOOKUP($A153,GateTab,IF($F153=Scales!$B$24,11,9),FALSE())="","Incomplete",VLOOKUP($A153,GateTab,IF($F153=Scales!$B$24,11,9),FALSE())),"Incomplete")))</f>
        <v/>
      </c>
      <c r="T153" s="8" t="str">
        <f>IF($O153="","",MIN(IF(AND($O153&gt;MATCH($J153,Scales!$B$6:$B$10,0)-1,$N153&lt;&gt;"Yes"),MATCH($J153,Scales!$B$6:$B$10,0)-1,$O153),$L153,IF($F153=Scales!$B$24,IF($S153="Passed",4,IF(NOT(ISNUMBER($R153)),0,IF(OR($R153&lt;0,$R153&gt;4,$R153&lt;&gt;INT($R153)),0,$R153))),IF(NOT(ISNUMBER($R153)),0,IF(OR($R153&lt;0,$R153&gt;4,$R153&lt;&gt;INT($R153)),0,$R153))+IF($S153="Passed",1,0)),IF(AND($F153&lt;&gt;Scales!$B$24,OR($F153=Scales!$B$27,$G153=Scales!$B$33)),3,4)))</f>
        <v/>
      </c>
      <c r="U153" s="13" t="str">
        <f>IF($O153="",IF(AND($B153&lt;&gt;"",$B153&lt;&gt;"Duplicate ID"),IF($J153="Config error","Config error","Incomplete assessment"),""),IF($T153&gt;=$O153,IF(LEFT($P153,4)="More","Own choice","None"),MID(IF(AND($O153&gt;MATCH($J153,Scales!$B$6:$B$10,0)-1,$N153&lt;&gt;"Yes",$T153=MATCH($J153,Scales!$B$6:$B$10,0)-1)," + Exception not approved","")&amp;IF(AND($F153&lt;&gt;Scales!$B$24,OR($F153=Scales!$B$27,$G153=Scales!$B$33),$T153=3)," + Human-signature guardrail","")&amp;IF($T153=$L153," + Model confidence","")&amp;IF($T153=IF($F153=Scales!$B$24,IF($S153="Passed",4,IF(NOT(ISNUMBER($R153)),0,IF(OR($R153&lt;0,$R153&gt;4,$R153&lt;&gt;INT($R153)),0,$R153))),IF(NOT(ISNUMBER($R153)),0,IF(OR($R153&lt;0,$R153&gt;4,$R153&lt;&gt;INT($R153)),0,$R153))+IF($S153="Passed",1,0))," + "&amp;IF($S153&lt;&gt;"Passed","Readiness gate","Readiness gate (one level per gate)"),""),4,200)))</f>
        <v/>
      </c>
      <c r="V153" s="23"/>
    </row>
    <row r="154" spans="1:22" x14ac:dyDescent="0.25">
      <c r="A154" s="8" t="s">
        <v>266</v>
      </c>
      <c r="B154" s="11" t="str">
        <f>IF($A154="","",IF(COUNTIF('Use cases'!$A$5:$A$34,$A154)&gt;1,"Duplicate ID",IFERROR(IF(VLOOKUP($A154,'Use cases'!$A$5:$B$34,2,FALSE())=0,"",VLOOKUP($A154,'Use cases'!$A$5:$B$34,2,FALSE())),"")))</f>
        <v/>
      </c>
      <c r="C154" s="12" t="str">
        <f>IF(OR($B154="",$B154="Duplicate ID"),"",IFERROR(VLOOKUP($A154,'Use cases'!$A$5:$C$34,3,FALSE()),""))</f>
        <v/>
      </c>
      <c r="D154" s="13" t="s">
        <v>125</v>
      </c>
      <c r="E154" s="23"/>
      <c r="F154" s="23"/>
      <c r="G154" s="24"/>
      <c r="H154" s="24"/>
      <c r="I154" s="13" t="str">
        <f>IF(OR($B154="",$B154="Duplicate ID"),"",IFERROR(VLOOKUP($A154,'Use cases'!$A$5:$E$34,5,FALSE()),""))</f>
        <v/>
      </c>
      <c r="J154" s="11" t="str">
        <f>IF(OR($B154="",$B154="Duplicate ID"),"",IF(OR($F154="",$G154=""),"",IF(Policy!$B$24&lt;&gt;"OK","Config error",IFERROR(INDEX(Scales!$B$6:$B$10,1+INDEX(Policy!$C$5:$E$16,MATCH($F154&amp;"|"&amp;$G154,Policy!$G$5:$G$16,0),MATCH($I154,Policy!$C$4:$E$4,0))),"Config error"))))</f>
        <v/>
      </c>
      <c r="K154" s="13" t="str">
        <f>IF($H154="","",IF($F154=Scales!$B$24,"exempt",IFERROR(IF(VLOOKUP($H154,Conf_Check,3,FALSE())="valid",VLOOKUP($H154,Conf_Adjust,2,FALSE()),"n/a"),"n/a")))</f>
        <v/>
      </c>
      <c r="L154" s="13" t="str">
        <f>IF(OR($J154="",$J154="Config error"),"",IF(OR($F154=Scales!$B$24,AND(ISNUMBER($K154),$K154=0)),4,IF(ISNUMBER($K154),MAX(1,MATCH($J154,Scales!$B$6:$B$10,0)-1+$K154),1)))</f>
        <v/>
      </c>
      <c r="M154" s="5"/>
      <c r="N154" s="5"/>
      <c r="O154" s="8" t="str">
        <f>IF(OR($J154="",$J154="Config error",$E154="",$F154="",$G154="",$H154="",$R154=""),"",IF($M154="",MATCH($J154,Scales!$B$6:$B$10,0),IFERROR(MATCH($M154,Scales!$B$6:$B$10,0),MATCH($J154,Scales!$B$6:$B$10,0)))-1)</f>
        <v/>
      </c>
      <c r="P154" s="12" t="str">
        <f>IF($J154="",IF(AND($B154&lt;&gt;"",$B154&lt;&gt;"Duplicate ID"),"Incomplete assessment",""),IF($J154="Config error","Config error",IF($O154="","Incomplete assessment",IF($M154="","As recommended",IF(ISERROR(MATCH($M154,Scales!$B$6:$B$10,0)),"Invalid choice",IF(MATCH($M154,Scales!$B$6:$B$10,0)&gt;MATCH($J154,Scales!$B$6:$B$10,0),"Above policy: needs sign-off",IF(MATCH($M154,Scales!$B$6:$B$10,0)&lt;MATCH($J154,Scales!$B$6:$B$10,0),"More cautious than policy","As recommended")))))))</f>
        <v/>
      </c>
      <c r="Q154" s="13" t="str">
        <f>IF(OR($O154="",Policy!$B$24&lt;&gt;"OK"),"",IFERROR(MIN($O154,INDEX(Policy!$C$5:$E$16,MATCH($F154&amp;"|"&amp;Scales!$B$33,Policy!$G$5:$G$16,0),MATCH($I154,Policy!$C$4:$E$4,0))),""))</f>
        <v/>
      </c>
      <c r="R154" s="5"/>
      <c r="S154" s="13" t="str">
        <f>IF($B154="","",IF(COUNTIF('Readiness gate'!$A$7:$A$36,$A154)&lt;&gt;1,"Incomplete",IFERROR(IF(VLOOKUP($A154,GateTab,IF($F154=Scales!$B$24,11,9),FALSE())="","Incomplete",VLOOKUP($A154,GateTab,IF($F154=Scales!$B$24,11,9),FALSE())),"Incomplete")))</f>
        <v/>
      </c>
      <c r="T154" s="8" t="str">
        <f>IF($O154="","",MIN(IF(AND($O154&gt;MATCH($J154,Scales!$B$6:$B$10,0)-1,$N154&lt;&gt;"Yes"),MATCH($J154,Scales!$B$6:$B$10,0)-1,$O154),$L154,IF($F154=Scales!$B$24,IF($S154="Passed",4,IF(NOT(ISNUMBER($R154)),0,IF(OR($R154&lt;0,$R154&gt;4,$R154&lt;&gt;INT($R154)),0,$R154))),IF(NOT(ISNUMBER($R154)),0,IF(OR($R154&lt;0,$R154&gt;4,$R154&lt;&gt;INT($R154)),0,$R154))+IF($S154="Passed",1,0)),IF(AND($F154&lt;&gt;Scales!$B$24,OR($F154=Scales!$B$27,$G154=Scales!$B$33)),3,4)))</f>
        <v/>
      </c>
      <c r="U154" s="13" t="str">
        <f>IF($O154="",IF(AND($B154&lt;&gt;"",$B154&lt;&gt;"Duplicate ID"),IF($J154="Config error","Config error","Incomplete assessment"),""),IF($T154&gt;=$O154,IF(LEFT($P154,4)="More","Own choice","None"),MID(IF(AND($O154&gt;MATCH($J154,Scales!$B$6:$B$10,0)-1,$N154&lt;&gt;"Yes",$T154=MATCH($J154,Scales!$B$6:$B$10,0)-1)," + Exception not approved","")&amp;IF(AND($F154&lt;&gt;Scales!$B$24,OR($F154=Scales!$B$27,$G154=Scales!$B$33),$T154=3)," + Human-signature guardrail","")&amp;IF($T154=$L154," + Model confidence","")&amp;IF($T154=IF($F154=Scales!$B$24,IF($S154="Passed",4,IF(NOT(ISNUMBER($R154)),0,IF(OR($R154&lt;0,$R154&gt;4,$R154&lt;&gt;INT($R154)),0,$R154))),IF(NOT(ISNUMBER($R154)),0,IF(OR($R154&lt;0,$R154&gt;4,$R154&lt;&gt;INT($R154)),0,$R154))+IF($S154="Passed",1,0))," + "&amp;IF($S154&lt;&gt;"Passed","Readiness gate","Readiness gate (one level per gate)"),""),4,200)))</f>
        <v/>
      </c>
      <c r="V154" s="23"/>
    </row>
    <row r="155" spans="1:22" x14ac:dyDescent="0.25">
      <c r="A155" s="8" t="s">
        <v>266</v>
      </c>
      <c r="B155" s="11" t="str">
        <f>IF($A155="","",IF(COUNTIF('Use cases'!$A$5:$A$34,$A155)&gt;1,"Duplicate ID",IFERROR(IF(VLOOKUP($A155,'Use cases'!$A$5:$B$34,2,FALSE())=0,"",VLOOKUP($A155,'Use cases'!$A$5:$B$34,2,FALSE())),"")))</f>
        <v/>
      </c>
      <c r="C155" s="12" t="str">
        <f>IF(OR($B155="",$B155="Duplicate ID"),"",IFERROR(VLOOKUP($A155,'Use cases'!$A$5:$C$34,3,FALSE()),""))</f>
        <v/>
      </c>
      <c r="D155" s="13" t="s">
        <v>127</v>
      </c>
      <c r="E155" s="23"/>
      <c r="F155" s="23"/>
      <c r="G155" s="24"/>
      <c r="H155" s="24"/>
      <c r="I155" s="13" t="str">
        <f>IF(OR($B155="",$B155="Duplicate ID"),"",IFERROR(VLOOKUP($A155,'Use cases'!$A$5:$E$34,5,FALSE()),""))</f>
        <v/>
      </c>
      <c r="J155" s="11" t="str">
        <f>IF(OR($B155="",$B155="Duplicate ID"),"",IF(OR($F155="",$G155=""),"",IF(Policy!$B$24&lt;&gt;"OK","Config error",IFERROR(INDEX(Scales!$B$6:$B$10,1+INDEX(Policy!$C$5:$E$16,MATCH($F155&amp;"|"&amp;$G155,Policy!$G$5:$G$16,0),MATCH($I155,Policy!$C$4:$E$4,0))),"Config error"))))</f>
        <v/>
      </c>
      <c r="K155" s="13" t="str">
        <f>IF($H155="","",IF($F155=Scales!$B$24,"exempt",IFERROR(IF(VLOOKUP($H155,Conf_Check,3,FALSE())="valid",VLOOKUP($H155,Conf_Adjust,2,FALSE()),"n/a"),"n/a")))</f>
        <v/>
      </c>
      <c r="L155" s="13" t="str">
        <f>IF(OR($J155="",$J155="Config error"),"",IF(OR($F155=Scales!$B$24,AND(ISNUMBER($K155),$K155=0)),4,IF(ISNUMBER($K155),MAX(1,MATCH($J155,Scales!$B$6:$B$10,0)-1+$K155),1)))</f>
        <v/>
      </c>
      <c r="M155" s="5"/>
      <c r="N155" s="5"/>
      <c r="O155" s="8" t="str">
        <f>IF(OR($J155="",$J155="Config error",$E155="",$F155="",$G155="",$H155="",$R155=""),"",IF($M155="",MATCH($J155,Scales!$B$6:$B$10,0),IFERROR(MATCH($M155,Scales!$B$6:$B$10,0),MATCH($J155,Scales!$B$6:$B$10,0)))-1)</f>
        <v/>
      </c>
      <c r="P155" s="12" t="str">
        <f>IF($J155="",IF(AND($B155&lt;&gt;"",$B155&lt;&gt;"Duplicate ID"),"Incomplete assessment",""),IF($J155="Config error","Config error",IF($O155="","Incomplete assessment",IF($M155="","As recommended",IF(ISERROR(MATCH($M155,Scales!$B$6:$B$10,0)),"Invalid choice",IF(MATCH($M155,Scales!$B$6:$B$10,0)&gt;MATCH($J155,Scales!$B$6:$B$10,0),"Above policy: needs sign-off",IF(MATCH($M155,Scales!$B$6:$B$10,0)&lt;MATCH($J155,Scales!$B$6:$B$10,0),"More cautious than policy","As recommended")))))))</f>
        <v/>
      </c>
      <c r="Q155" s="13" t="str">
        <f>IF(OR($O155="",Policy!$B$24&lt;&gt;"OK"),"",IFERROR(MIN($O155,INDEX(Policy!$C$5:$E$16,MATCH($F155&amp;"|"&amp;Scales!$B$33,Policy!$G$5:$G$16,0),MATCH($I155,Policy!$C$4:$E$4,0))),""))</f>
        <v/>
      </c>
      <c r="R155" s="5"/>
      <c r="S155" s="13" t="str">
        <f>IF($B155="","",IF(COUNTIF('Readiness gate'!$A$7:$A$36,$A155)&lt;&gt;1,"Incomplete",IFERROR(IF(VLOOKUP($A155,GateTab,IF($F155=Scales!$B$24,11,9),FALSE())="","Incomplete",VLOOKUP($A155,GateTab,IF($F155=Scales!$B$24,11,9),FALSE())),"Incomplete")))</f>
        <v/>
      </c>
      <c r="T155" s="8" t="str">
        <f>IF($O155="","",MIN(IF(AND($O155&gt;MATCH($J155,Scales!$B$6:$B$10,0)-1,$N155&lt;&gt;"Yes"),MATCH($J155,Scales!$B$6:$B$10,0)-1,$O155),$L155,IF($F155=Scales!$B$24,IF($S155="Passed",4,IF(NOT(ISNUMBER($R155)),0,IF(OR($R155&lt;0,$R155&gt;4,$R155&lt;&gt;INT($R155)),0,$R155))),IF(NOT(ISNUMBER($R155)),0,IF(OR($R155&lt;0,$R155&gt;4,$R155&lt;&gt;INT($R155)),0,$R155))+IF($S155="Passed",1,0)),IF(AND($F155&lt;&gt;Scales!$B$24,OR($F155=Scales!$B$27,$G155=Scales!$B$33)),3,4)))</f>
        <v/>
      </c>
      <c r="U155" s="13" t="str">
        <f>IF($O155="",IF(AND($B155&lt;&gt;"",$B155&lt;&gt;"Duplicate ID"),IF($J155="Config error","Config error","Incomplete assessment"),""),IF($T155&gt;=$O155,IF(LEFT($P155,4)="More","Own choice","None"),MID(IF(AND($O155&gt;MATCH($J155,Scales!$B$6:$B$10,0)-1,$N155&lt;&gt;"Yes",$T155=MATCH($J155,Scales!$B$6:$B$10,0)-1)," + Exception not approved","")&amp;IF(AND($F155&lt;&gt;Scales!$B$24,OR($F155=Scales!$B$27,$G155=Scales!$B$33),$T155=3)," + Human-signature guardrail","")&amp;IF($T155=$L155," + Model confidence","")&amp;IF($T155=IF($F155=Scales!$B$24,IF($S155="Passed",4,IF(NOT(ISNUMBER($R155)),0,IF(OR($R155&lt;0,$R155&gt;4,$R155&lt;&gt;INT($R155)),0,$R155))),IF(NOT(ISNUMBER($R155)),0,IF(OR($R155&lt;0,$R155&gt;4,$R155&lt;&gt;INT($R155)),0,$R155))+IF($S155="Passed",1,0))," + "&amp;IF($S155&lt;&gt;"Passed","Readiness gate","Readiness gate (one level per gate)"),""),4,200)))</f>
        <v/>
      </c>
      <c r="V155" s="23"/>
    </row>
    <row r="156" spans="1:22" x14ac:dyDescent="0.25">
      <c r="A156" s="8" t="s">
        <v>267</v>
      </c>
      <c r="B156" s="11" t="str">
        <f>IF($A156="","",IF(COUNTIF('Use cases'!$A$5:$A$34,$A156)&gt;1,"Duplicate ID",IFERROR(IF(VLOOKUP($A156,'Use cases'!$A$5:$B$34,2,FALSE())=0,"",VLOOKUP($A156,'Use cases'!$A$5:$B$34,2,FALSE())),"")))</f>
        <v/>
      </c>
      <c r="C156" s="12" t="str">
        <f>IF(OR($B156="",$B156="Duplicate ID"),"",IFERROR(VLOOKUP($A156,'Use cases'!$A$5:$C$34,3,FALSE()),""))</f>
        <v/>
      </c>
      <c r="D156" s="13" t="s">
        <v>112</v>
      </c>
      <c r="E156" s="23"/>
      <c r="F156" s="23"/>
      <c r="G156" s="24"/>
      <c r="H156" s="24"/>
      <c r="I156" s="13" t="str">
        <f>IF(OR($B156="",$B156="Duplicate ID"),"",IFERROR(VLOOKUP($A156,'Use cases'!$A$5:$E$34,5,FALSE()),""))</f>
        <v/>
      </c>
      <c r="J156" s="11" t="str">
        <f>IF(OR($B156="",$B156="Duplicate ID"),"",IF(OR($F156="",$G156=""),"",IF(Policy!$B$24&lt;&gt;"OK","Config error",IFERROR(INDEX(Scales!$B$6:$B$10,1+INDEX(Policy!$C$5:$E$16,MATCH($F156&amp;"|"&amp;$G156,Policy!$G$5:$G$16,0),MATCH($I156,Policy!$C$4:$E$4,0))),"Config error"))))</f>
        <v/>
      </c>
      <c r="K156" s="13" t="str">
        <f>IF($H156="","",IF($F156=Scales!$B$24,"exempt",IFERROR(IF(VLOOKUP($H156,Conf_Check,3,FALSE())="valid",VLOOKUP($H156,Conf_Adjust,2,FALSE()),"n/a"),"n/a")))</f>
        <v/>
      </c>
      <c r="L156" s="13" t="str">
        <f>IF(OR($J156="",$J156="Config error"),"",IF(OR($F156=Scales!$B$24,AND(ISNUMBER($K156),$K156=0)),4,IF(ISNUMBER($K156),MAX(1,MATCH($J156,Scales!$B$6:$B$10,0)-1+$K156),1)))</f>
        <v/>
      </c>
      <c r="M156" s="5"/>
      <c r="N156" s="5"/>
      <c r="O156" s="8" t="str">
        <f>IF(OR($J156="",$J156="Config error",$E156="",$F156="",$G156="",$H156="",$R156=""),"",IF($M156="",MATCH($J156,Scales!$B$6:$B$10,0),IFERROR(MATCH($M156,Scales!$B$6:$B$10,0),MATCH($J156,Scales!$B$6:$B$10,0)))-1)</f>
        <v/>
      </c>
      <c r="P156" s="12" t="str">
        <f>IF($J156="",IF(AND($B156&lt;&gt;"",$B156&lt;&gt;"Duplicate ID"),"Incomplete assessment",""),IF($J156="Config error","Config error",IF($O156="","Incomplete assessment",IF($M156="","As recommended",IF(ISERROR(MATCH($M156,Scales!$B$6:$B$10,0)),"Invalid choice",IF(MATCH($M156,Scales!$B$6:$B$10,0)&gt;MATCH($J156,Scales!$B$6:$B$10,0),"Above policy: needs sign-off",IF(MATCH($M156,Scales!$B$6:$B$10,0)&lt;MATCH($J156,Scales!$B$6:$B$10,0),"More cautious than policy","As recommended")))))))</f>
        <v/>
      </c>
      <c r="Q156" s="13" t="str">
        <f>IF(OR($O156="",Policy!$B$24&lt;&gt;"OK"),"",IFERROR(MIN($O156,INDEX(Policy!$C$5:$E$16,MATCH($F156&amp;"|"&amp;Scales!$B$33,Policy!$G$5:$G$16,0),MATCH($I156,Policy!$C$4:$E$4,0))),""))</f>
        <v/>
      </c>
      <c r="R156" s="5"/>
      <c r="S156" s="13" t="str">
        <f>IF($B156="","",IF(COUNTIF('Readiness gate'!$A$7:$A$36,$A156)&lt;&gt;1,"Incomplete",IFERROR(IF(VLOOKUP($A156,GateTab,IF($F156=Scales!$B$24,11,9),FALSE())="","Incomplete",VLOOKUP($A156,GateTab,IF($F156=Scales!$B$24,11,9),FALSE())),"Incomplete")))</f>
        <v/>
      </c>
      <c r="T156" s="8" t="str">
        <f>IF($O156="","",MIN(IF(AND($O156&gt;MATCH($J156,Scales!$B$6:$B$10,0)-1,$N156&lt;&gt;"Yes"),MATCH($J156,Scales!$B$6:$B$10,0)-1,$O156),$L156,IF($F156=Scales!$B$24,IF($S156="Passed",4,IF(NOT(ISNUMBER($R156)),0,IF(OR($R156&lt;0,$R156&gt;4,$R156&lt;&gt;INT($R156)),0,$R156))),IF(NOT(ISNUMBER($R156)),0,IF(OR($R156&lt;0,$R156&gt;4,$R156&lt;&gt;INT($R156)),0,$R156))+IF($S156="Passed",1,0)),IF(AND($F156&lt;&gt;Scales!$B$24,OR($F156=Scales!$B$27,$G156=Scales!$B$33)),3,4)))</f>
        <v/>
      </c>
      <c r="U156" s="13" t="str">
        <f>IF($O156="",IF(AND($B156&lt;&gt;"",$B156&lt;&gt;"Duplicate ID"),IF($J156="Config error","Config error","Incomplete assessment"),""),IF($T156&gt;=$O156,IF(LEFT($P156,4)="More","Own choice","None"),MID(IF(AND($O156&gt;MATCH($J156,Scales!$B$6:$B$10,0)-1,$N156&lt;&gt;"Yes",$T156=MATCH($J156,Scales!$B$6:$B$10,0)-1)," + Exception not approved","")&amp;IF(AND($F156&lt;&gt;Scales!$B$24,OR($F156=Scales!$B$27,$G156=Scales!$B$33),$T156=3)," + Human-signature guardrail","")&amp;IF($T156=$L156," + Model confidence","")&amp;IF($T156=IF($F156=Scales!$B$24,IF($S156="Passed",4,IF(NOT(ISNUMBER($R156)),0,IF(OR($R156&lt;0,$R156&gt;4,$R156&lt;&gt;INT($R156)),0,$R156))),IF(NOT(ISNUMBER($R156)),0,IF(OR($R156&lt;0,$R156&gt;4,$R156&lt;&gt;INT($R156)),0,$R156))+IF($S156="Passed",1,0))," + "&amp;IF($S156&lt;&gt;"Passed","Readiness gate","Readiness gate (one level per gate)"),""),4,200)))</f>
        <v/>
      </c>
      <c r="V156" s="23"/>
    </row>
    <row r="157" spans="1:22" x14ac:dyDescent="0.25">
      <c r="A157" s="8" t="s">
        <v>267</v>
      </c>
      <c r="B157" s="11" t="str">
        <f>IF($A157="","",IF(COUNTIF('Use cases'!$A$5:$A$34,$A157)&gt;1,"Duplicate ID",IFERROR(IF(VLOOKUP($A157,'Use cases'!$A$5:$B$34,2,FALSE())=0,"",VLOOKUP($A157,'Use cases'!$A$5:$B$34,2,FALSE())),"")))</f>
        <v/>
      </c>
      <c r="C157" s="12" t="str">
        <f>IF(OR($B157="",$B157="Duplicate ID"),"",IFERROR(VLOOKUP($A157,'Use cases'!$A$5:$C$34,3,FALSE()),""))</f>
        <v/>
      </c>
      <c r="D157" s="13" t="s">
        <v>117</v>
      </c>
      <c r="E157" s="23"/>
      <c r="F157" s="23"/>
      <c r="G157" s="24"/>
      <c r="H157" s="24"/>
      <c r="I157" s="13" t="str">
        <f>IF(OR($B157="",$B157="Duplicate ID"),"",IFERROR(VLOOKUP($A157,'Use cases'!$A$5:$E$34,5,FALSE()),""))</f>
        <v/>
      </c>
      <c r="J157" s="11" t="str">
        <f>IF(OR($B157="",$B157="Duplicate ID"),"",IF(OR($F157="",$G157=""),"",IF(Policy!$B$24&lt;&gt;"OK","Config error",IFERROR(INDEX(Scales!$B$6:$B$10,1+INDEX(Policy!$C$5:$E$16,MATCH($F157&amp;"|"&amp;$G157,Policy!$G$5:$G$16,0),MATCH($I157,Policy!$C$4:$E$4,0))),"Config error"))))</f>
        <v/>
      </c>
      <c r="K157" s="13" t="str">
        <f>IF($H157="","",IF($F157=Scales!$B$24,"exempt",IFERROR(IF(VLOOKUP($H157,Conf_Check,3,FALSE())="valid",VLOOKUP($H157,Conf_Adjust,2,FALSE()),"n/a"),"n/a")))</f>
        <v/>
      </c>
      <c r="L157" s="13" t="str">
        <f>IF(OR($J157="",$J157="Config error"),"",IF(OR($F157=Scales!$B$24,AND(ISNUMBER($K157),$K157=0)),4,IF(ISNUMBER($K157),MAX(1,MATCH($J157,Scales!$B$6:$B$10,0)-1+$K157),1)))</f>
        <v/>
      </c>
      <c r="M157" s="5"/>
      <c r="N157" s="5"/>
      <c r="O157" s="8" t="str">
        <f>IF(OR($J157="",$J157="Config error",$E157="",$F157="",$G157="",$H157="",$R157=""),"",IF($M157="",MATCH($J157,Scales!$B$6:$B$10,0),IFERROR(MATCH($M157,Scales!$B$6:$B$10,0),MATCH($J157,Scales!$B$6:$B$10,0)))-1)</f>
        <v/>
      </c>
      <c r="P157" s="12" t="str">
        <f>IF($J157="",IF(AND($B157&lt;&gt;"",$B157&lt;&gt;"Duplicate ID"),"Incomplete assessment",""),IF($J157="Config error","Config error",IF($O157="","Incomplete assessment",IF($M157="","As recommended",IF(ISERROR(MATCH($M157,Scales!$B$6:$B$10,0)),"Invalid choice",IF(MATCH($M157,Scales!$B$6:$B$10,0)&gt;MATCH($J157,Scales!$B$6:$B$10,0),"Above policy: needs sign-off",IF(MATCH($M157,Scales!$B$6:$B$10,0)&lt;MATCH($J157,Scales!$B$6:$B$10,0),"More cautious than policy","As recommended")))))))</f>
        <v/>
      </c>
      <c r="Q157" s="13" t="str">
        <f>IF(OR($O157="",Policy!$B$24&lt;&gt;"OK"),"",IFERROR(MIN($O157,INDEX(Policy!$C$5:$E$16,MATCH($F157&amp;"|"&amp;Scales!$B$33,Policy!$G$5:$G$16,0),MATCH($I157,Policy!$C$4:$E$4,0))),""))</f>
        <v/>
      </c>
      <c r="R157" s="5"/>
      <c r="S157" s="13" t="str">
        <f>IF($B157="","",IF(COUNTIF('Readiness gate'!$A$7:$A$36,$A157)&lt;&gt;1,"Incomplete",IFERROR(IF(VLOOKUP($A157,GateTab,IF($F157=Scales!$B$24,11,9),FALSE())="","Incomplete",VLOOKUP($A157,GateTab,IF($F157=Scales!$B$24,11,9),FALSE())),"Incomplete")))</f>
        <v/>
      </c>
      <c r="T157" s="8" t="str">
        <f>IF($O157="","",MIN(IF(AND($O157&gt;MATCH($J157,Scales!$B$6:$B$10,0)-1,$N157&lt;&gt;"Yes"),MATCH($J157,Scales!$B$6:$B$10,0)-1,$O157),$L157,IF($F157=Scales!$B$24,IF($S157="Passed",4,IF(NOT(ISNUMBER($R157)),0,IF(OR($R157&lt;0,$R157&gt;4,$R157&lt;&gt;INT($R157)),0,$R157))),IF(NOT(ISNUMBER($R157)),0,IF(OR($R157&lt;0,$R157&gt;4,$R157&lt;&gt;INT($R157)),0,$R157))+IF($S157="Passed",1,0)),IF(AND($F157&lt;&gt;Scales!$B$24,OR($F157=Scales!$B$27,$G157=Scales!$B$33)),3,4)))</f>
        <v/>
      </c>
      <c r="U157" s="13" t="str">
        <f>IF($O157="",IF(AND($B157&lt;&gt;"",$B157&lt;&gt;"Duplicate ID"),IF($J157="Config error","Config error","Incomplete assessment"),""),IF($T157&gt;=$O157,IF(LEFT($P157,4)="More","Own choice","None"),MID(IF(AND($O157&gt;MATCH($J157,Scales!$B$6:$B$10,0)-1,$N157&lt;&gt;"Yes",$T157=MATCH($J157,Scales!$B$6:$B$10,0)-1)," + Exception not approved","")&amp;IF(AND($F157&lt;&gt;Scales!$B$24,OR($F157=Scales!$B$27,$G157=Scales!$B$33),$T157=3)," + Human-signature guardrail","")&amp;IF($T157=$L157," + Model confidence","")&amp;IF($T157=IF($F157=Scales!$B$24,IF($S157="Passed",4,IF(NOT(ISNUMBER($R157)),0,IF(OR($R157&lt;0,$R157&gt;4,$R157&lt;&gt;INT($R157)),0,$R157))),IF(NOT(ISNUMBER($R157)),0,IF(OR($R157&lt;0,$R157&gt;4,$R157&lt;&gt;INT($R157)),0,$R157))+IF($S157="Passed",1,0))," + "&amp;IF($S157&lt;&gt;"Passed","Readiness gate","Readiness gate (one level per gate)"),""),4,200)))</f>
        <v/>
      </c>
      <c r="V157" s="23"/>
    </row>
    <row r="158" spans="1:22" x14ac:dyDescent="0.25">
      <c r="A158" s="8" t="s">
        <v>267</v>
      </c>
      <c r="B158" s="11" t="str">
        <f>IF($A158="","",IF(COUNTIF('Use cases'!$A$5:$A$34,$A158)&gt;1,"Duplicate ID",IFERROR(IF(VLOOKUP($A158,'Use cases'!$A$5:$B$34,2,FALSE())=0,"",VLOOKUP($A158,'Use cases'!$A$5:$B$34,2,FALSE())),"")))</f>
        <v/>
      </c>
      <c r="C158" s="12" t="str">
        <f>IF(OR($B158="",$B158="Duplicate ID"),"",IFERROR(VLOOKUP($A158,'Use cases'!$A$5:$C$34,3,FALSE()),""))</f>
        <v/>
      </c>
      <c r="D158" s="13" t="s">
        <v>120</v>
      </c>
      <c r="E158" s="23"/>
      <c r="F158" s="23"/>
      <c r="G158" s="24"/>
      <c r="H158" s="24"/>
      <c r="I158" s="13" t="str">
        <f>IF(OR($B158="",$B158="Duplicate ID"),"",IFERROR(VLOOKUP($A158,'Use cases'!$A$5:$E$34,5,FALSE()),""))</f>
        <v/>
      </c>
      <c r="J158" s="11" t="str">
        <f>IF(OR($B158="",$B158="Duplicate ID"),"",IF(OR($F158="",$G158=""),"",IF(Policy!$B$24&lt;&gt;"OK","Config error",IFERROR(INDEX(Scales!$B$6:$B$10,1+INDEX(Policy!$C$5:$E$16,MATCH($F158&amp;"|"&amp;$G158,Policy!$G$5:$G$16,0),MATCH($I158,Policy!$C$4:$E$4,0))),"Config error"))))</f>
        <v/>
      </c>
      <c r="K158" s="13" t="str">
        <f>IF($H158="","",IF($F158=Scales!$B$24,"exempt",IFERROR(IF(VLOOKUP($H158,Conf_Check,3,FALSE())="valid",VLOOKUP($H158,Conf_Adjust,2,FALSE()),"n/a"),"n/a")))</f>
        <v/>
      </c>
      <c r="L158" s="13" t="str">
        <f>IF(OR($J158="",$J158="Config error"),"",IF(OR($F158=Scales!$B$24,AND(ISNUMBER($K158),$K158=0)),4,IF(ISNUMBER($K158),MAX(1,MATCH($J158,Scales!$B$6:$B$10,0)-1+$K158),1)))</f>
        <v/>
      </c>
      <c r="M158" s="5"/>
      <c r="N158" s="5"/>
      <c r="O158" s="8" t="str">
        <f>IF(OR($J158="",$J158="Config error",$E158="",$F158="",$G158="",$H158="",$R158=""),"",IF($M158="",MATCH($J158,Scales!$B$6:$B$10,0),IFERROR(MATCH($M158,Scales!$B$6:$B$10,0),MATCH($J158,Scales!$B$6:$B$10,0)))-1)</f>
        <v/>
      </c>
      <c r="P158" s="12" t="str">
        <f>IF($J158="",IF(AND($B158&lt;&gt;"",$B158&lt;&gt;"Duplicate ID"),"Incomplete assessment",""),IF($J158="Config error","Config error",IF($O158="","Incomplete assessment",IF($M158="","As recommended",IF(ISERROR(MATCH($M158,Scales!$B$6:$B$10,0)),"Invalid choice",IF(MATCH($M158,Scales!$B$6:$B$10,0)&gt;MATCH($J158,Scales!$B$6:$B$10,0),"Above policy: needs sign-off",IF(MATCH($M158,Scales!$B$6:$B$10,0)&lt;MATCH($J158,Scales!$B$6:$B$10,0),"More cautious than policy","As recommended")))))))</f>
        <v/>
      </c>
      <c r="Q158" s="13" t="str">
        <f>IF(OR($O158="",Policy!$B$24&lt;&gt;"OK"),"",IFERROR(MIN($O158,INDEX(Policy!$C$5:$E$16,MATCH($F158&amp;"|"&amp;Scales!$B$33,Policy!$G$5:$G$16,0),MATCH($I158,Policy!$C$4:$E$4,0))),""))</f>
        <v/>
      </c>
      <c r="R158" s="5"/>
      <c r="S158" s="13" t="str">
        <f>IF($B158="","",IF(COUNTIF('Readiness gate'!$A$7:$A$36,$A158)&lt;&gt;1,"Incomplete",IFERROR(IF(VLOOKUP($A158,GateTab,IF($F158=Scales!$B$24,11,9),FALSE())="","Incomplete",VLOOKUP($A158,GateTab,IF($F158=Scales!$B$24,11,9),FALSE())),"Incomplete")))</f>
        <v/>
      </c>
      <c r="T158" s="8" t="str">
        <f>IF($O158="","",MIN(IF(AND($O158&gt;MATCH($J158,Scales!$B$6:$B$10,0)-1,$N158&lt;&gt;"Yes"),MATCH($J158,Scales!$B$6:$B$10,0)-1,$O158),$L158,IF($F158=Scales!$B$24,IF($S158="Passed",4,IF(NOT(ISNUMBER($R158)),0,IF(OR($R158&lt;0,$R158&gt;4,$R158&lt;&gt;INT($R158)),0,$R158))),IF(NOT(ISNUMBER($R158)),0,IF(OR($R158&lt;0,$R158&gt;4,$R158&lt;&gt;INT($R158)),0,$R158))+IF($S158="Passed",1,0)),IF(AND($F158&lt;&gt;Scales!$B$24,OR($F158=Scales!$B$27,$G158=Scales!$B$33)),3,4)))</f>
        <v/>
      </c>
      <c r="U158" s="13" t="str">
        <f>IF($O158="",IF(AND($B158&lt;&gt;"",$B158&lt;&gt;"Duplicate ID"),IF($J158="Config error","Config error","Incomplete assessment"),""),IF($T158&gt;=$O158,IF(LEFT($P158,4)="More","Own choice","None"),MID(IF(AND($O158&gt;MATCH($J158,Scales!$B$6:$B$10,0)-1,$N158&lt;&gt;"Yes",$T158=MATCH($J158,Scales!$B$6:$B$10,0)-1)," + Exception not approved","")&amp;IF(AND($F158&lt;&gt;Scales!$B$24,OR($F158=Scales!$B$27,$G158=Scales!$B$33),$T158=3)," + Human-signature guardrail","")&amp;IF($T158=$L158," + Model confidence","")&amp;IF($T158=IF($F158=Scales!$B$24,IF($S158="Passed",4,IF(NOT(ISNUMBER($R158)),0,IF(OR($R158&lt;0,$R158&gt;4,$R158&lt;&gt;INT($R158)),0,$R158))),IF(NOT(ISNUMBER($R158)),0,IF(OR($R158&lt;0,$R158&gt;4,$R158&lt;&gt;INT($R158)),0,$R158))+IF($S158="Passed",1,0))," + "&amp;IF($S158&lt;&gt;"Passed","Readiness gate","Readiness gate (one level per gate)"),""),4,200)))</f>
        <v/>
      </c>
      <c r="V158" s="23"/>
    </row>
    <row r="159" spans="1:22" x14ac:dyDescent="0.25">
      <c r="A159" s="8" t="s">
        <v>267</v>
      </c>
      <c r="B159" s="11" t="str">
        <f>IF($A159="","",IF(COUNTIF('Use cases'!$A$5:$A$34,$A159)&gt;1,"Duplicate ID",IFERROR(IF(VLOOKUP($A159,'Use cases'!$A$5:$B$34,2,FALSE())=0,"",VLOOKUP($A159,'Use cases'!$A$5:$B$34,2,FALSE())),"")))</f>
        <v/>
      </c>
      <c r="C159" s="12" t="str">
        <f>IF(OR($B159="",$B159="Duplicate ID"),"",IFERROR(VLOOKUP($A159,'Use cases'!$A$5:$C$34,3,FALSE()),""))</f>
        <v/>
      </c>
      <c r="D159" s="13" t="s">
        <v>123</v>
      </c>
      <c r="E159" s="23"/>
      <c r="F159" s="23"/>
      <c r="G159" s="24"/>
      <c r="H159" s="24"/>
      <c r="I159" s="13" t="str">
        <f>IF(OR($B159="",$B159="Duplicate ID"),"",IFERROR(VLOOKUP($A159,'Use cases'!$A$5:$E$34,5,FALSE()),""))</f>
        <v/>
      </c>
      <c r="J159" s="11" t="str">
        <f>IF(OR($B159="",$B159="Duplicate ID"),"",IF(OR($F159="",$G159=""),"",IF(Policy!$B$24&lt;&gt;"OK","Config error",IFERROR(INDEX(Scales!$B$6:$B$10,1+INDEX(Policy!$C$5:$E$16,MATCH($F159&amp;"|"&amp;$G159,Policy!$G$5:$G$16,0),MATCH($I159,Policy!$C$4:$E$4,0))),"Config error"))))</f>
        <v/>
      </c>
      <c r="K159" s="13" t="str">
        <f>IF($H159="","",IF($F159=Scales!$B$24,"exempt",IFERROR(IF(VLOOKUP($H159,Conf_Check,3,FALSE())="valid",VLOOKUP($H159,Conf_Adjust,2,FALSE()),"n/a"),"n/a")))</f>
        <v/>
      </c>
      <c r="L159" s="13" t="str">
        <f>IF(OR($J159="",$J159="Config error"),"",IF(OR($F159=Scales!$B$24,AND(ISNUMBER($K159),$K159=0)),4,IF(ISNUMBER($K159),MAX(1,MATCH($J159,Scales!$B$6:$B$10,0)-1+$K159),1)))</f>
        <v/>
      </c>
      <c r="M159" s="5"/>
      <c r="N159" s="5"/>
      <c r="O159" s="8" t="str">
        <f>IF(OR($J159="",$J159="Config error",$E159="",$F159="",$G159="",$H159="",$R159=""),"",IF($M159="",MATCH($J159,Scales!$B$6:$B$10,0),IFERROR(MATCH($M159,Scales!$B$6:$B$10,0),MATCH($J159,Scales!$B$6:$B$10,0)))-1)</f>
        <v/>
      </c>
      <c r="P159" s="12" t="str">
        <f>IF($J159="",IF(AND($B159&lt;&gt;"",$B159&lt;&gt;"Duplicate ID"),"Incomplete assessment",""),IF($J159="Config error","Config error",IF($O159="","Incomplete assessment",IF($M159="","As recommended",IF(ISERROR(MATCH($M159,Scales!$B$6:$B$10,0)),"Invalid choice",IF(MATCH($M159,Scales!$B$6:$B$10,0)&gt;MATCH($J159,Scales!$B$6:$B$10,0),"Above policy: needs sign-off",IF(MATCH($M159,Scales!$B$6:$B$10,0)&lt;MATCH($J159,Scales!$B$6:$B$10,0),"More cautious than policy","As recommended")))))))</f>
        <v/>
      </c>
      <c r="Q159" s="13" t="str">
        <f>IF(OR($O159="",Policy!$B$24&lt;&gt;"OK"),"",IFERROR(MIN($O159,INDEX(Policy!$C$5:$E$16,MATCH($F159&amp;"|"&amp;Scales!$B$33,Policy!$G$5:$G$16,0),MATCH($I159,Policy!$C$4:$E$4,0))),""))</f>
        <v/>
      </c>
      <c r="R159" s="5"/>
      <c r="S159" s="13" t="str">
        <f>IF($B159="","",IF(COUNTIF('Readiness gate'!$A$7:$A$36,$A159)&lt;&gt;1,"Incomplete",IFERROR(IF(VLOOKUP($A159,GateTab,IF($F159=Scales!$B$24,11,9),FALSE())="","Incomplete",VLOOKUP($A159,GateTab,IF($F159=Scales!$B$24,11,9),FALSE())),"Incomplete")))</f>
        <v/>
      </c>
      <c r="T159" s="8" t="str">
        <f>IF($O159="","",MIN(IF(AND($O159&gt;MATCH($J159,Scales!$B$6:$B$10,0)-1,$N159&lt;&gt;"Yes"),MATCH($J159,Scales!$B$6:$B$10,0)-1,$O159),$L159,IF($F159=Scales!$B$24,IF($S159="Passed",4,IF(NOT(ISNUMBER($R159)),0,IF(OR($R159&lt;0,$R159&gt;4,$R159&lt;&gt;INT($R159)),0,$R159))),IF(NOT(ISNUMBER($R159)),0,IF(OR($R159&lt;0,$R159&gt;4,$R159&lt;&gt;INT($R159)),0,$R159))+IF($S159="Passed",1,0)),IF(AND($F159&lt;&gt;Scales!$B$24,OR($F159=Scales!$B$27,$G159=Scales!$B$33)),3,4)))</f>
        <v/>
      </c>
      <c r="U159" s="13" t="str">
        <f>IF($O159="",IF(AND($B159&lt;&gt;"",$B159&lt;&gt;"Duplicate ID"),IF($J159="Config error","Config error","Incomplete assessment"),""),IF($T159&gt;=$O159,IF(LEFT($P159,4)="More","Own choice","None"),MID(IF(AND($O159&gt;MATCH($J159,Scales!$B$6:$B$10,0)-1,$N159&lt;&gt;"Yes",$T159=MATCH($J159,Scales!$B$6:$B$10,0)-1)," + Exception not approved","")&amp;IF(AND($F159&lt;&gt;Scales!$B$24,OR($F159=Scales!$B$27,$G159=Scales!$B$33),$T159=3)," + Human-signature guardrail","")&amp;IF($T159=$L159," + Model confidence","")&amp;IF($T159=IF($F159=Scales!$B$24,IF($S159="Passed",4,IF(NOT(ISNUMBER($R159)),0,IF(OR($R159&lt;0,$R159&gt;4,$R159&lt;&gt;INT($R159)),0,$R159))),IF(NOT(ISNUMBER($R159)),0,IF(OR($R159&lt;0,$R159&gt;4,$R159&lt;&gt;INT($R159)),0,$R159))+IF($S159="Passed",1,0))," + "&amp;IF($S159&lt;&gt;"Passed","Readiness gate","Readiness gate (one level per gate)"),""),4,200)))</f>
        <v/>
      </c>
      <c r="V159" s="23"/>
    </row>
    <row r="160" spans="1:22" x14ac:dyDescent="0.25">
      <c r="A160" s="8" t="s">
        <v>267</v>
      </c>
      <c r="B160" s="11" t="str">
        <f>IF($A160="","",IF(COUNTIF('Use cases'!$A$5:$A$34,$A160)&gt;1,"Duplicate ID",IFERROR(IF(VLOOKUP($A160,'Use cases'!$A$5:$B$34,2,FALSE())=0,"",VLOOKUP($A160,'Use cases'!$A$5:$B$34,2,FALSE())),"")))</f>
        <v/>
      </c>
      <c r="C160" s="12" t="str">
        <f>IF(OR($B160="",$B160="Duplicate ID"),"",IFERROR(VLOOKUP($A160,'Use cases'!$A$5:$C$34,3,FALSE()),""))</f>
        <v/>
      </c>
      <c r="D160" s="13" t="s">
        <v>125</v>
      </c>
      <c r="E160" s="23"/>
      <c r="F160" s="23"/>
      <c r="G160" s="24"/>
      <c r="H160" s="24"/>
      <c r="I160" s="13" t="str">
        <f>IF(OR($B160="",$B160="Duplicate ID"),"",IFERROR(VLOOKUP($A160,'Use cases'!$A$5:$E$34,5,FALSE()),""))</f>
        <v/>
      </c>
      <c r="J160" s="11" t="str">
        <f>IF(OR($B160="",$B160="Duplicate ID"),"",IF(OR($F160="",$G160=""),"",IF(Policy!$B$24&lt;&gt;"OK","Config error",IFERROR(INDEX(Scales!$B$6:$B$10,1+INDEX(Policy!$C$5:$E$16,MATCH($F160&amp;"|"&amp;$G160,Policy!$G$5:$G$16,0),MATCH($I160,Policy!$C$4:$E$4,0))),"Config error"))))</f>
        <v/>
      </c>
      <c r="K160" s="13" t="str">
        <f>IF($H160="","",IF($F160=Scales!$B$24,"exempt",IFERROR(IF(VLOOKUP($H160,Conf_Check,3,FALSE())="valid",VLOOKUP($H160,Conf_Adjust,2,FALSE()),"n/a"),"n/a")))</f>
        <v/>
      </c>
      <c r="L160" s="13" t="str">
        <f>IF(OR($J160="",$J160="Config error"),"",IF(OR($F160=Scales!$B$24,AND(ISNUMBER($K160),$K160=0)),4,IF(ISNUMBER($K160),MAX(1,MATCH($J160,Scales!$B$6:$B$10,0)-1+$K160),1)))</f>
        <v/>
      </c>
      <c r="M160" s="5"/>
      <c r="N160" s="5"/>
      <c r="O160" s="8" t="str">
        <f>IF(OR($J160="",$J160="Config error",$E160="",$F160="",$G160="",$H160="",$R160=""),"",IF($M160="",MATCH($J160,Scales!$B$6:$B$10,0),IFERROR(MATCH($M160,Scales!$B$6:$B$10,0),MATCH($J160,Scales!$B$6:$B$10,0)))-1)</f>
        <v/>
      </c>
      <c r="P160" s="12" t="str">
        <f>IF($J160="",IF(AND($B160&lt;&gt;"",$B160&lt;&gt;"Duplicate ID"),"Incomplete assessment",""),IF($J160="Config error","Config error",IF($O160="","Incomplete assessment",IF($M160="","As recommended",IF(ISERROR(MATCH($M160,Scales!$B$6:$B$10,0)),"Invalid choice",IF(MATCH($M160,Scales!$B$6:$B$10,0)&gt;MATCH($J160,Scales!$B$6:$B$10,0),"Above policy: needs sign-off",IF(MATCH($M160,Scales!$B$6:$B$10,0)&lt;MATCH($J160,Scales!$B$6:$B$10,0),"More cautious than policy","As recommended")))))))</f>
        <v/>
      </c>
      <c r="Q160" s="13" t="str">
        <f>IF(OR($O160="",Policy!$B$24&lt;&gt;"OK"),"",IFERROR(MIN($O160,INDEX(Policy!$C$5:$E$16,MATCH($F160&amp;"|"&amp;Scales!$B$33,Policy!$G$5:$G$16,0),MATCH($I160,Policy!$C$4:$E$4,0))),""))</f>
        <v/>
      </c>
      <c r="R160" s="5"/>
      <c r="S160" s="13" t="str">
        <f>IF($B160="","",IF(COUNTIF('Readiness gate'!$A$7:$A$36,$A160)&lt;&gt;1,"Incomplete",IFERROR(IF(VLOOKUP($A160,GateTab,IF($F160=Scales!$B$24,11,9),FALSE())="","Incomplete",VLOOKUP($A160,GateTab,IF($F160=Scales!$B$24,11,9),FALSE())),"Incomplete")))</f>
        <v/>
      </c>
      <c r="T160" s="8" t="str">
        <f>IF($O160="","",MIN(IF(AND($O160&gt;MATCH($J160,Scales!$B$6:$B$10,0)-1,$N160&lt;&gt;"Yes"),MATCH($J160,Scales!$B$6:$B$10,0)-1,$O160),$L160,IF($F160=Scales!$B$24,IF($S160="Passed",4,IF(NOT(ISNUMBER($R160)),0,IF(OR($R160&lt;0,$R160&gt;4,$R160&lt;&gt;INT($R160)),0,$R160))),IF(NOT(ISNUMBER($R160)),0,IF(OR($R160&lt;0,$R160&gt;4,$R160&lt;&gt;INT($R160)),0,$R160))+IF($S160="Passed",1,0)),IF(AND($F160&lt;&gt;Scales!$B$24,OR($F160=Scales!$B$27,$G160=Scales!$B$33)),3,4)))</f>
        <v/>
      </c>
      <c r="U160" s="13" t="str">
        <f>IF($O160="",IF(AND($B160&lt;&gt;"",$B160&lt;&gt;"Duplicate ID"),IF($J160="Config error","Config error","Incomplete assessment"),""),IF($T160&gt;=$O160,IF(LEFT($P160,4)="More","Own choice","None"),MID(IF(AND($O160&gt;MATCH($J160,Scales!$B$6:$B$10,0)-1,$N160&lt;&gt;"Yes",$T160=MATCH($J160,Scales!$B$6:$B$10,0)-1)," + Exception not approved","")&amp;IF(AND($F160&lt;&gt;Scales!$B$24,OR($F160=Scales!$B$27,$G160=Scales!$B$33),$T160=3)," + Human-signature guardrail","")&amp;IF($T160=$L160," + Model confidence","")&amp;IF($T160=IF($F160=Scales!$B$24,IF($S160="Passed",4,IF(NOT(ISNUMBER($R160)),0,IF(OR($R160&lt;0,$R160&gt;4,$R160&lt;&gt;INT($R160)),0,$R160))),IF(NOT(ISNUMBER($R160)),0,IF(OR($R160&lt;0,$R160&gt;4,$R160&lt;&gt;INT($R160)),0,$R160))+IF($S160="Passed",1,0))," + "&amp;IF($S160&lt;&gt;"Passed","Readiness gate","Readiness gate (one level per gate)"),""),4,200)))</f>
        <v/>
      </c>
      <c r="V160" s="23"/>
    </row>
    <row r="161" spans="1:22" x14ac:dyDescent="0.25">
      <c r="A161" s="8" t="s">
        <v>267</v>
      </c>
      <c r="B161" s="11" t="str">
        <f>IF($A161="","",IF(COUNTIF('Use cases'!$A$5:$A$34,$A161)&gt;1,"Duplicate ID",IFERROR(IF(VLOOKUP($A161,'Use cases'!$A$5:$B$34,2,FALSE())=0,"",VLOOKUP($A161,'Use cases'!$A$5:$B$34,2,FALSE())),"")))</f>
        <v/>
      </c>
      <c r="C161" s="12" t="str">
        <f>IF(OR($B161="",$B161="Duplicate ID"),"",IFERROR(VLOOKUP($A161,'Use cases'!$A$5:$C$34,3,FALSE()),""))</f>
        <v/>
      </c>
      <c r="D161" s="13" t="s">
        <v>127</v>
      </c>
      <c r="E161" s="23"/>
      <c r="F161" s="23"/>
      <c r="G161" s="24"/>
      <c r="H161" s="24"/>
      <c r="I161" s="13" t="str">
        <f>IF(OR($B161="",$B161="Duplicate ID"),"",IFERROR(VLOOKUP($A161,'Use cases'!$A$5:$E$34,5,FALSE()),""))</f>
        <v/>
      </c>
      <c r="J161" s="11" t="str">
        <f>IF(OR($B161="",$B161="Duplicate ID"),"",IF(OR($F161="",$G161=""),"",IF(Policy!$B$24&lt;&gt;"OK","Config error",IFERROR(INDEX(Scales!$B$6:$B$10,1+INDEX(Policy!$C$5:$E$16,MATCH($F161&amp;"|"&amp;$G161,Policy!$G$5:$G$16,0),MATCH($I161,Policy!$C$4:$E$4,0))),"Config error"))))</f>
        <v/>
      </c>
      <c r="K161" s="13" t="str">
        <f>IF($H161="","",IF($F161=Scales!$B$24,"exempt",IFERROR(IF(VLOOKUP($H161,Conf_Check,3,FALSE())="valid",VLOOKUP($H161,Conf_Adjust,2,FALSE()),"n/a"),"n/a")))</f>
        <v/>
      </c>
      <c r="L161" s="13" t="str">
        <f>IF(OR($J161="",$J161="Config error"),"",IF(OR($F161=Scales!$B$24,AND(ISNUMBER($K161),$K161=0)),4,IF(ISNUMBER($K161),MAX(1,MATCH($J161,Scales!$B$6:$B$10,0)-1+$K161),1)))</f>
        <v/>
      </c>
      <c r="M161" s="5"/>
      <c r="N161" s="5"/>
      <c r="O161" s="8" t="str">
        <f>IF(OR($J161="",$J161="Config error",$E161="",$F161="",$G161="",$H161="",$R161=""),"",IF($M161="",MATCH($J161,Scales!$B$6:$B$10,0),IFERROR(MATCH($M161,Scales!$B$6:$B$10,0),MATCH($J161,Scales!$B$6:$B$10,0)))-1)</f>
        <v/>
      </c>
      <c r="P161" s="12" t="str">
        <f>IF($J161="",IF(AND($B161&lt;&gt;"",$B161&lt;&gt;"Duplicate ID"),"Incomplete assessment",""),IF($J161="Config error","Config error",IF($O161="","Incomplete assessment",IF($M161="","As recommended",IF(ISERROR(MATCH($M161,Scales!$B$6:$B$10,0)),"Invalid choice",IF(MATCH($M161,Scales!$B$6:$B$10,0)&gt;MATCH($J161,Scales!$B$6:$B$10,0),"Above policy: needs sign-off",IF(MATCH($M161,Scales!$B$6:$B$10,0)&lt;MATCH($J161,Scales!$B$6:$B$10,0),"More cautious than policy","As recommended")))))))</f>
        <v/>
      </c>
      <c r="Q161" s="13" t="str">
        <f>IF(OR($O161="",Policy!$B$24&lt;&gt;"OK"),"",IFERROR(MIN($O161,INDEX(Policy!$C$5:$E$16,MATCH($F161&amp;"|"&amp;Scales!$B$33,Policy!$G$5:$G$16,0),MATCH($I161,Policy!$C$4:$E$4,0))),""))</f>
        <v/>
      </c>
      <c r="R161" s="5"/>
      <c r="S161" s="13" t="str">
        <f>IF($B161="","",IF(COUNTIF('Readiness gate'!$A$7:$A$36,$A161)&lt;&gt;1,"Incomplete",IFERROR(IF(VLOOKUP($A161,GateTab,IF($F161=Scales!$B$24,11,9),FALSE())="","Incomplete",VLOOKUP($A161,GateTab,IF($F161=Scales!$B$24,11,9),FALSE())),"Incomplete")))</f>
        <v/>
      </c>
      <c r="T161" s="8" t="str">
        <f>IF($O161="","",MIN(IF(AND($O161&gt;MATCH($J161,Scales!$B$6:$B$10,0)-1,$N161&lt;&gt;"Yes"),MATCH($J161,Scales!$B$6:$B$10,0)-1,$O161),$L161,IF($F161=Scales!$B$24,IF($S161="Passed",4,IF(NOT(ISNUMBER($R161)),0,IF(OR($R161&lt;0,$R161&gt;4,$R161&lt;&gt;INT($R161)),0,$R161))),IF(NOT(ISNUMBER($R161)),0,IF(OR($R161&lt;0,$R161&gt;4,$R161&lt;&gt;INT($R161)),0,$R161))+IF($S161="Passed",1,0)),IF(AND($F161&lt;&gt;Scales!$B$24,OR($F161=Scales!$B$27,$G161=Scales!$B$33)),3,4)))</f>
        <v/>
      </c>
      <c r="U161" s="13" t="str">
        <f>IF($O161="",IF(AND($B161&lt;&gt;"",$B161&lt;&gt;"Duplicate ID"),IF($J161="Config error","Config error","Incomplete assessment"),""),IF($T161&gt;=$O161,IF(LEFT($P161,4)="More","Own choice","None"),MID(IF(AND($O161&gt;MATCH($J161,Scales!$B$6:$B$10,0)-1,$N161&lt;&gt;"Yes",$T161=MATCH($J161,Scales!$B$6:$B$10,0)-1)," + Exception not approved","")&amp;IF(AND($F161&lt;&gt;Scales!$B$24,OR($F161=Scales!$B$27,$G161=Scales!$B$33),$T161=3)," + Human-signature guardrail","")&amp;IF($T161=$L161," + Model confidence","")&amp;IF($T161=IF($F161=Scales!$B$24,IF($S161="Passed",4,IF(NOT(ISNUMBER($R161)),0,IF(OR($R161&lt;0,$R161&gt;4,$R161&lt;&gt;INT($R161)),0,$R161))),IF(NOT(ISNUMBER($R161)),0,IF(OR($R161&lt;0,$R161&gt;4,$R161&lt;&gt;INT($R161)),0,$R161))+IF($S161="Passed",1,0))," + "&amp;IF($S161&lt;&gt;"Passed","Readiness gate","Readiness gate (one level per gate)"),""),4,200)))</f>
        <v/>
      </c>
      <c r="V161" s="23"/>
    </row>
    <row r="162" spans="1:22" x14ac:dyDescent="0.25">
      <c r="A162" s="8" t="s">
        <v>268</v>
      </c>
      <c r="B162" s="11" t="str">
        <f>IF($A162="","",IF(COUNTIF('Use cases'!$A$5:$A$34,$A162)&gt;1,"Duplicate ID",IFERROR(IF(VLOOKUP($A162,'Use cases'!$A$5:$B$34,2,FALSE())=0,"",VLOOKUP($A162,'Use cases'!$A$5:$B$34,2,FALSE())),"")))</f>
        <v/>
      </c>
      <c r="C162" s="12" t="str">
        <f>IF(OR($B162="",$B162="Duplicate ID"),"",IFERROR(VLOOKUP($A162,'Use cases'!$A$5:$C$34,3,FALSE()),""))</f>
        <v/>
      </c>
      <c r="D162" s="13" t="s">
        <v>112</v>
      </c>
      <c r="E162" s="23"/>
      <c r="F162" s="23"/>
      <c r="G162" s="24"/>
      <c r="H162" s="24"/>
      <c r="I162" s="13" t="str">
        <f>IF(OR($B162="",$B162="Duplicate ID"),"",IFERROR(VLOOKUP($A162,'Use cases'!$A$5:$E$34,5,FALSE()),""))</f>
        <v/>
      </c>
      <c r="J162" s="11" t="str">
        <f>IF(OR($B162="",$B162="Duplicate ID"),"",IF(OR($F162="",$G162=""),"",IF(Policy!$B$24&lt;&gt;"OK","Config error",IFERROR(INDEX(Scales!$B$6:$B$10,1+INDEX(Policy!$C$5:$E$16,MATCH($F162&amp;"|"&amp;$G162,Policy!$G$5:$G$16,0),MATCH($I162,Policy!$C$4:$E$4,0))),"Config error"))))</f>
        <v/>
      </c>
      <c r="K162" s="13" t="str">
        <f>IF($H162="","",IF($F162=Scales!$B$24,"exempt",IFERROR(IF(VLOOKUP($H162,Conf_Check,3,FALSE())="valid",VLOOKUP($H162,Conf_Adjust,2,FALSE()),"n/a"),"n/a")))</f>
        <v/>
      </c>
      <c r="L162" s="13" t="str">
        <f>IF(OR($J162="",$J162="Config error"),"",IF(OR($F162=Scales!$B$24,AND(ISNUMBER($K162),$K162=0)),4,IF(ISNUMBER($K162),MAX(1,MATCH($J162,Scales!$B$6:$B$10,0)-1+$K162),1)))</f>
        <v/>
      </c>
      <c r="M162" s="5"/>
      <c r="N162" s="5"/>
      <c r="O162" s="8" t="str">
        <f>IF(OR($J162="",$J162="Config error",$E162="",$F162="",$G162="",$H162="",$R162=""),"",IF($M162="",MATCH($J162,Scales!$B$6:$B$10,0),IFERROR(MATCH($M162,Scales!$B$6:$B$10,0),MATCH($J162,Scales!$B$6:$B$10,0)))-1)</f>
        <v/>
      </c>
      <c r="P162" s="12" t="str">
        <f>IF($J162="",IF(AND($B162&lt;&gt;"",$B162&lt;&gt;"Duplicate ID"),"Incomplete assessment",""),IF($J162="Config error","Config error",IF($O162="","Incomplete assessment",IF($M162="","As recommended",IF(ISERROR(MATCH($M162,Scales!$B$6:$B$10,0)),"Invalid choice",IF(MATCH($M162,Scales!$B$6:$B$10,0)&gt;MATCH($J162,Scales!$B$6:$B$10,0),"Above policy: needs sign-off",IF(MATCH($M162,Scales!$B$6:$B$10,0)&lt;MATCH($J162,Scales!$B$6:$B$10,0),"More cautious than policy","As recommended")))))))</f>
        <v/>
      </c>
      <c r="Q162" s="13" t="str">
        <f>IF(OR($O162="",Policy!$B$24&lt;&gt;"OK"),"",IFERROR(MIN($O162,INDEX(Policy!$C$5:$E$16,MATCH($F162&amp;"|"&amp;Scales!$B$33,Policy!$G$5:$G$16,0),MATCH($I162,Policy!$C$4:$E$4,0))),""))</f>
        <v/>
      </c>
      <c r="R162" s="5"/>
      <c r="S162" s="13" t="str">
        <f>IF($B162="","",IF(COUNTIF('Readiness gate'!$A$7:$A$36,$A162)&lt;&gt;1,"Incomplete",IFERROR(IF(VLOOKUP($A162,GateTab,IF($F162=Scales!$B$24,11,9),FALSE())="","Incomplete",VLOOKUP($A162,GateTab,IF($F162=Scales!$B$24,11,9),FALSE())),"Incomplete")))</f>
        <v/>
      </c>
      <c r="T162" s="8" t="str">
        <f>IF($O162="","",MIN(IF(AND($O162&gt;MATCH($J162,Scales!$B$6:$B$10,0)-1,$N162&lt;&gt;"Yes"),MATCH($J162,Scales!$B$6:$B$10,0)-1,$O162),$L162,IF($F162=Scales!$B$24,IF($S162="Passed",4,IF(NOT(ISNUMBER($R162)),0,IF(OR($R162&lt;0,$R162&gt;4,$R162&lt;&gt;INT($R162)),0,$R162))),IF(NOT(ISNUMBER($R162)),0,IF(OR($R162&lt;0,$R162&gt;4,$R162&lt;&gt;INT($R162)),0,$R162))+IF($S162="Passed",1,0)),IF(AND($F162&lt;&gt;Scales!$B$24,OR($F162=Scales!$B$27,$G162=Scales!$B$33)),3,4)))</f>
        <v/>
      </c>
      <c r="U162" s="13" t="str">
        <f>IF($O162="",IF(AND($B162&lt;&gt;"",$B162&lt;&gt;"Duplicate ID"),IF($J162="Config error","Config error","Incomplete assessment"),""),IF($T162&gt;=$O162,IF(LEFT($P162,4)="More","Own choice","None"),MID(IF(AND($O162&gt;MATCH($J162,Scales!$B$6:$B$10,0)-1,$N162&lt;&gt;"Yes",$T162=MATCH($J162,Scales!$B$6:$B$10,0)-1)," + Exception not approved","")&amp;IF(AND($F162&lt;&gt;Scales!$B$24,OR($F162=Scales!$B$27,$G162=Scales!$B$33),$T162=3)," + Human-signature guardrail","")&amp;IF($T162=$L162," + Model confidence","")&amp;IF($T162=IF($F162=Scales!$B$24,IF($S162="Passed",4,IF(NOT(ISNUMBER($R162)),0,IF(OR($R162&lt;0,$R162&gt;4,$R162&lt;&gt;INT($R162)),0,$R162))),IF(NOT(ISNUMBER($R162)),0,IF(OR($R162&lt;0,$R162&gt;4,$R162&lt;&gt;INT($R162)),0,$R162))+IF($S162="Passed",1,0))," + "&amp;IF($S162&lt;&gt;"Passed","Readiness gate","Readiness gate (one level per gate)"),""),4,200)))</f>
        <v/>
      </c>
      <c r="V162" s="23"/>
    </row>
    <row r="163" spans="1:22" x14ac:dyDescent="0.25">
      <c r="A163" s="8" t="s">
        <v>268</v>
      </c>
      <c r="B163" s="11" t="str">
        <f>IF($A163="","",IF(COUNTIF('Use cases'!$A$5:$A$34,$A163)&gt;1,"Duplicate ID",IFERROR(IF(VLOOKUP($A163,'Use cases'!$A$5:$B$34,2,FALSE())=0,"",VLOOKUP($A163,'Use cases'!$A$5:$B$34,2,FALSE())),"")))</f>
        <v/>
      </c>
      <c r="C163" s="12" t="str">
        <f>IF(OR($B163="",$B163="Duplicate ID"),"",IFERROR(VLOOKUP($A163,'Use cases'!$A$5:$C$34,3,FALSE()),""))</f>
        <v/>
      </c>
      <c r="D163" s="13" t="s">
        <v>117</v>
      </c>
      <c r="E163" s="23"/>
      <c r="F163" s="23"/>
      <c r="G163" s="24"/>
      <c r="H163" s="24"/>
      <c r="I163" s="13" t="str">
        <f>IF(OR($B163="",$B163="Duplicate ID"),"",IFERROR(VLOOKUP($A163,'Use cases'!$A$5:$E$34,5,FALSE()),""))</f>
        <v/>
      </c>
      <c r="J163" s="11" t="str">
        <f>IF(OR($B163="",$B163="Duplicate ID"),"",IF(OR($F163="",$G163=""),"",IF(Policy!$B$24&lt;&gt;"OK","Config error",IFERROR(INDEX(Scales!$B$6:$B$10,1+INDEX(Policy!$C$5:$E$16,MATCH($F163&amp;"|"&amp;$G163,Policy!$G$5:$G$16,0),MATCH($I163,Policy!$C$4:$E$4,0))),"Config error"))))</f>
        <v/>
      </c>
      <c r="K163" s="13" t="str">
        <f>IF($H163="","",IF($F163=Scales!$B$24,"exempt",IFERROR(IF(VLOOKUP($H163,Conf_Check,3,FALSE())="valid",VLOOKUP($H163,Conf_Adjust,2,FALSE()),"n/a"),"n/a")))</f>
        <v/>
      </c>
      <c r="L163" s="13" t="str">
        <f>IF(OR($J163="",$J163="Config error"),"",IF(OR($F163=Scales!$B$24,AND(ISNUMBER($K163),$K163=0)),4,IF(ISNUMBER($K163),MAX(1,MATCH($J163,Scales!$B$6:$B$10,0)-1+$K163),1)))</f>
        <v/>
      </c>
      <c r="M163" s="5"/>
      <c r="N163" s="5"/>
      <c r="O163" s="8" t="str">
        <f>IF(OR($J163="",$J163="Config error",$E163="",$F163="",$G163="",$H163="",$R163=""),"",IF($M163="",MATCH($J163,Scales!$B$6:$B$10,0),IFERROR(MATCH($M163,Scales!$B$6:$B$10,0),MATCH($J163,Scales!$B$6:$B$10,0)))-1)</f>
        <v/>
      </c>
      <c r="P163" s="12" t="str">
        <f>IF($J163="",IF(AND($B163&lt;&gt;"",$B163&lt;&gt;"Duplicate ID"),"Incomplete assessment",""),IF($J163="Config error","Config error",IF($O163="","Incomplete assessment",IF($M163="","As recommended",IF(ISERROR(MATCH($M163,Scales!$B$6:$B$10,0)),"Invalid choice",IF(MATCH($M163,Scales!$B$6:$B$10,0)&gt;MATCH($J163,Scales!$B$6:$B$10,0),"Above policy: needs sign-off",IF(MATCH($M163,Scales!$B$6:$B$10,0)&lt;MATCH($J163,Scales!$B$6:$B$10,0),"More cautious than policy","As recommended")))))))</f>
        <v/>
      </c>
      <c r="Q163" s="13" t="str">
        <f>IF(OR($O163="",Policy!$B$24&lt;&gt;"OK"),"",IFERROR(MIN($O163,INDEX(Policy!$C$5:$E$16,MATCH($F163&amp;"|"&amp;Scales!$B$33,Policy!$G$5:$G$16,0),MATCH($I163,Policy!$C$4:$E$4,0))),""))</f>
        <v/>
      </c>
      <c r="R163" s="5"/>
      <c r="S163" s="13" t="str">
        <f>IF($B163="","",IF(COUNTIF('Readiness gate'!$A$7:$A$36,$A163)&lt;&gt;1,"Incomplete",IFERROR(IF(VLOOKUP($A163,GateTab,IF($F163=Scales!$B$24,11,9),FALSE())="","Incomplete",VLOOKUP($A163,GateTab,IF($F163=Scales!$B$24,11,9),FALSE())),"Incomplete")))</f>
        <v/>
      </c>
      <c r="T163" s="8" t="str">
        <f>IF($O163="","",MIN(IF(AND($O163&gt;MATCH($J163,Scales!$B$6:$B$10,0)-1,$N163&lt;&gt;"Yes"),MATCH($J163,Scales!$B$6:$B$10,0)-1,$O163),$L163,IF($F163=Scales!$B$24,IF($S163="Passed",4,IF(NOT(ISNUMBER($R163)),0,IF(OR($R163&lt;0,$R163&gt;4,$R163&lt;&gt;INT($R163)),0,$R163))),IF(NOT(ISNUMBER($R163)),0,IF(OR($R163&lt;0,$R163&gt;4,$R163&lt;&gt;INT($R163)),0,$R163))+IF($S163="Passed",1,0)),IF(AND($F163&lt;&gt;Scales!$B$24,OR($F163=Scales!$B$27,$G163=Scales!$B$33)),3,4)))</f>
        <v/>
      </c>
      <c r="U163" s="13" t="str">
        <f>IF($O163="",IF(AND($B163&lt;&gt;"",$B163&lt;&gt;"Duplicate ID"),IF($J163="Config error","Config error","Incomplete assessment"),""),IF($T163&gt;=$O163,IF(LEFT($P163,4)="More","Own choice","None"),MID(IF(AND($O163&gt;MATCH($J163,Scales!$B$6:$B$10,0)-1,$N163&lt;&gt;"Yes",$T163=MATCH($J163,Scales!$B$6:$B$10,0)-1)," + Exception not approved","")&amp;IF(AND($F163&lt;&gt;Scales!$B$24,OR($F163=Scales!$B$27,$G163=Scales!$B$33),$T163=3)," + Human-signature guardrail","")&amp;IF($T163=$L163," + Model confidence","")&amp;IF($T163=IF($F163=Scales!$B$24,IF($S163="Passed",4,IF(NOT(ISNUMBER($R163)),0,IF(OR($R163&lt;0,$R163&gt;4,$R163&lt;&gt;INT($R163)),0,$R163))),IF(NOT(ISNUMBER($R163)),0,IF(OR($R163&lt;0,$R163&gt;4,$R163&lt;&gt;INT($R163)),0,$R163))+IF($S163="Passed",1,0))," + "&amp;IF($S163&lt;&gt;"Passed","Readiness gate","Readiness gate (one level per gate)"),""),4,200)))</f>
        <v/>
      </c>
      <c r="V163" s="23"/>
    </row>
    <row r="164" spans="1:22" x14ac:dyDescent="0.25">
      <c r="A164" s="8" t="s">
        <v>268</v>
      </c>
      <c r="B164" s="11" t="str">
        <f>IF($A164="","",IF(COUNTIF('Use cases'!$A$5:$A$34,$A164)&gt;1,"Duplicate ID",IFERROR(IF(VLOOKUP($A164,'Use cases'!$A$5:$B$34,2,FALSE())=0,"",VLOOKUP($A164,'Use cases'!$A$5:$B$34,2,FALSE())),"")))</f>
        <v/>
      </c>
      <c r="C164" s="12" t="str">
        <f>IF(OR($B164="",$B164="Duplicate ID"),"",IFERROR(VLOOKUP($A164,'Use cases'!$A$5:$C$34,3,FALSE()),""))</f>
        <v/>
      </c>
      <c r="D164" s="13" t="s">
        <v>120</v>
      </c>
      <c r="E164" s="23"/>
      <c r="F164" s="23"/>
      <c r="G164" s="24"/>
      <c r="H164" s="24"/>
      <c r="I164" s="13" t="str">
        <f>IF(OR($B164="",$B164="Duplicate ID"),"",IFERROR(VLOOKUP($A164,'Use cases'!$A$5:$E$34,5,FALSE()),""))</f>
        <v/>
      </c>
      <c r="J164" s="11" t="str">
        <f>IF(OR($B164="",$B164="Duplicate ID"),"",IF(OR($F164="",$G164=""),"",IF(Policy!$B$24&lt;&gt;"OK","Config error",IFERROR(INDEX(Scales!$B$6:$B$10,1+INDEX(Policy!$C$5:$E$16,MATCH($F164&amp;"|"&amp;$G164,Policy!$G$5:$G$16,0),MATCH($I164,Policy!$C$4:$E$4,0))),"Config error"))))</f>
        <v/>
      </c>
      <c r="K164" s="13" t="str">
        <f>IF($H164="","",IF($F164=Scales!$B$24,"exempt",IFERROR(IF(VLOOKUP($H164,Conf_Check,3,FALSE())="valid",VLOOKUP($H164,Conf_Adjust,2,FALSE()),"n/a"),"n/a")))</f>
        <v/>
      </c>
      <c r="L164" s="13" t="str">
        <f>IF(OR($J164="",$J164="Config error"),"",IF(OR($F164=Scales!$B$24,AND(ISNUMBER($K164),$K164=0)),4,IF(ISNUMBER($K164),MAX(1,MATCH($J164,Scales!$B$6:$B$10,0)-1+$K164),1)))</f>
        <v/>
      </c>
      <c r="M164" s="5"/>
      <c r="N164" s="5"/>
      <c r="O164" s="8" t="str">
        <f>IF(OR($J164="",$J164="Config error",$E164="",$F164="",$G164="",$H164="",$R164=""),"",IF($M164="",MATCH($J164,Scales!$B$6:$B$10,0),IFERROR(MATCH($M164,Scales!$B$6:$B$10,0),MATCH($J164,Scales!$B$6:$B$10,0)))-1)</f>
        <v/>
      </c>
      <c r="P164" s="12" t="str">
        <f>IF($J164="",IF(AND($B164&lt;&gt;"",$B164&lt;&gt;"Duplicate ID"),"Incomplete assessment",""),IF($J164="Config error","Config error",IF($O164="","Incomplete assessment",IF($M164="","As recommended",IF(ISERROR(MATCH($M164,Scales!$B$6:$B$10,0)),"Invalid choice",IF(MATCH($M164,Scales!$B$6:$B$10,0)&gt;MATCH($J164,Scales!$B$6:$B$10,0),"Above policy: needs sign-off",IF(MATCH($M164,Scales!$B$6:$B$10,0)&lt;MATCH($J164,Scales!$B$6:$B$10,0),"More cautious than policy","As recommended")))))))</f>
        <v/>
      </c>
      <c r="Q164" s="13" t="str">
        <f>IF(OR($O164="",Policy!$B$24&lt;&gt;"OK"),"",IFERROR(MIN($O164,INDEX(Policy!$C$5:$E$16,MATCH($F164&amp;"|"&amp;Scales!$B$33,Policy!$G$5:$G$16,0),MATCH($I164,Policy!$C$4:$E$4,0))),""))</f>
        <v/>
      </c>
      <c r="R164" s="5"/>
      <c r="S164" s="13" t="str">
        <f>IF($B164="","",IF(COUNTIF('Readiness gate'!$A$7:$A$36,$A164)&lt;&gt;1,"Incomplete",IFERROR(IF(VLOOKUP($A164,GateTab,IF($F164=Scales!$B$24,11,9),FALSE())="","Incomplete",VLOOKUP($A164,GateTab,IF($F164=Scales!$B$24,11,9),FALSE())),"Incomplete")))</f>
        <v/>
      </c>
      <c r="T164" s="8" t="str">
        <f>IF($O164="","",MIN(IF(AND($O164&gt;MATCH($J164,Scales!$B$6:$B$10,0)-1,$N164&lt;&gt;"Yes"),MATCH($J164,Scales!$B$6:$B$10,0)-1,$O164),$L164,IF($F164=Scales!$B$24,IF($S164="Passed",4,IF(NOT(ISNUMBER($R164)),0,IF(OR($R164&lt;0,$R164&gt;4,$R164&lt;&gt;INT($R164)),0,$R164))),IF(NOT(ISNUMBER($R164)),0,IF(OR($R164&lt;0,$R164&gt;4,$R164&lt;&gt;INT($R164)),0,$R164))+IF($S164="Passed",1,0)),IF(AND($F164&lt;&gt;Scales!$B$24,OR($F164=Scales!$B$27,$G164=Scales!$B$33)),3,4)))</f>
        <v/>
      </c>
      <c r="U164" s="13" t="str">
        <f>IF($O164="",IF(AND($B164&lt;&gt;"",$B164&lt;&gt;"Duplicate ID"),IF($J164="Config error","Config error","Incomplete assessment"),""),IF($T164&gt;=$O164,IF(LEFT($P164,4)="More","Own choice","None"),MID(IF(AND($O164&gt;MATCH($J164,Scales!$B$6:$B$10,0)-1,$N164&lt;&gt;"Yes",$T164=MATCH($J164,Scales!$B$6:$B$10,0)-1)," + Exception not approved","")&amp;IF(AND($F164&lt;&gt;Scales!$B$24,OR($F164=Scales!$B$27,$G164=Scales!$B$33),$T164=3)," + Human-signature guardrail","")&amp;IF($T164=$L164," + Model confidence","")&amp;IF($T164=IF($F164=Scales!$B$24,IF($S164="Passed",4,IF(NOT(ISNUMBER($R164)),0,IF(OR($R164&lt;0,$R164&gt;4,$R164&lt;&gt;INT($R164)),0,$R164))),IF(NOT(ISNUMBER($R164)),0,IF(OR($R164&lt;0,$R164&gt;4,$R164&lt;&gt;INT($R164)),0,$R164))+IF($S164="Passed",1,0))," + "&amp;IF($S164&lt;&gt;"Passed","Readiness gate","Readiness gate (one level per gate)"),""),4,200)))</f>
        <v/>
      </c>
      <c r="V164" s="23"/>
    </row>
    <row r="165" spans="1:22" x14ac:dyDescent="0.25">
      <c r="A165" s="8" t="s">
        <v>268</v>
      </c>
      <c r="B165" s="11" t="str">
        <f>IF($A165="","",IF(COUNTIF('Use cases'!$A$5:$A$34,$A165)&gt;1,"Duplicate ID",IFERROR(IF(VLOOKUP($A165,'Use cases'!$A$5:$B$34,2,FALSE())=0,"",VLOOKUP($A165,'Use cases'!$A$5:$B$34,2,FALSE())),"")))</f>
        <v/>
      </c>
      <c r="C165" s="12" t="str">
        <f>IF(OR($B165="",$B165="Duplicate ID"),"",IFERROR(VLOOKUP($A165,'Use cases'!$A$5:$C$34,3,FALSE()),""))</f>
        <v/>
      </c>
      <c r="D165" s="13" t="s">
        <v>123</v>
      </c>
      <c r="E165" s="23"/>
      <c r="F165" s="23"/>
      <c r="G165" s="24"/>
      <c r="H165" s="24"/>
      <c r="I165" s="13" t="str">
        <f>IF(OR($B165="",$B165="Duplicate ID"),"",IFERROR(VLOOKUP($A165,'Use cases'!$A$5:$E$34,5,FALSE()),""))</f>
        <v/>
      </c>
      <c r="J165" s="11" t="str">
        <f>IF(OR($B165="",$B165="Duplicate ID"),"",IF(OR($F165="",$G165=""),"",IF(Policy!$B$24&lt;&gt;"OK","Config error",IFERROR(INDEX(Scales!$B$6:$B$10,1+INDEX(Policy!$C$5:$E$16,MATCH($F165&amp;"|"&amp;$G165,Policy!$G$5:$G$16,0),MATCH($I165,Policy!$C$4:$E$4,0))),"Config error"))))</f>
        <v/>
      </c>
      <c r="K165" s="13" t="str">
        <f>IF($H165="","",IF($F165=Scales!$B$24,"exempt",IFERROR(IF(VLOOKUP($H165,Conf_Check,3,FALSE())="valid",VLOOKUP($H165,Conf_Adjust,2,FALSE()),"n/a"),"n/a")))</f>
        <v/>
      </c>
      <c r="L165" s="13" t="str">
        <f>IF(OR($J165="",$J165="Config error"),"",IF(OR($F165=Scales!$B$24,AND(ISNUMBER($K165),$K165=0)),4,IF(ISNUMBER($K165),MAX(1,MATCH($J165,Scales!$B$6:$B$10,0)-1+$K165),1)))</f>
        <v/>
      </c>
      <c r="M165" s="5"/>
      <c r="N165" s="5"/>
      <c r="O165" s="8" t="str">
        <f>IF(OR($J165="",$J165="Config error",$E165="",$F165="",$G165="",$H165="",$R165=""),"",IF($M165="",MATCH($J165,Scales!$B$6:$B$10,0),IFERROR(MATCH($M165,Scales!$B$6:$B$10,0),MATCH($J165,Scales!$B$6:$B$10,0)))-1)</f>
        <v/>
      </c>
      <c r="P165" s="12" t="str">
        <f>IF($J165="",IF(AND($B165&lt;&gt;"",$B165&lt;&gt;"Duplicate ID"),"Incomplete assessment",""),IF($J165="Config error","Config error",IF($O165="","Incomplete assessment",IF($M165="","As recommended",IF(ISERROR(MATCH($M165,Scales!$B$6:$B$10,0)),"Invalid choice",IF(MATCH($M165,Scales!$B$6:$B$10,0)&gt;MATCH($J165,Scales!$B$6:$B$10,0),"Above policy: needs sign-off",IF(MATCH($M165,Scales!$B$6:$B$10,0)&lt;MATCH($J165,Scales!$B$6:$B$10,0),"More cautious than policy","As recommended")))))))</f>
        <v/>
      </c>
      <c r="Q165" s="13" t="str">
        <f>IF(OR($O165="",Policy!$B$24&lt;&gt;"OK"),"",IFERROR(MIN($O165,INDEX(Policy!$C$5:$E$16,MATCH($F165&amp;"|"&amp;Scales!$B$33,Policy!$G$5:$G$16,0),MATCH($I165,Policy!$C$4:$E$4,0))),""))</f>
        <v/>
      </c>
      <c r="R165" s="5"/>
      <c r="S165" s="13" t="str">
        <f>IF($B165="","",IF(COUNTIF('Readiness gate'!$A$7:$A$36,$A165)&lt;&gt;1,"Incomplete",IFERROR(IF(VLOOKUP($A165,GateTab,IF($F165=Scales!$B$24,11,9),FALSE())="","Incomplete",VLOOKUP($A165,GateTab,IF($F165=Scales!$B$24,11,9),FALSE())),"Incomplete")))</f>
        <v/>
      </c>
      <c r="T165" s="8" t="str">
        <f>IF($O165="","",MIN(IF(AND($O165&gt;MATCH($J165,Scales!$B$6:$B$10,0)-1,$N165&lt;&gt;"Yes"),MATCH($J165,Scales!$B$6:$B$10,0)-1,$O165),$L165,IF($F165=Scales!$B$24,IF($S165="Passed",4,IF(NOT(ISNUMBER($R165)),0,IF(OR($R165&lt;0,$R165&gt;4,$R165&lt;&gt;INT($R165)),0,$R165))),IF(NOT(ISNUMBER($R165)),0,IF(OR($R165&lt;0,$R165&gt;4,$R165&lt;&gt;INT($R165)),0,$R165))+IF($S165="Passed",1,0)),IF(AND($F165&lt;&gt;Scales!$B$24,OR($F165=Scales!$B$27,$G165=Scales!$B$33)),3,4)))</f>
        <v/>
      </c>
      <c r="U165" s="13" t="str">
        <f>IF($O165="",IF(AND($B165&lt;&gt;"",$B165&lt;&gt;"Duplicate ID"),IF($J165="Config error","Config error","Incomplete assessment"),""),IF($T165&gt;=$O165,IF(LEFT($P165,4)="More","Own choice","None"),MID(IF(AND($O165&gt;MATCH($J165,Scales!$B$6:$B$10,0)-1,$N165&lt;&gt;"Yes",$T165=MATCH($J165,Scales!$B$6:$B$10,0)-1)," + Exception not approved","")&amp;IF(AND($F165&lt;&gt;Scales!$B$24,OR($F165=Scales!$B$27,$G165=Scales!$B$33),$T165=3)," + Human-signature guardrail","")&amp;IF($T165=$L165," + Model confidence","")&amp;IF($T165=IF($F165=Scales!$B$24,IF($S165="Passed",4,IF(NOT(ISNUMBER($R165)),0,IF(OR($R165&lt;0,$R165&gt;4,$R165&lt;&gt;INT($R165)),0,$R165))),IF(NOT(ISNUMBER($R165)),0,IF(OR($R165&lt;0,$R165&gt;4,$R165&lt;&gt;INT($R165)),0,$R165))+IF($S165="Passed",1,0))," + "&amp;IF($S165&lt;&gt;"Passed","Readiness gate","Readiness gate (one level per gate)"),""),4,200)))</f>
        <v/>
      </c>
      <c r="V165" s="23"/>
    </row>
    <row r="166" spans="1:22" x14ac:dyDescent="0.25">
      <c r="A166" s="8" t="s">
        <v>268</v>
      </c>
      <c r="B166" s="11" t="str">
        <f>IF($A166="","",IF(COUNTIF('Use cases'!$A$5:$A$34,$A166)&gt;1,"Duplicate ID",IFERROR(IF(VLOOKUP($A166,'Use cases'!$A$5:$B$34,2,FALSE())=0,"",VLOOKUP($A166,'Use cases'!$A$5:$B$34,2,FALSE())),"")))</f>
        <v/>
      </c>
      <c r="C166" s="12" t="str">
        <f>IF(OR($B166="",$B166="Duplicate ID"),"",IFERROR(VLOOKUP($A166,'Use cases'!$A$5:$C$34,3,FALSE()),""))</f>
        <v/>
      </c>
      <c r="D166" s="13" t="s">
        <v>125</v>
      </c>
      <c r="E166" s="23"/>
      <c r="F166" s="23"/>
      <c r="G166" s="24"/>
      <c r="H166" s="24"/>
      <c r="I166" s="13" t="str">
        <f>IF(OR($B166="",$B166="Duplicate ID"),"",IFERROR(VLOOKUP($A166,'Use cases'!$A$5:$E$34,5,FALSE()),""))</f>
        <v/>
      </c>
      <c r="J166" s="11" t="str">
        <f>IF(OR($B166="",$B166="Duplicate ID"),"",IF(OR($F166="",$G166=""),"",IF(Policy!$B$24&lt;&gt;"OK","Config error",IFERROR(INDEX(Scales!$B$6:$B$10,1+INDEX(Policy!$C$5:$E$16,MATCH($F166&amp;"|"&amp;$G166,Policy!$G$5:$G$16,0),MATCH($I166,Policy!$C$4:$E$4,0))),"Config error"))))</f>
        <v/>
      </c>
      <c r="K166" s="13" t="str">
        <f>IF($H166="","",IF($F166=Scales!$B$24,"exempt",IFERROR(IF(VLOOKUP($H166,Conf_Check,3,FALSE())="valid",VLOOKUP($H166,Conf_Adjust,2,FALSE()),"n/a"),"n/a")))</f>
        <v/>
      </c>
      <c r="L166" s="13" t="str">
        <f>IF(OR($J166="",$J166="Config error"),"",IF(OR($F166=Scales!$B$24,AND(ISNUMBER($K166),$K166=0)),4,IF(ISNUMBER($K166),MAX(1,MATCH($J166,Scales!$B$6:$B$10,0)-1+$K166),1)))</f>
        <v/>
      </c>
      <c r="M166" s="5"/>
      <c r="N166" s="5"/>
      <c r="O166" s="8" t="str">
        <f>IF(OR($J166="",$J166="Config error",$E166="",$F166="",$G166="",$H166="",$R166=""),"",IF($M166="",MATCH($J166,Scales!$B$6:$B$10,0),IFERROR(MATCH($M166,Scales!$B$6:$B$10,0),MATCH($J166,Scales!$B$6:$B$10,0)))-1)</f>
        <v/>
      </c>
      <c r="P166" s="12" t="str">
        <f>IF($J166="",IF(AND($B166&lt;&gt;"",$B166&lt;&gt;"Duplicate ID"),"Incomplete assessment",""),IF($J166="Config error","Config error",IF($O166="","Incomplete assessment",IF($M166="","As recommended",IF(ISERROR(MATCH($M166,Scales!$B$6:$B$10,0)),"Invalid choice",IF(MATCH($M166,Scales!$B$6:$B$10,0)&gt;MATCH($J166,Scales!$B$6:$B$10,0),"Above policy: needs sign-off",IF(MATCH($M166,Scales!$B$6:$B$10,0)&lt;MATCH($J166,Scales!$B$6:$B$10,0),"More cautious than policy","As recommended")))))))</f>
        <v/>
      </c>
      <c r="Q166" s="13" t="str">
        <f>IF(OR($O166="",Policy!$B$24&lt;&gt;"OK"),"",IFERROR(MIN($O166,INDEX(Policy!$C$5:$E$16,MATCH($F166&amp;"|"&amp;Scales!$B$33,Policy!$G$5:$G$16,0),MATCH($I166,Policy!$C$4:$E$4,0))),""))</f>
        <v/>
      </c>
      <c r="R166" s="5"/>
      <c r="S166" s="13" t="str">
        <f>IF($B166="","",IF(COUNTIF('Readiness gate'!$A$7:$A$36,$A166)&lt;&gt;1,"Incomplete",IFERROR(IF(VLOOKUP($A166,GateTab,IF($F166=Scales!$B$24,11,9),FALSE())="","Incomplete",VLOOKUP($A166,GateTab,IF($F166=Scales!$B$24,11,9),FALSE())),"Incomplete")))</f>
        <v/>
      </c>
      <c r="T166" s="8" t="str">
        <f>IF($O166="","",MIN(IF(AND($O166&gt;MATCH($J166,Scales!$B$6:$B$10,0)-1,$N166&lt;&gt;"Yes"),MATCH($J166,Scales!$B$6:$B$10,0)-1,$O166),$L166,IF($F166=Scales!$B$24,IF($S166="Passed",4,IF(NOT(ISNUMBER($R166)),0,IF(OR($R166&lt;0,$R166&gt;4,$R166&lt;&gt;INT($R166)),0,$R166))),IF(NOT(ISNUMBER($R166)),0,IF(OR($R166&lt;0,$R166&gt;4,$R166&lt;&gt;INT($R166)),0,$R166))+IF($S166="Passed",1,0)),IF(AND($F166&lt;&gt;Scales!$B$24,OR($F166=Scales!$B$27,$G166=Scales!$B$33)),3,4)))</f>
        <v/>
      </c>
      <c r="U166" s="13" t="str">
        <f>IF($O166="",IF(AND($B166&lt;&gt;"",$B166&lt;&gt;"Duplicate ID"),IF($J166="Config error","Config error","Incomplete assessment"),""),IF($T166&gt;=$O166,IF(LEFT($P166,4)="More","Own choice","None"),MID(IF(AND($O166&gt;MATCH($J166,Scales!$B$6:$B$10,0)-1,$N166&lt;&gt;"Yes",$T166=MATCH($J166,Scales!$B$6:$B$10,0)-1)," + Exception not approved","")&amp;IF(AND($F166&lt;&gt;Scales!$B$24,OR($F166=Scales!$B$27,$G166=Scales!$B$33),$T166=3)," + Human-signature guardrail","")&amp;IF($T166=$L166," + Model confidence","")&amp;IF($T166=IF($F166=Scales!$B$24,IF($S166="Passed",4,IF(NOT(ISNUMBER($R166)),0,IF(OR($R166&lt;0,$R166&gt;4,$R166&lt;&gt;INT($R166)),0,$R166))),IF(NOT(ISNUMBER($R166)),0,IF(OR($R166&lt;0,$R166&gt;4,$R166&lt;&gt;INT($R166)),0,$R166))+IF($S166="Passed",1,0))," + "&amp;IF($S166&lt;&gt;"Passed","Readiness gate","Readiness gate (one level per gate)"),""),4,200)))</f>
        <v/>
      </c>
      <c r="V166" s="23"/>
    </row>
    <row r="167" spans="1:22" x14ac:dyDescent="0.25">
      <c r="A167" s="8" t="s">
        <v>268</v>
      </c>
      <c r="B167" s="11" t="str">
        <f>IF($A167="","",IF(COUNTIF('Use cases'!$A$5:$A$34,$A167)&gt;1,"Duplicate ID",IFERROR(IF(VLOOKUP($A167,'Use cases'!$A$5:$B$34,2,FALSE())=0,"",VLOOKUP($A167,'Use cases'!$A$5:$B$34,2,FALSE())),"")))</f>
        <v/>
      </c>
      <c r="C167" s="12" t="str">
        <f>IF(OR($B167="",$B167="Duplicate ID"),"",IFERROR(VLOOKUP($A167,'Use cases'!$A$5:$C$34,3,FALSE()),""))</f>
        <v/>
      </c>
      <c r="D167" s="13" t="s">
        <v>127</v>
      </c>
      <c r="E167" s="23"/>
      <c r="F167" s="23"/>
      <c r="G167" s="24"/>
      <c r="H167" s="24"/>
      <c r="I167" s="13" t="str">
        <f>IF(OR($B167="",$B167="Duplicate ID"),"",IFERROR(VLOOKUP($A167,'Use cases'!$A$5:$E$34,5,FALSE()),""))</f>
        <v/>
      </c>
      <c r="J167" s="11" t="str">
        <f>IF(OR($B167="",$B167="Duplicate ID"),"",IF(OR($F167="",$G167=""),"",IF(Policy!$B$24&lt;&gt;"OK","Config error",IFERROR(INDEX(Scales!$B$6:$B$10,1+INDEX(Policy!$C$5:$E$16,MATCH($F167&amp;"|"&amp;$G167,Policy!$G$5:$G$16,0),MATCH($I167,Policy!$C$4:$E$4,0))),"Config error"))))</f>
        <v/>
      </c>
      <c r="K167" s="13" t="str">
        <f>IF($H167="","",IF($F167=Scales!$B$24,"exempt",IFERROR(IF(VLOOKUP($H167,Conf_Check,3,FALSE())="valid",VLOOKUP($H167,Conf_Adjust,2,FALSE()),"n/a"),"n/a")))</f>
        <v/>
      </c>
      <c r="L167" s="13" t="str">
        <f>IF(OR($J167="",$J167="Config error"),"",IF(OR($F167=Scales!$B$24,AND(ISNUMBER($K167),$K167=0)),4,IF(ISNUMBER($K167),MAX(1,MATCH($J167,Scales!$B$6:$B$10,0)-1+$K167),1)))</f>
        <v/>
      </c>
      <c r="M167" s="5"/>
      <c r="N167" s="5"/>
      <c r="O167" s="8" t="str">
        <f>IF(OR($J167="",$J167="Config error",$E167="",$F167="",$G167="",$H167="",$R167=""),"",IF($M167="",MATCH($J167,Scales!$B$6:$B$10,0),IFERROR(MATCH($M167,Scales!$B$6:$B$10,0),MATCH($J167,Scales!$B$6:$B$10,0)))-1)</f>
        <v/>
      </c>
      <c r="P167" s="12" t="str">
        <f>IF($J167="",IF(AND($B167&lt;&gt;"",$B167&lt;&gt;"Duplicate ID"),"Incomplete assessment",""),IF($J167="Config error","Config error",IF($O167="","Incomplete assessment",IF($M167="","As recommended",IF(ISERROR(MATCH($M167,Scales!$B$6:$B$10,0)),"Invalid choice",IF(MATCH($M167,Scales!$B$6:$B$10,0)&gt;MATCH($J167,Scales!$B$6:$B$10,0),"Above policy: needs sign-off",IF(MATCH($M167,Scales!$B$6:$B$10,0)&lt;MATCH($J167,Scales!$B$6:$B$10,0),"More cautious than policy","As recommended")))))))</f>
        <v/>
      </c>
      <c r="Q167" s="13" t="str">
        <f>IF(OR($O167="",Policy!$B$24&lt;&gt;"OK"),"",IFERROR(MIN($O167,INDEX(Policy!$C$5:$E$16,MATCH($F167&amp;"|"&amp;Scales!$B$33,Policy!$G$5:$G$16,0),MATCH($I167,Policy!$C$4:$E$4,0))),""))</f>
        <v/>
      </c>
      <c r="R167" s="5"/>
      <c r="S167" s="13" t="str">
        <f>IF($B167="","",IF(COUNTIF('Readiness gate'!$A$7:$A$36,$A167)&lt;&gt;1,"Incomplete",IFERROR(IF(VLOOKUP($A167,GateTab,IF($F167=Scales!$B$24,11,9),FALSE())="","Incomplete",VLOOKUP($A167,GateTab,IF($F167=Scales!$B$24,11,9),FALSE())),"Incomplete")))</f>
        <v/>
      </c>
      <c r="T167" s="8" t="str">
        <f>IF($O167="","",MIN(IF(AND($O167&gt;MATCH($J167,Scales!$B$6:$B$10,0)-1,$N167&lt;&gt;"Yes"),MATCH($J167,Scales!$B$6:$B$10,0)-1,$O167),$L167,IF($F167=Scales!$B$24,IF($S167="Passed",4,IF(NOT(ISNUMBER($R167)),0,IF(OR($R167&lt;0,$R167&gt;4,$R167&lt;&gt;INT($R167)),0,$R167))),IF(NOT(ISNUMBER($R167)),0,IF(OR($R167&lt;0,$R167&gt;4,$R167&lt;&gt;INT($R167)),0,$R167))+IF($S167="Passed",1,0)),IF(AND($F167&lt;&gt;Scales!$B$24,OR($F167=Scales!$B$27,$G167=Scales!$B$33)),3,4)))</f>
        <v/>
      </c>
      <c r="U167" s="13" t="str">
        <f>IF($O167="",IF(AND($B167&lt;&gt;"",$B167&lt;&gt;"Duplicate ID"),IF($J167="Config error","Config error","Incomplete assessment"),""),IF($T167&gt;=$O167,IF(LEFT($P167,4)="More","Own choice","None"),MID(IF(AND($O167&gt;MATCH($J167,Scales!$B$6:$B$10,0)-1,$N167&lt;&gt;"Yes",$T167=MATCH($J167,Scales!$B$6:$B$10,0)-1)," + Exception not approved","")&amp;IF(AND($F167&lt;&gt;Scales!$B$24,OR($F167=Scales!$B$27,$G167=Scales!$B$33),$T167=3)," + Human-signature guardrail","")&amp;IF($T167=$L167," + Model confidence","")&amp;IF($T167=IF($F167=Scales!$B$24,IF($S167="Passed",4,IF(NOT(ISNUMBER($R167)),0,IF(OR($R167&lt;0,$R167&gt;4,$R167&lt;&gt;INT($R167)),0,$R167))),IF(NOT(ISNUMBER($R167)),0,IF(OR($R167&lt;0,$R167&gt;4,$R167&lt;&gt;INT($R167)),0,$R167))+IF($S167="Passed",1,0))," + "&amp;IF($S167&lt;&gt;"Passed","Readiness gate","Readiness gate (one level per gate)"),""),4,200)))</f>
        <v/>
      </c>
      <c r="V167" s="23"/>
    </row>
    <row r="168" spans="1:22" x14ac:dyDescent="0.25">
      <c r="A168" s="8" t="s">
        <v>269</v>
      </c>
      <c r="B168" s="11" t="str">
        <f>IF($A168="","",IF(COUNTIF('Use cases'!$A$5:$A$34,$A168)&gt;1,"Duplicate ID",IFERROR(IF(VLOOKUP($A168,'Use cases'!$A$5:$B$34,2,FALSE())=0,"",VLOOKUP($A168,'Use cases'!$A$5:$B$34,2,FALSE())),"")))</f>
        <v/>
      </c>
      <c r="C168" s="12" t="str">
        <f>IF(OR($B168="",$B168="Duplicate ID"),"",IFERROR(VLOOKUP($A168,'Use cases'!$A$5:$C$34,3,FALSE()),""))</f>
        <v/>
      </c>
      <c r="D168" s="13" t="s">
        <v>112</v>
      </c>
      <c r="E168" s="23"/>
      <c r="F168" s="23"/>
      <c r="G168" s="24"/>
      <c r="H168" s="24"/>
      <c r="I168" s="13" t="str">
        <f>IF(OR($B168="",$B168="Duplicate ID"),"",IFERROR(VLOOKUP($A168,'Use cases'!$A$5:$E$34,5,FALSE()),""))</f>
        <v/>
      </c>
      <c r="J168" s="11" t="str">
        <f>IF(OR($B168="",$B168="Duplicate ID"),"",IF(OR($F168="",$G168=""),"",IF(Policy!$B$24&lt;&gt;"OK","Config error",IFERROR(INDEX(Scales!$B$6:$B$10,1+INDEX(Policy!$C$5:$E$16,MATCH($F168&amp;"|"&amp;$G168,Policy!$G$5:$G$16,0),MATCH($I168,Policy!$C$4:$E$4,0))),"Config error"))))</f>
        <v/>
      </c>
      <c r="K168" s="13" t="str">
        <f>IF($H168="","",IF($F168=Scales!$B$24,"exempt",IFERROR(IF(VLOOKUP($H168,Conf_Check,3,FALSE())="valid",VLOOKUP($H168,Conf_Adjust,2,FALSE()),"n/a"),"n/a")))</f>
        <v/>
      </c>
      <c r="L168" s="13" t="str">
        <f>IF(OR($J168="",$J168="Config error"),"",IF(OR($F168=Scales!$B$24,AND(ISNUMBER($K168),$K168=0)),4,IF(ISNUMBER($K168),MAX(1,MATCH($J168,Scales!$B$6:$B$10,0)-1+$K168),1)))</f>
        <v/>
      </c>
      <c r="M168" s="5"/>
      <c r="N168" s="5"/>
      <c r="O168" s="8" t="str">
        <f>IF(OR($J168="",$J168="Config error",$E168="",$F168="",$G168="",$H168="",$R168=""),"",IF($M168="",MATCH($J168,Scales!$B$6:$B$10,0),IFERROR(MATCH($M168,Scales!$B$6:$B$10,0),MATCH($J168,Scales!$B$6:$B$10,0)))-1)</f>
        <v/>
      </c>
      <c r="P168" s="12" t="str">
        <f>IF($J168="",IF(AND($B168&lt;&gt;"",$B168&lt;&gt;"Duplicate ID"),"Incomplete assessment",""),IF($J168="Config error","Config error",IF($O168="","Incomplete assessment",IF($M168="","As recommended",IF(ISERROR(MATCH($M168,Scales!$B$6:$B$10,0)),"Invalid choice",IF(MATCH($M168,Scales!$B$6:$B$10,0)&gt;MATCH($J168,Scales!$B$6:$B$10,0),"Above policy: needs sign-off",IF(MATCH($M168,Scales!$B$6:$B$10,0)&lt;MATCH($J168,Scales!$B$6:$B$10,0),"More cautious than policy","As recommended")))))))</f>
        <v/>
      </c>
      <c r="Q168" s="13" t="str">
        <f>IF(OR($O168="",Policy!$B$24&lt;&gt;"OK"),"",IFERROR(MIN($O168,INDEX(Policy!$C$5:$E$16,MATCH($F168&amp;"|"&amp;Scales!$B$33,Policy!$G$5:$G$16,0),MATCH($I168,Policy!$C$4:$E$4,0))),""))</f>
        <v/>
      </c>
      <c r="R168" s="5"/>
      <c r="S168" s="13" t="str">
        <f>IF($B168="","",IF(COUNTIF('Readiness gate'!$A$7:$A$36,$A168)&lt;&gt;1,"Incomplete",IFERROR(IF(VLOOKUP($A168,GateTab,IF($F168=Scales!$B$24,11,9),FALSE())="","Incomplete",VLOOKUP($A168,GateTab,IF($F168=Scales!$B$24,11,9),FALSE())),"Incomplete")))</f>
        <v/>
      </c>
      <c r="T168" s="8" t="str">
        <f>IF($O168="","",MIN(IF(AND($O168&gt;MATCH($J168,Scales!$B$6:$B$10,0)-1,$N168&lt;&gt;"Yes"),MATCH($J168,Scales!$B$6:$B$10,0)-1,$O168),$L168,IF($F168=Scales!$B$24,IF($S168="Passed",4,IF(NOT(ISNUMBER($R168)),0,IF(OR($R168&lt;0,$R168&gt;4,$R168&lt;&gt;INT($R168)),0,$R168))),IF(NOT(ISNUMBER($R168)),0,IF(OR($R168&lt;0,$R168&gt;4,$R168&lt;&gt;INT($R168)),0,$R168))+IF($S168="Passed",1,0)),IF(AND($F168&lt;&gt;Scales!$B$24,OR($F168=Scales!$B$27,$G168=Scales!$B$33)),3,4)))</f>
        <v/>
      </c>
      <c r="U168" s="13" t="str">
        <f>IF($O168="",IF(AND($B168&lt;&gt;"",$B168&lt;&gt;"Duplicate ID"),IF($J168="Config error","Config error","Incomplete assessment"),""),IF($T168&gt;=$O168,IF(LEFT($P168,4)="More","Own choice","None"),MID(IF(AND($O168&gt;MATCH($J168,Scales!$B$6:$B$10,0)-1,$N168&lt;&gt;"Yes",$T168=MATCH($J168,Scales!$B$6:$B$10,0)-1)," + Exception not approved","")&amp;IF(AND($F168&lt;&gt;Scales!$B$24,OR($F168=Scales!$B$27,$G168=Scales!$B$33),$T168=3)," + Human-signature guardrail","")&amp;IF($T168=$L168," + Model confidence","")&amp;IF($T168=IF($F168=Scales!$B$24,IF($S168="Passed",4,IF(NOT(ISNUMBER($R168)),0,IF(OR($R168&lt;0,$R168&gt;4,$R168&lt;&gt;INT($R168)),0,$R168))),IF(NOT(ISNUMBER($R168)),0,IF(OR($R168&lt;0,$R168&gt;4,$R168&lt;&gt;INT($R168)),0,$R168))+IF($S168="Passed",1,0))," + "&amp;IF($S168&lt;&gt;"Passed","Readiness gate","Readiness gate (one level per gate)"),""),4,200)))</f>
        <v/>
      </c>
      <c r="V168" s="23"/>
    </row>
    <row r="169" spans="1:22" x14ac:dyDescent="0.25">
      <c r="A169" s="8" t="s">
        <v>269</v>
      </c>
      <c r="B169" s="11" t="str">
        <f>IF($A169="","",IF(COUNTIF('Use cases'!$A$5:$A$34,$A169)&gt;1,"Duplicate ID",IFERROR(IF(VLOOKUP($A169,'Use cases'!$A$5:$B$34,2,FALSE())=0,"",VLOOKUP($A169,'Use cases'!$A$5:$B$34,2,FALSE())),"")))</f>
        <v/>
      </c>
      <c r="C169" s="12" t="str">
        <f>IF(OR($B169="",$B169="Duplicate ID"),"",IFERROR(VLOOKUP($A169,'Use cases'!$A$5:$C$34,3,FALSE()),""))</f>
        <v/>
      </c>
      <c r="D169" s="13" t="s">
        <v>117</v>
      </c>
      <c r="E169" s="23"/>
      <c r="F169" s="23"/>
      <c r="G169" s="24"/>
      <c r="H169" s="24"/>
      <c r="I169" s="13" t="str">
        <f>IF(OR($B169="",$B169="Duplicate ID"),"",IFERROR(VLOOKUP($A169,'Use cases'!$A$5:$E$34,5,FALSE()),""))</f>
        <v/>
      </c>
      <c r="J169" s="11" t="str">
        <f>IF(OR($B169="",$B169="Duplicate ID"),"",IF(OR($F169="",$G169=""),"",IF(Policy!$B$24&lt;&gt;"OK","Config error",IFERROR(INDEX(Scales!$B$6:$B$10,1+INDEX(Policy!$C$5:$E$16,MATCH($F169&amp;"|"&amp;$G169,Policy!$G$5:$G$16,0),MATCH($I169,Policy!$C$4:$E$4,0))),"Config error"))))</f>
        <v/>
      </c>
      <c r="K169" s="13" t="str">
        <f>IF($H169="","",IF($F169=Scales!$B$24,"exempt",IFERROR(IF(VLOOKUP($H169,Conf_Check,3,FALSE())="valid",VLOOKUP($H169,Conf_Adjust,2,FALSE()),"n/a"),"n/a")))</f>
        <v/>
      </c>
      <c r="L169" s="13" t="str">
        <f>IF(OR($J169="",$J169="Config error"),"",IF(OR($F169=Scales!$B$24,AND(ISNUMBER($K169),$K169=0)),4,IF(ISNUMBER($K169),MAX(1,MATCH($J169,Scales!$B$6:$B$10,0)-1+$K169),1)))</f>
        <v/>
      </c>
      <c r="M169" s="5"/>
      <c r="N169" s="5"/>
      <c r="O169" s="8" t="str">
        <f>IF(OR($J169="",$J169="Config error",$E169="",$F169="",$G169="",$H169="",$R169=""),"",IF($M169="",MATCH($J169,Scales!$B$6:$B$10,0),IFERROR(MATCH($M169,Scales!$B$6:$B$10,0),MATCH($J169,Scales!$B$6:$B$10,0)))-1)</f>
        <v/>
      </c>
      <c r="P169" s="12" t="str">
        <f>IF($J169="",IF(AND($B169&lt;&gt;"",$B169&lt;&gt;"Duplicate ID"),"Incomplete assessment",""),IF($J169="Config error","Config error",IF($O169="","Incomplete assessment",IF($M169="","As recommended",IF(ISERROR(MATCH($M169,Scales!$B$6:$B$10,0)),"Invalid choice",IF(MATCH($M169,Scales!$B$6:$B$10,0)&gt;MATCH($J169,Scales!$B$6:$B$10,0),"Above policy: needs sign-off",IF(MATCH($M169,Scales!$B$6:$B$10,0)&lt;MATCH($J169,Scales!$B$6:$B$10,0),"More cautious than policy","As recommended")))))))</f>
        <v/>
      </c>
      <c r="Q169" s="13" t="str">
        <f>IF(OR($O169="",Policy!$B$24&lt;&gt;"OK"),"",IFERROR(MIN($O169,INDEX(Policy!$C$5:$E$16,MATCH($F169&amp;"|"&amp;Scales!$B$33,Policy!$G$5:$G$16,0),MATCH($I169,Policy!$C$4:$E$4,0))),""))</f>
        <v/>
      </c>
      <c r="R169" s="5"/>
      <c r="S169" s="13" t="str">
        <f>IF($B169="","",IF(COUNTIF('Readiness gate'!$A$7:$A$36,$A169)&lt;&gt;1,"Incomplete",IFERROR(IF(VLOOKUP($A169,GateTab,IF($F169=Scales!$B$24,11,9),FALSE())="","Incomplete",VLOOKUP($A169,GateTab,IF($F169=Scales!$B$24,11,9),FALSE())),"Incomplete")))</f>
        <v/>
      </c>
      <c r="T169" s="8" t="str">
        <f>IF($O169="","",MIN(IF(AND($O169&gt;MATCH($J169,Scales!$B$6:$B$10,0)-1,$N169&lt;&gt;"Yes"),MATCH($J169,Scales!$B$6:$B$10,0)-1,$O169),$L169,IF($F169=Scales!$B$24,IF($S169="Passed",4,IF(NOT(ISNUMBER($R169)),0,IF(OR($R169&lt;0,$R169&gt;4,$R169&lt;&gt;INT($R169)),0,$R169))),IF(NOT(ISNUMBER($R169)),0,IF(OR($R169&lt;0,$R169&gt;4,$R169&lt;&gt;INT($R169)),0,$R169))+IF($S169="Passed",1,0)),IF(AND($F169&lt;&gt;Scales!$B$24,OR($F169=Scales!$B$27,$G169=Scales!$B$33)),3,4)))</f>
        <v/>
      </c>
      <c r="U169" s="13" t="str">
        <f>IF($O169="",IF(AND($B169&lt;&gt;"",$B169&lt;&gt;"Duplicate ID"),IF($J169="Config error","Config error","Incomplete assessment"),""),IF($T169&gt;=$O169,IF(LEFT($P169,4)="More","Own choice","None"),MID(IF(AND($O169&gt;MATCH($J169,Scales!$B$6:$B$10,0)-1,$N169&lt;&gt;"Yes",$T169=MATCH($J169,Scales!$B$6:$B$10,0)-1)," + Exception not approved","")&amp;IF(AND($F169&lt;&gt;Scales!$B$24,OR($F169=Scales!$B$27,$G169=Scales!$B$33),$T169=3)," + Human-signature guardrail","")&amp;IF($T169=$L169," + Model confidence","")&amp;IF($T169=IF($F169=Scales!$B$24,IF($S169="Passed",4,IF(NOT(ISNUMBER($R169)),0,IF(OR($R169&lt;0,$R169&gt;4,$R169&lt;&gt;INT($R169)),0,$R169))),IF(NOT(ISNUMBER($R169)),0,IF(OR($R169&lt;0,$R169&gt;4,$R169&lt;&gt;INT($R169)),0,$R169))+IF($S169="Passed",1,0))," + "&amp;IF($S169&lt;&gt;"Passed","Readiness gate","Readiness gate (one level per gate)"),""),4,200)))</f>
        <v/>
      </c>
      <c r="V169" s="23"/>
    </row>
    <row r="170" spans="1:22" x14ac:dyDescent="0.25">
      <c r="A170" s="8" t="s">
        <v>269</v>
      </c>
      <c r="B170" s="11" t="str">
        <f>IF($A170="","",IF(COUNTIF('Use cases'!$A$5:$A$34,$A170)&gt;1,"Duplicate ID",IFERROR(IF(VLOOKUP($A170,'Use cases'!$A$5:$B$34,2,FALSE())=0,"",VLOOKUP($A170,'Use cases'!$A$5:$B$34,2,FALSE())),"")))</f>
        <v/>
      </c>
      <c r="C170" s="12" t="str">
        <f>IF(OR($B170="",$B170="Duplicate ID"),"",IFERROR(VLOOKUP($A170,'Use cases'!$A$5:$C$34,3,FALSE()),""))</f>
        <v/>
      </c>
      <c r="D170" s="13" t="s">
        <v>120</v>
      </c>
      <c r="E170" s="23"/>
      <c r="F170" s="23"/>
      <c r="G170" s="24"/>
      <c r="H170" s="24"/>
      <c r="I170" s="13" t="str">
        <f>IF(OR($B170="",$B170="Duplicate ID"),"",IFERROR(VLOOKUP($A170,'Use cases'!$A$5:$E$34,5,FALSE()),""))</f>
        <v/>
      </c>
      <c r="J170" s="11" t="str">
        <f>IF(OR($B170="",$B170="Duplicate ID"),"",IF(OR($F170="",$G170=""),"",IF(Policy!$B$24&lt;&gt;"OK","Config error",IFERROR(INDEX(Scales!$B$6:$B$10,1+INDEX(Policy!$C$5:$E$16,MATCH($F170&amp;"|"&amp;$G170,Policy!$G$5:$G$16,0),MATCH($I170,Policy!$C$4:$E$4,0))),"Config error"))))</f>
        <v/>
      </c>
      <c r="K170" s="13" t="str">
        <f>IF($H170="","",IF($F170=Scales!$B$24,"exempt",IFERROR(IF(VLOOKUP($H170,Conf_Check,3,FALSE())="valid",VLOOKUP($H170,Conf_Adjust,2,FALSE()),"n/a"),"n/a")))</f>
        <v/>
      </c>
      <c r="L170" s="13" t="str">
        <f>IF(OR($J170="",$J170="Config error"),"",IF(OR($F170=Scales!$B$24,AND(ISNUMBER($K170),$K170=0)),4,IF(ISNUMBER($K170),MAX(1,MATCH($J170,Scales!$B$6:$B$10,0)-1+$K170),1)))</f>
        <v/>
      </c>
      <c r="M170" s="5"/>
      <c r="N170" s="5"/>
      <c r="O170" s="8" t="str">
        <f>IF(OR($J170="",$J170="Config error",$E170="",$F170="",$G170="",$H170="",$R170=""),"",IF($M170="",MATCH($J170,Scales!$B$6:$B$10,0),IFERROR(MATCH($M170,Scales!$B$6:$B$10,0),MATCH($J170,Scales!$B$6:$B$10,0)))-1)</f>
        <v/>
      </c>
      <c r="P170" s="12" t="str">
        <f>IF($J170="",IF(AND($B170&lt;&gt;"",$B170&lt;&gt;"Duplicate ID"),"Incomplete assessment",""),IF($J170="Config error","Config error",IF($O170="","Incomplete assessment",IF($M170="","As recommended",IF(ISERROR(MATCH($M170,Scales!$B$6:$B$10,0)),"Invalid choice",IF(MATCH($M170,Scales!$B$6:$B$10,0)&gt;MATCH($J170,Scales!$B$6:$B$10,0),"Above policy: needs sign-off",IF(MATCH($M170,Scales!$B$6:$B$10,0)&lt;MATCH($J170,Scales!$B$6:$B$10,0),"More cautious than policy","As recommended")))))))</f>
        <v/>
      </c>
      <c r="Q170" s="13" t="str">
        <f>IF(OR($O170="",Policy!$B$24&lt;&gt;"OK"),"",IFERROR(MIN($O170,INDEX(Policy!$C$5:$E$16,MATCH($F170&amp;"|"&amp;Scales!$B$33,Policy!$G$5:$G$16,0),MATCH($I170,Policy!$C$4:$E$4,0))),""))</f>
        <v/>
      </c>
      <c r="R170" s="5"/>
      <c r="S170" s="13" t="str">
        <f>IF($B170="","",IF(COUNTIF('Readiness gate'!$A$7:$A$36,$A170)&lt;&gt;1,"Incomplete",IFERROR(IF(VLOOKUP($A170,GateTab,IF($F170=Scales!$B$24,11,9),FALSE())="","Incomplete",VLOOKUP($A170,GateTab,IF($F170=Scales!$B$24,11,9),FALSE())),"Incomplete")))</f>
        <v/>
      </c>
      <c r="T170" s="8" t="str">
        <f>IF($O170="","",MIN(IF(AND($O170&gt;MATCH($J170,Scales!$B$6:$B$10,0)-1,$N170&lt;&gt;"Yes"),MATCH($J170,Scales!$B$6:$B$10,0)-1,$O170),$L170,IF($F170=Scales!$B$24,IF($S170="Passed",4,IF(NOT(ISNUMBER($R170)),0,IF(OR($R170&lt;0,$R170&gt;4,$R170&lt;&gt;INT($R170)),0,$R170))),IF(NOT(ISNUMBER($R170)),0,IF(OR($R170&lt;0,$R170&gt;4,$R170&lt;&gt;INT($R170)),0,$R170))+IF($S170="Passed",1,0)),IF(AND($F170&lt;&gt;Scales!$B$24,OR($F170=Scales!$B$27,$G170=Scales!$B$33)),3,4)))</f>
        <v/>
      </c>
      <c r="U170" s="13" t="str">
        <f>IF($O170="",IF(AND($B170&lt;&gt;"",$B170&lt;&gt;"Duplicate ID"),IF($J170="Config error","Config error","Incomplete assessment"),""),IF($T170&gt;=$O170,IF(LEFT($P170,4)="More","Own choice","None"),MID(IF(AND($O170&gt;MATCH($J170,Scales!$B$6:$B$10,0)-1,$N170&lt;&gt;"Yes",$T170=MATCH($J170,Scales!$B$6:$B$10,0)-1)," + Exception not approved","")&amp;IF(AND($F170&lt;&gt;Scales!$B$24,OR($F170=Scales!$B$27,$G170=Scales!$B$33),$T170=3)," + Human-signature guardrail","")&amp;IF($T170=$L170," + Model confidence","")&amp;IF($T170=IF($F170=Scales!$B$24,IF($S170="Passed",4,IF(NOT(ISNUMBER($R170)),0,IF(OR($R170&lt;0,$R170&gt;4,$R170&lt;&gt;INT($R170)),0,$R170))),IF(NOT(ISNUMBER($R170)),0,IF(OR($R170&lt;0,$R170&gt;4,$R170&lt;&gt;INT($R170)),0,$R170))+IF($S170="Passed",1,0))," + "&amp;IF($S170&lt;&gt;"Passed","Readiness gate","Readiness gate (one level per gate)"),""),4,200)))</f>
        <v/>
      </c>
      <c r="V170" s="23"/>
    </row>
    <row r="171" spans="1:22" x14ac:dyDescent="0.25">
      <c r="A171" s="8" t="s">
        <v>269</v>
      </c>
      <c r="B171" s="11" t="str">
        <f>IF($A171="","",IF(COUNTIF('Use cases'!$A$5:$A$34,$A171)&gt;1,"Duplicate ID",IFERROR(IF(VLOOKUP($A171,'Use cases'!$A$5:$B$34,2,FALSE())=0,"",VLOOKUP($A171,'Use cases'!$A$5:$B$34,2,FALSE())),"")))</f>
        <v/>
      </c>
      <c r="C171" s="12" t="str">
        <f>IF(OR($B171="",$B171="Duplicate ID"),"",IFERROR(VLOOKUP($A171,'Use cases'!$A$5:$C$34,3,FALSE()),""))</f>
        <v/>
      </c>
      <c r="D171" s="13" t="s">
        <v>123</v>
      </c>
      <c r="E171" s="23"/>
      <c r="F171" s="23"/>
      <c r="G171" s="24"/>
      <c r="H171" s="24"/>
      <c r="I171" s="13" t="str">
        <f>IF(OR($B171="",$B171="Duplicate ID"),"",IFERROR(VLOOKUP($A171,'Use cases'!$A$5:$E$34,5,FALSE()),""))</f>
        <v/>
      </c>
      <c r="J171" s="11" t="str">
        <f>IF(OR($B171="",$B171="Duplicate ID"),"",IF(OR($F171="",$G171=""),"",IF(Policy!$B$24&lt;&gt;"OK","Config error",IFERROR(INDEX(Scales!$B$6:$B$10,1+INDEX(Policy!$C$5:$E$16,MATCH($F171&amp;"|"&amp;$G171,Policy!$G$5:$G$16,0),MATCH($I171,Policy!$C$4:$E$4,0))),"Config error"))))</f>
        <v/>
      </c>
      <c r="K171" s="13" t="str">
        <f>IF($H171="","",IF($F171=Scales!$B$24,"exempt",IFERROR(IF(VLOOKUP($H171,Conf_Check,3,FALSE())="valid",VLOOKUP($H171,Conf_Adjust,2,FALSE()),"n/a"),"n/a")))</f>
        <v/>
      </c>
      <c r="L171" s="13" t="str">
        <f>IF(OR($J171="",$J171="Config error"),"",IF(OR($F171=Scales!$B$24,AND(ISNUMBER($K171),$K171=0)),4,IF(ISNUMBER($K171),MAX(1,MATCH($J171,Scales!$B$6:$B$10,0)-1+$K171),1)))</f>
        <v/>
      </c>
      <c r="M171" s="5"/>
      <c r="N171" s="5"/>
      <c r="O171" s="8" t="str">
        <f>IF(OR($J171="",$J171="Config error",$E171="",$F171="",$G171="",$H171="",$R171=""),"",IF($M171="",MATCH($J171,Scales!$B$6:$B$10,0),IFERROR(MATCH($M171,Scales!$B$6:$B$10,0),MATCH($J171,Scales!$B$6:$B$10,0)))-1)</f>
        <v/>
      </c>
      <c r="P171" s="12" t="str">
        <f>IF($J171="",IF(AND($B171&lt;&gt;"",$B171&lt;&gt;"Duplicate ID"),"Incomplete assessment",""),IF($J171="Config error","Config error",IF($O171="","Incomplete assessment",IF($M171="","As recommended",IF(ISERROR(MATCH($M171,Scales!$B$6:$B$10,0)),"Invalid choice",IF(MATCH($M171,Scales!$B$6:$B$10,0)&gt;MATCH($J171,Scales!$B$6:$B$10,0),"Above policy: needs sign-off",IF(MATCH($M171,Scales!$B$6:$B$10,0)&lt;MATCH($J171,Scales!$B$6:$B$10,0),"More cautious than policy","As recommended")))))))</f>
        <v/>
      </c>
      <c r="Q171" s="13" t="str">
        <f>IF(OR($O171="",Policy!$B$24&lt;&gt;"OK"),"",IFERROR(MIN($O171,INDEX(Policy!$C$5:$E$16,MATCH($F171&amp;"|"&amp;Scales!$B$33,Policy!$G$5:$G$16,0),MATCH($I171,Policy!$C$4:$E$4,0))),""))</f>
        <v/>
      </c>
      <c r="R171" s="5"/>
      <c r="S171" s="13" t="str">
        <f>IF($B171="","",IF(COUNTIF('Readiness gate'!$A$7:$A$36,$A171)&lt;&gt;1,"Incomplete",IFERROR(IF(VLOOKUP($A171,GateTab,IF($F171=Scales!$B$24,11,9),FALSE())="","Incomplete",VLOOKUP($A171,GateTab,IF($F171=Scales!$B$24,11,9),FALSE())),"Incomplete")))</f>
        <v/>
      </c>
      <c r="T171" s="8" t="str">
        <f>IF($O171="","",MIN(IF(AND($O171&gt;MATCH($J171,Scales!$B$6:$B$10,0)-1,$N171&lt;&gt;"Yes"),MATCH($J171,Scales!$B$6:$B$10,0)-1,$O171),$L171,IF($F171=Scales!$B$24,IF($S171="Passed",4,IF(NOT(ISNUMBER($R171)),0,IF(OR($R171&lt;0,$R171&gt;4,$R171&lt;&gt;INT($R171)),0,$R171))),IF(NOT(ISNUMBER($R171)),0,IF(OR($R171&lt;0,$R171&gt;4,$R171&lt;&gt;INT($R171)),0,$R171))+IF($S171="Passed",1,0)),IF(AND($F171&lt;&gt;Scales!$B$24,OR($F171=Scales!$B$27,$G171=Scales!$B$33)),3,4)))</f>
        <v/>
      </c>
      <c r="U171" s="13" t="str">
        <f>IF($O171="",IF(AND($B171&lt;&gt;"",$B171&lt;&gt;"Duplicate ID"),IF($J171="Config error","Config error","Incomplete assessment"),""),IF($T171&gt;=$O171,IF(LEFT($P171,4)="More","Own choice","None"),MID(IF(AND($O171&gt;MATCH($J171,Scales!$B$6:$B$10,0)-1,$N171&lt;&gt;"Yes",$T171=MATCH($J171,Scales!$B$6:$B$10,0)-1)," + Exception not approved","")&amp;IF(AND($F171&lt;&gt;Scales!$B$24,OR($F171=Scales!$B$27,$G171=Scales!$B$33),$T171=3)," + Human-signature guardrail","")&amp;IF($T171=$L171," + Model confidence","")&amp;IF($T171=IF($F171=Scales!$B$24,IF($S171="Passed",4,IF(NOT(ISNUMBER($R171)),0,IF(OR($R171&lt;0,$R171&gt;4,$R171&lt;&gt;INT($R171)),0,$R171))),IF(NOT(ISNUMBER($R171)),0,IF(OR($R171&lt;0,$R171&gt;4,$R171&lt;&gt;INT($R171)),0,$R171))+IF($S171="Passed",1,0))," + "&amp;IF($S171&lt;&gt;"Passed","Readiness gate","Readiness gate (one level per gate)"),""),4,200)))</f>
        <v/>
      </c>
      <c r="V171" s="23"/>
    </row>
    <row r="172" spans="1:22" x14ac:dyDescent="0.25">
      <c r="A172" s="8" t="s">
        <v>269</v>
      </c>
      <c r="B172" s="11" t="str">
        <f>IF($A172="","",IF(COUNTIF('Use cases'!$A$5:$A$34,$A172)&gt;1,"Duplicate ID",IFERROR(IF(VLOOKUP($A172,'Use cases'!$A$5:$B$34,2,FALSE())=0,"",VLOOKUP($A172,'Use cases'!$A$5:$B$34,2,FALSE())),"")))</f>
        <v/>
      </c>
      <c r="C172" s="12" t="str">
        <f>IF(OR($B172="",$B172="Duplicate ID"),"",IFERROR(VLOOKUP($A172,'Use cases'!$A$5:$C$34,3,FALSE()),""))</f>
        <v/>
      </c>
      <c r="D172" s="13" t="s">
        <v>125</v>
      </c>
      <c r="E172" s="23"/>
      <c r="F172" s="23"/>
      <c r="G172" s="24"/>
      <c r="H172" s="24"/>
      <c r="I172" s="13" t="str">
        <f>IF(OR($B172="",$B172="Duplicate ID"),"",IFERROR(VLOOKUP($A172,'Use cases'!$A$5:$E$34,5,FALSE()),""))</f>
        <v/>
      </c>
      <c r="J172" s="11" t="str">
        <f>IF(OR($B172="",$B172="Duplicate ID"),"",IF(OR($F172="",$G172=""),"",IF(Policy!$B$24&lt;&gt;"OK","Config error",IFERROR(INDEX(Scales!$B$6:$B$10,1+INDEX(Policy!$C$5:$E$16,MATCH($F172&amp;"|"&amp;$G172,Policy!$G$5:$G$16,0),MATCH($I172,Policy!$C$4:$E$4,0))),"Config error"))))</f>
        <v/>
      </c>
      <c r="K172" s="13" t="str">
        <f>IF($H172="","",IF($F172=Scales!$B$24,"exempt",IFERROR(IF(VLOOKUP($H172,Conf_Check,3,FALSE())="valid",VLOOKUP($H172,Conf_Adjust,2,FALSE()),"n/a"),"n/a")))</f>
        <v/>
      </c>
      <c r="L172" s="13" t="str">
        <f>IF(OR($J172="",$J172="Config error"),"",IF(OR($F172=Scales!$B$24,AND(ISNUMBER($K172),$K172=0)),4,IF(ISNUMBER($K172),MAX(1,MATCH($J172,Scales!$B$6:$B$10,0)-1+$K172),1)))</f>
        <v/>
      </c>
      <c r="M172" s="5"/>
      <c r="N172" s="5"/>
      <c r="O172" s="8" t="str">
        <f>IF(OR($J172="",$J172="Config error",$E172="",$F172="",$G172="",$H172="",$R172=""),"",IF($M172="",MATCH($J172,Scales!$B$6:$B$10,0),IFERROR(MATCH($M172,Scales!$B$6:$B$10,0),MATCH($J172,Scales!$B$6:$B$10,0)))-1)</f>
        <v/>
      </c>
      <c r="P172" s="12" t="str">
        <f>IF($J172="",IF(AND($B172&lt;&gt;"",$B172&lt;&gt;"Duplicate ID"),"Incomplete assessment",""),IF($J172="Config error","Config error",IF($O172="","Incomplete assessment",IF($M172="","As recommended",IF(ISERROR(MATCH($M172,Scales!$B$6:$B$10,0)),"Invalid choice",IF(MATCH($M172,Scales!$B$6:$B$10,0)&gt;MATCH($J172,Scales!$B$6:$B$10,0),"Above policy: needs sign-off",IF(MATCH($M172,Scales!$B$6:$B$10,0)&lt;MATCH($J172,Scales!$B$6:$B$10,0),"More cautious than policy","As recommended")))))))</f>
        <v/>
      </c>
      <c r="Q172" s="13" t="str">
        <f>IF(OR($O172="",Policy!$B$24&lt;&gt;"OK"),"",IFERROR(MIN($O172,INDEX(Policy!$C$5:$E$16,MATCH($F172&amp;"|"&amp;Scales!$B$33,Policy!$G$5:$G$16,0),MATCH($I172,Policy!$C$4:$E$4,0))),""))</f>
        <v/>
      </c>
      <c r="R172" s="5"/>
      <c r="S172" s="13" t="str">
        <f>IF($B172="","",IF(COUNTIF('Readiness gate'!$A$7:$A$36,$A172)&lt;&gt;1,"Incomplete",IFERROR(IF(VLOOKUP($A172,GateTab,IF($F172=Scales!$B$24,11,9),FALSE())="","Incomplete",VLOOKUP($A172,GateTab,IF($F172=Scales!$B$24,11,9),FALSE())),"Incomplete")))</f>
        <v/>
      </c>
      <c r="T172" s="8" t="str">
        <f>IF($O172="","",MIN(IF(AND($O172&gt;MATCH($J172,Scales!$B$6:$B$10,0)-1,$N172&lt;&gt;"Yes"),MATCH($J172,Scales!$B$6:$B$10,0)-1,$O172),$L172,IF($F172=Scales!$B$24,IF($S172="Passed",4,IF(NOT(ISNUMBER($R172)),0,IF(OR($R172&lt;0,$R172&gt;4,$R172&lt;&gt;INT($R172)),0,$R172))),IF(NOT(ISNUMBER($R172)),0,IF(OR($R172&lt;0,$R172&gt;4,$R172&lt;&gt;INT($R172)),0,$R172))+IF($S172="Passed",1,0)),IF(AND($F172&lt;&gt;Scales!$B$24,OR($F172=Scales!$B$27,$G172=Scales!$B$33)),3,4)))</f>
        <v/>
      </c>
      <c r="U172" s="13" t="str">
        <f>IF($O172="",IF(AND($B172&lt;&gt;"",$B172&lt;&gt;"Duplicate ID"),IF($J172="Config error","Config error","Incomplete assessment"),""),IF($T172&gt;=$O172,IF(LEFT($P172,4)="More","Own choice","None"),MID(IF(AND($O172&gt;MATCH($J172,Scales!$B$6:$B$10,0)-1,$N172&lt;&gt;"Yes",$T172=MATCH($J172,Scales!$B$6:$B$10,0)-1)," + Exception not approved","")&amp;IF(AND($F172&lt;&gt;Scales!$B$24,OR($F172=Scales!$B$27,$G172=Scales!$B$33),$T172=3)," + Human-signature guardrail","")&amp;IF($T172=$L172," + Model confidence","")&amp;IF($T172=IF($F172=Scales!$B$24,IF($S172="Passed",4,IF(NOT(ISNUMBER($R172)),0,IF(OR($R172&lt;0,$R172&gt;4,$R172&lt;&gt;INT($R172)),0,$R172))),IF(NOT(ISNUMBER($R172)),0,IF(OR($R172&lt;0,$R172&gt;4,$R172&lt;&gt;INT($R172)),0,$R172))+IF($S172="Passed",1,0))," + "&amp;IF($S172&lt;&gt;"Passed","Readiness gate","Readiness gate (one level per gate)"),""),4,200)))</f>
        <v/>
      </c>
      <c r="V172" s="23"/>
    </row>
    <row r="173" spans="1:22" x14ac:dyDescent="0.25">
      <c r="A173" s="8" t="s">
        <v>269</v>
      </c>
      <c r="B173" s="11" t="str">
        <f>IF($A173="","",IF(COUNTIF('Use cases'!$A$5:$A$34,$A173)&gt;1,"Duplicate ID",IFERROR(IF(VLOOKUP($A173,'Use cases'!$A$5:$B$34,2,FALSE())=0,"",VLOOKUP($A173,'Use cases'!$A$5:$B$34,2,FALSE())),"")))</f>
        <v/>
      </c>
      <c r="C173" s="12" t="str">
        <f>IF(OR($B173="",$B173="Duplicate ID"),"",IFERROR(VLOOKUP($A173,'Use cases'!$A$5:$C$34,3,FALSE()),""))</f>
        <v/>
      </c>
      <c r="D173" s="13" t="s">
        <v>127</v>
      </c>
      <c r="E173" s="23"/>
      <c r="F173" s="23"/>
      <c r="G173" s="24"/>
      <c r="H173" s="24"/>
      <c r="I173" s="13" t="str">
        <f>IF(OR($B173="",$B173="Duplicate ID"),"",IFERROR(VLOOKUP($A173,'Use cases'!$A$5:$E$34,5,FALSE()),""))</f>
        <v/>
      </c>
      <c r="J173" s="11" t="str">
        <f>IF(OR($B173="",$B173="Duplicate ID"),"",IF(OR($F173="",$G173=""),"",IF(Policy!$B$24&lt;&gt;"OK","Config error",IFERROR(INDEX(Scales!$B$6:$B$10,1+INDEX(Policy!$C$5:$E$16,MATCH($F173&amp;"|"&amp;$G173,Policy!$G$5:$G$16,0),MATCH($I173,Policy!$C$4:$E$4,0))),"Config error"))))</f>
        <v/>
      </c>
      <c r="K173" s="13" t="str">
        <f>IF($H173="","",IF($F173=Scales!$B$24,"exempt",IFERROR(IF(VLOOKUP($H173,Conf_Check,3,FALSE())="valid",VLOOKUP($H173,Conf_Adjust,2,FALSE()),"n/a"),"n/a")))</f>
        <v/>
      </c>
      <c r="L173" s="13" t="str">
        <f>IF(OR($J173="",$J173="Config error"),"",IF(OR($F173=Scales!$B$24,AND(ISNUMBER($K173),$K173=0)),4,IF(ISNUMBER($K173),MAX(1,MATCH($J173,Scales!$B$6:$B$10,0)-1+$K173),1)))</f>
        <v/>
      </c>
      <c r="M173" s="5"/>
      <c r="N173" s="5"/>
      <c r="O173" s="8" t="str">
        <f>IF(OR($J173="",$J173="Config error",$E173="",$F173="",$G173="",$H173="",$R173=""),"",IF($M173="",MATCH($J173,Scales!$B$6:$B$10,0),IFERROR(MATCH($M173,Scales!$B$6:$B$10,0),MATCH($J173,Scales!$B$6:$B$10,0)))-1)</f>
        <v/>
      </c>
      <c r="P173" s="12" t="str">
        <f>IF($J173="",IF(AND($B173&lt;&gt;"",$B173&lt;&gt;"Duplicate ID"),"Incomplete assessment",""),IF($J173="Config error","Config error",IF($O173="","Incomplete assessment",IF($M173="","As recommended",IF(ISERROR(MATCH($M173,Scales!$B$6:$B$10,0)),"Invalid choice",IF(MATCH($M173,Scales!$B$6:$B$10,0)&gt;MATCH($J173,Scales!$B$6:$B$10,0),"Above policy: needs sign-off",IF(MATCH($M173,Scales!$B$6:$B$10,0)&lt;MATCH($J173,Scales!$B$6:$B$10,0),"More cautious than policy","As recommended")))))))</f>
        <v/>
      </c>
      <c r="Q173" s="13" t="str">
        <f>IF(OR($O173="",Policy!$B$24&lt;&gt;"OK"),"",IFERROR(MIN($O173,INDEX(Policy!$C$5:$E$16,MATCH($F173&amp;"|"&amp;Scales!$B$33,Policy!$G$5:$G$16,0),MATCH($I173,Policy!$C$4:$E$4,0))),""))</f>
        <v/>
      </c>
      <c r="R173" s="5"/>
      <c r="S173" s="13" t="str">
        <f>IF($B173="","",IF(COUNTIF('Readiness gate'!$A$7:$A$36,$A173)&lt;&gt;1,"Incomplete",IFERROR(IF(VLOOKUP($A173,GateTab,IF($F173=Scales!$B$24,11,9),FALSE())="","Incomplete",VLOOKUP($A173,GateTab,IF($F173=Scales!$B$24,11,9),FALSE())),"Incomplete")))</f>
        <v/>
      </c>
      <c r="T173" s="8" t="str">
        <f>IF($O173="","",MIN(IF(AND($O173&gt;MATCH($J173,Scales!$B$6:$B$10,0)-1,$N173&lt;&gt;"Yes"),MATCH($J173,Scales!$B$6:$B$10,0)-1,$O173),$L173,IF($F173=Scales!$B$24,IF($S173="Passed",4,IF(NOT(ISNUMBER($R173)),0,IF(OR($R173&lt;0,$R173&gt;4,$R173&lt;&gt;INT($R173)),0,$R173))),IF(NOT(ISNUMBER($R173)),0,IF(OR($R173&lt;0,$R173&gt;4,$R173&lt;&gt;INT($R173)),0,$R173))+IF($S173="Passed",1,0)),IF(AND($F173&lt;&gt;Scales!$B$24,OR($F173=Scales!$B$27,$G173=Scales!$B$33)),3,4)))</f>
        <v/>
      </c>
      <c r="U173" s="13" t="str">
        <f>IF($O173="",IF(AND($B173&lt;&gt;"",$B173&lt;&gt;"Duplicate ID"),IF($J173="Config error","Config error","Incomplete assessment"),""),IF($T173&gt;=$O173,IF(LEFT($P173,4)="More","Own choice","None"),MID(IF(AND($O173&gt;MATCH($J173,Scales!$B$6:$B$10,0)-1,$N173&lt;&gt;"Yes",$T173=MATCH($J173,Scales!$B$6:$B$10,0)-1)," + Exception not approved","")&amp;IF(AND($F173&lt;&gt;Scales!$B$24,OR($F173=Scales!$B$27,$G173=Scales!$B$33),$T173=3)," + Human-signature guardrail","")&amp;IF($T173=$L173," + Model confidence","")&amp;IF($T173=IF($F173=Scales!$B$24,IF($S173="Passed",4,IF(NOT(ISNUMBER($R173)),0,IF(OR($R173&lt;0,$R173&gt;4,$R173&lt;&gt;INT($R173)),0,$R173))),IF(NOT(ISNUMBER($R173)),0,IF(OR($R173&lt;0,$R173&gt;4,$R173&lt;&gt;INT($R173)),0,$R173))+IF($S173="Passed",1,0))," + "&amp;IF($S173&lt;&gt;"Passed","Readiness gate","Readiness gate (one level per gate)"),""),4,200)))</f>
        <v/>
      </c>
      <c r="V173" s="23"/>
    </row>
    <row r="174" spans="1:22" x14ac:dyDescent="0.25">
      <c r="A174" s="8" t="s">
        <v>270</v>
      </c>
      <c r="B174" s="11" t="str">
        <f>IF($A174="","",IF(COUNTIF('Use cases'!$A$5:$A$34,$A174)&gt;1,"Duplicate ID",IFERROR(IF(VLOOKUP($A174,'Use cases'!$A$5:$B$34,2,FALSE())=0,"",VLOOKUP($A174,'Use cases'!$A$5:$B$34,2,FALSE())),"")))</f>
        <v/>
      </c>
      <c r="C174" s="12" t="str">
        <f>IF(OR($B174="",$B174="Duplicate ID"),"",IFERROR(VLOOKUP($A174,'Use cases'!$A$5:$C$34,3,FALSE()),""))</f>
        <v/>
      </c>
      <c r="D174" s="13" t="s">
        <v>112</v>
      </c>
      <c r="E174" s="23"/>
      <c r="F174" s="23"/>
      <c r="G174" s="24"/>
      <c r="H174" s="24"/>
      <c r="I174" s="13" t="str">
        <f>IF(OR($B174="",$B174="Duplicate ID"),"",IFERROR(VLOOKUP($A174,'Use cases'!$A$5:$E$34,5,FALSE()),""))</f>
        <v/>
      </c>
      <c r="J174" s="11" t="str">
        <f>IF(OR($B174="",$B174="Duplicate ID"),"",IF(OR($F174="",$G174=""),"",IF(Policy!$B$24&lt;&gt;"OK","Config error",IFERROR(INDEX(Scales!$B$6:$B$10,1+INDEX(Policy!$C$5:$E$16,MATCH($F174&amp;"|"&amp;$G174,Policy!$G$5:$G$16,0),MATCH($I174,Policy!$C$4:$E$4,0))),"Config error"))))</f>
        <v/>
      </c>
      <c r="K174" s="13" t="str">
        <f>IF($H174="","",IF($F174=Scales!$B$24,"exempt",IFERROR(IF(VLOOKUP($H174,Conf_Check,3,FALSE())="valid",VLOOKUP($H174,Conf_Adjust,2,FALSE()),"n/a"),"n/a")))</f>
        <v/>
      </c>
      <c r="L174" s="13" t="str">
        <f>IF(OR($J174="",$J174="Config error"),"",IF(OR($F174=Scales!$B$24,AND(ISNUMBER($K174),$K174=0)),4,IF(ISNUMBER($K174),MAX(1,MATCH($J174,Scales!$B$6:$B$10,0)-1+$K174),1)))</f>
        <v/>
      </c>
      <c r="M174" s="5"/>
      <c r="N174" s="5"/>
      <c r="O174" s="8" t="str">
        <f>IF(OR($J174="",$J174="Config error",$E174="",$F174="",$G174="",$H174="",$R174=""),"",IF($M174="",MATCH($J174,Scales!$B$6:$B$10,0),IFERROR(MATCH($M174,Scales!$B$6:$B$10,0),MATCH($J174,Scales!$B$6:$B$10,0)))-1)</f>
        <v/>
      </c>
      <c r="P174" s="12" t="str">
        <f>IF($J174="",IF(AND($B174&lt;&gt;"",$B174&lt;&gt;"Duplicate ID"),"Incomplete assessment",""),IF($J174="Config error","Config error",IF($O174="","Incomplete assessment",IF($M174="","As recommended",IF(ISERROR(MATCH($M174,Scales!$B$6:$B$10,0)),"Invalid choice",IF(MATCH($M174,Scales!$B$6:$B$10,0)&gt;MATCH($J174,Scales!$B$6:$B$10,0),"Above policy: needs sign-off",IF(MATCH($M174,Scales!$B$6:$B$10,0)&lt;MATCH($J174,Scales!$B$6:$B$10,0),"More cautious than policy","As recommended")))))))</f>
        <v/>
      </c>
      <c r="Q174" s="13" t="str">
        <f>IF(OR($O174="",Policy!$B$24&lt;&gt;"OK"),"",IFERROR(MIN($O174,INDEX(Policy!$C$5:$E$16,MATCH($F174&amp;"|"&amp;Scales!$B$33,Policy!$G$5:$G$16,0),MATCH($I174,Policy!$C$4:$E$4,0))),""))</f>
        <v/>
      </c>
      <c r="R174" s="5"/>
      <c r="S174" s="13" t="str">
        <f>IF($B174="","",IF(COUNTIF('Readiness gate'!$A$7:$A$36,$A174)&lt;&gt;1,"Incomplete",IFERROR(IF(VLOOKUP($A174,GateTab,IF($F174=Scales!$B$24,11,9),FALSE())="","Incomplete",VLOOKUP($A174,GateTab,IF($F174=Scales!$B$24,11,9),FALSE())),"Incomplete")))</f>
        <v/>
      </c>
      <c r="T174" s="8" t="str">
        <f>IF($O174="","",MIN(IF(AND($O174&gt;MATCH($J174,Scales!$B$6:$B$10,0)-1,$N174&lt;&gt;"Yes"),MATCH($J174,Scales!$B$6:$B$10,0)-1,$O174),$L174,IF($F174=Scales!$B$24,IF($S174="Passed",4,IF(NOT(ISNUMBER($R174)),0,IF(OR($R174&lt;0,$R174&gt;4,$R174&lt;&gt;INT($R174)),0,$R174))),IF(NOT(ISNUMBER($R174)),0,IF(OR($R174&lt;0,$R174&gt;4,$R174&lt;&gt;INT($R174)),0,$R174))+IF($S174="Passed",1,0)),IF(AND($F174&lt;&gt;Scales!$B$24,OR($F174=Scales!$B$27,$G174=Scales!$B$33)),3,4)))</f>
        <v/>
      </c>
      <c r="U174" s="13" t="str">
        <f>IF($O174="",IF(AND($B174&lt;&gt;"",$B174&lt;&gt;"Duplicate ID"),IF($J174="Config error","Config error","Incomplete assessment"),""),IF($T174&gt;=$O174,IF(LEFT($P174,4)="More","Own choice","None"),MID(IF(AND($O174&gt;MATCH($J174,Scales!$B$6:$B$10,0)-1,$N174&lt;&gt;"Yes",$T174=MATCH($J174,Scales!$B$6:$B$10,0)-1)," + Exception not approved","")&amp;IF(AND($F174&lt;&gt;Scales!$B$24,OR($F174=Scales!$B$27,$G174=Scales!$B$33),$T174=3)," + Human-signature guardrail","")&amp;IF($T174=$L174," + Model confidence","")&amp;IF($T174=IF($F174=Scales!$B$24,IF($S174="Passed",4,IF(NOT(ISNUMBER($R174)),0,IF(OR($R174&lt;0,$R174&gt;4,$R174&lt;&gt;INT($R174)),0,$R174))),IF(NOT(ISNUMBER($R174)),0,IF(OR($R174&lt;0,$R174&gt;4,$R174&lt;&gt;INT($R174)),0,$R174))+IF($S174="Passed",1,0))," + "&amp;IF($S174&lt;&gt;"Passed","Readiness gate","Readiness gate (one level per gate)"),""),4,200)))</f>
        <v/>
      </c>
      <c r="V174" s="23"/>
    </row>
    <row r="175" spans="1:22" x14ac:dyDescent="0.25">
      <c r="A175" s="8" t="s">
        <v>270</v>
      </c>
      <c r="B175" s="11" t="str">
        <f>IF($A175="","",IF(COUNTIF('Use cases'!$A$5:$A$34,$A175)&gt;1,"Duplicate ID",IFERROR(IF(VLOOKUP($A175,'Use cases'!$A$5:$B$34,2,FALSE())=0,"",VLOOKUP($A175,'Use cases'!$A$5:$B$34,2,FALSE())),"")))</f>
        <v/>
      </c>
      <c r="C175" s="12" t="str">
        <f>IF(OR($B175="",$B175="Duplicate ID"),"",IFERROR(VLOOKUP($A175,'Use cases'!$A$5:$C$34,3,FALSE()),""))</f>
        <v/>
      </c>
      <c r="D175" s="13" t="s">
        <v>117</v>
      </c>
      <c r="E175" s="23"/>
      <c r="F175" s="23"/>
      <c r="G175" s="24"/>
      <c r="H175" s="24"/>
      <c r="I175" s="13" t="str">
        <f>IF(OR($B175="",$B175="Duplicate ID"),"",IFERROR(VLOOKUP($A175,'Use cases'!$A$5:$E$34,5,FALSE()),""))</f>
        <v/>
      </c>
      <c r="J175" s="11" t="str">
        <f>IF(OR($B175="",$B175="Duplicate ID"),"",IF(OR($F175="",$G175=""),"",IF(Policy!$B$24&lt;&gt;"OK","Config error",IFERROR(INDEX(Scales!$B$6:$B$10,1+INDEX(Policy!$C$5:$E$16,MATCH($F175&amp;"|"&amp;$G175,Policy!$G$5:$G$16,0),MATCH($I175,Policy!$C$4:$E$4,0))),"Config error"))))</f>
        <v/>
      </c>
      <c r="K175" s="13" t="str">
        <f>IF($H175="","",IF($F175=Scales!$B$24,"exempt",IFERROR(IF(VLOOKUP($H175,Conf_Check,3,FALSE())="valid",VLOOKUP($H175,Conf_Adjust,2,FALSE()),"n/a"),"n/a")))</f>
        <v/>
      </c>
      <c r="L175" s="13" t="str">
        <f>IF(OR($J175="",$J175="Config error"),"",IF(OR($F175=Scales!$B$24,AND(ISNUMBER($K175),$K175=0)),4,IF(ISNUMBER($K175),MAX(1,MATCH($J175,Scales!$B$6:$B$10,0)-1+$K175),1)))</f>
        <v/>
      </c>
      <c r="M175" s="5"/>
      <c r="N175" s="5"/>
      <c r="O175" s="8" t="str">
        <f>IF(OR($J175="",$J175="Config error",$E175="",$F175="",$G175="",$H175="",$R175=""),"",IF($M175="",MATCH($J175,Scales!$B$6:$B$10,0),IFERROR(MATCH($M175,Scales!$B$6:$B$10,0),MATCH($J175,Scales!$B$6:$B$10,0)))-1)</f>
        <v/>
      </c>
      <c r="P175" s="12" t="str">
        <f>IF($J175="",IF(AND($B175&lt;&gt;"",$B175&lt;&gt;"Duplicate ID"),"Incomplete assessment",""),IF($J175="Config error","Config error",IF($O175="","Incomplete assessment",IF($M175="","As recommended",IF(ISERROR(MATCH($M175,Scales!$B$6:$B$10,0)),"Invalid choice",IF(MATCH($M175,Scales!$B$6:$B$10,0)&gt;MATCH($J175,Scales!$B$6:$B$10,0),"Above policy: needs sign-off",IF(MATCH($M175,Scales!$B$6:$B$10,0)&lt;MATCH($J175,Scales!$B$6:$B$10,0),"More cautious than policy","As recommended")))))))</f>
        <v/>
      </c>
      <c r="Q175" s="13" t="str">
        <f>IF(OR($O175="",Policy!$B$24&lt;&gt;"OK"),"",IFERROR(MIN($O175,INDEX(Policy!$C$5:$E$16,MATCH($F175&amp;"|"&amp;Scales!$B$33,Policy!$G$5:$G$16,0),MATCH($I175,Policy!$C$4:$E$4,0))),""))</f>
        <v/>
      </c>
      <c r="R175" s="5"/>
      <c r="S175" s="13" t="str">
        <f>IF($B175="","",IF(COUNTIF('Readiness gate'!$A$7:$A$36,$A175)&lt;&gt;1,"Incomplete",IFERROR(IF(VLOOKUP($A175,GateTab,IF($F175=Scales!$B$24,11,9),FALSE())="","Incomplete",VLOOKUP($A175,GateTab,IF($F175=Scales!$B$24,11,9),FALSE())),"Incomplete")))</f>
        <v/>
      </c>
      <c r="T175" s="8" t="str">
        <f>IF($O175="","",MIN(IF(AND($O175&gt;MATCH($J175,Scales!$B$6:$B$10,0)-1,$N175&lt;&gt;"Yes"),MATCH($J175,Scales!$B$6:$B$10,0)-1,$O175),$L175,IF($F175=Scales!$B$24,IF($S175="Passed",4,IF(NOT(ISNUMBER($R175)),0,IF(OR($R175&lt;0,$R175&gt;4,$R175&lt;&gt;INT($R175)),0,$R175))),IF(NOT(ISNUMBER($R175)),0,IF(OR($R175&lt;0,$R175&gt;4,$R175&lt;&gt;INT($R175)),0,$R175))+IF($S175="Passed",1,0)),IF(AND($F175&lt;&gt;Scales!$B$24,OR($F175=Scales!$B$27,$G175=Scales!$B$33)),3,4)))</f>
        <v/>
      </c>
      <c r="U175" s="13" t="str">
        <f>IF($O175="",IF(AND($B175&lt;&gt;"",$B175&lt;&gt;"Duplicate ID"),IF($J175="Config error","Config error","Incomplete assessment"),""),IF($T175&gt;=$O175,IF(LEFT($P175,4)="More","Own choice","None"),MID(IF(AND($O175&gt;MATCH($J175,Scales!$B$6:$B$10,0)-1,$N175&lt;&gt;"Yes",$T175=MATCH($J175,Scales!$B$6:$B$10,0)-1)," + Exception not approved","")&amp;IF(AND($F175&lt;&gt;Scales!$B$24,OR($F175=Scales!$B$27,$G175=Scales!$B$33),$T175=3)," + Human-signature guardrail","")&amp;IF($T175=$L175," + Model confidence","")&amp;IF($T175=IF($F175=Scales!$B$24,IF($S175="Passed",4,IF(NOT(ISNUMBER($R175)),0,IF(OR($R175&lt;0,$R175&gt;4,$R175&lt;&gt;INT($R175)),0,$R175))),IF(NOT(ISNUMBER($R175)),0,IF(OR($R175&lt;0,$R175&gt;4,$R175&lt;&gt;INT($R175)),0,$R175))+IF($S175="Passed",1,0))," + "&amp;IF($S175&lt;&gt;"Passed","Readiness gate","Readiness gate (one level per gate)"),""),4,200)))</f>
        <v/>
      </c>
      <c r="V175" s="23"/>
    </row>
    <row r="176" spans="1:22" x14ac:dyDescent="0.25">
      <c r="A176" s="8" t="s">
        <v>270</v>
      </c>
      <c r="B176" s="11" t="str">
        <f>IF($A176="","",IF(COUNTIF('Use cases'!$A$5:$A$34,$A176)&gt;1,"Duplicate ID",IFERROR(IF(VLOOKUP($A176,'Use cases'!$A$5:$B$34,2,FALSE())=0,"",VLOOKUP($A176,'Use cases'!$A$5:$B$34,2,FALSE())),"")))</f>
        <v/>
      </c>
      <c r="C176" s="12" t="str">
        <f>IF(OR($B176="",$B176="Duplicate ID"),"",IFERROR(VLOOKUP($A176,'Use cases'!$A$5:$C$34,3,FALSE()),""))</f>
        <v/>
      </c>
      <c r="D176" s="13" t="s">
        <v>120</v>
      </c>
      <c r="E176" s="23"/>
      <c r="F176" s="23"/>
      <c r="G176" s="24"/>
      <c r="H176" s="24"/>
      <c r="I176" s="13" t="str">
        <f>IF(OR($B176="",$B176="Duplicate ID"),"",IFERROR(VLOOKUP($A176,'Use cases'!$A$5:$E$34,5,FALSE()),""))</f>
        <v/>
      </c>
      <c r="J176" s="11" t="str">
        <f>IF(OR($B176="",$B176="Duplicate ID"),"",IF(OR($F176="",$G176=""),"",IF(Policy!$B$24&lt;&gt;"OK","Config error",IFERROR(INDEX(Scales!$B$6:$B$10,1+INDEX(Policy!$C$5:$E$16,MATCH($F176&amp;"|"&amp;$G176,Policy!$G$5:$G$16,0),MATCH($I176,Policy!$C$4:$E$4,0))),"Config error"))))</f>
        <v/>
      </c>
      <c r="K176" s="13" t="str">
        <f>IF($H176="","",IF($F176=Scales!$B$24,"exempt",IFERROR(IF(VLOOKUP($H176,Conf_Check,3,FALSE())="valid",VLOOKUP($H176,Conf_Adjust,2,FALSE()),"n/a"),"n/a")))</f>
        <v/>
      </c>
      <c r="L176" s="13" t="str">
        <f>IF(OR($J176="",$J176="Config error"),"",IF(OR($F176=Scales!$B$24,AND(ISNUMBER($K176),$K176=0)),4,IF(ISNUMBER($K176),MAX(1,MATCH($J176,Scales!$B$6:$B$10,0)-1+$K176),1)))</f>
        <v/>
      </c>
      <c r="M176" s="5"/>
      <c r="N176" s="5"/>
      <c r="O176" s="8" t="str">
        <f>IF(OR($J176="",$J176="Config error",$E176="",$F176="",$G176="",$H176="",$R176=""),"",IF($M176="",MATCH($J176,Scales!$B$6:$B$10,0),IFERROR(MATCH($M176,Scales!$B$6:$B$10,0),MATCH($J176,Scales!$B$6:$B$10,0)))-1)</f>
        <v/>
      </c>
      <c r="P176" s="12" t="str">
        <f>IF($J176="",IF(AND($B176&lt;&gt;"",$B176&lt;&gt;"Duplicate ID"),"Incomplete assessment",""),IF($J176="Config error","Config error",IF($O176="","Incomplete assessment",IF($M176="","As recommended",IF(ISERROR(MATCH($M176,Scales!$B$6:$B$10,0)),"Invalid choice",IF(MATCH($M176,Scales!$B$6:$B$10,0)&gt;MATCH($J176,Scales!$B$6:$B$10,0),"Above policy: needs sign-off",IF(MATCH($M176,Scales!$B$6:$B$10,0)&lt;MATCH($J176,Scales!$B$6:$B$10,0),"More cautious than policy","As recommended")))))))</f>
        <v/>
      </c>
      <c r="Q176" s="13" t="str">
        <f>IF(OR($O176="",Policy!$B$24&lt;&gt;"OK"),"",IFERROR(MIN($O176,INDEX(Policy!$C$5:$E$16,MATCH($F176&amp;"|"&amp;Scales!$B$33,Policy!$G$5:$G$16,0),MATCH($I176,Policy!$C$4:$E$4,0))),""))</f>
        <v/>
      </c>
      <c r="R176" s="5"/>
      <c r="S176" s="13" t="str">
        <f>IF($B176="","",IF(COUNTIF('Readiness gate'!$A$7:$A$36,$A176)&lt;&gt;1,"Incomplete",IFERROR(IF(VLOOKUP($A176,GateTab,IF($F176=Scales!$B$24,11,9),FALSE())="","Incomplete",VLOOKUP($A176,GateTab,IF($F176=Scales!$B$24,11,9),FALSE())),"Incomplete")))</f>
        <v/>
      </c>
      <c r="T176" s="8" t="str">
        <f>IF($O176="","",MIN(IF(AND($O176&gt;MATCH($J176,Scales!$B$6:$B$10,0)-1,$N176&lt;&gt;"Yes"),MATCH($J176,Scales!$B$6:$B$10,0)-1,$O176),$L176,IF($F176=Scales!$B$24,IF($S176="Passed",4,IF(NOT(ISNUMBER($R176)),0,IF(OR($R176&lt;0,$R176&gt;4,$R176&lt;&gt;INT($R176)),0,$R176))),IF(NOT(ISNUMBER($R176)),0,IF(OR($R176&lt;0,$R176&gt;4,$R176&lt;&gt;INT($R176)),0,$R176))+IF($S176="Passed",1,0)),IF(AND($F176&lt;&gt;Scales!$B$24,OR($F176=Scales!$B$27,$G176=Scales!$B$33)),3,4)))</f>
        <v/>
      </c>
      <c r="U176" s="13" t="str">
        <f>IF($O176="",IF(AND($B176&lt;&gt;"",$B176&lt;&gt;"Duplicate ID"),IF($J176="Config error","Config error","Incomplete assessment"),""),IF($T176&gt;=$O176,IF(LEFT($P176,4)="More","Own choice","None"),MID(IF(AND($O176&gt;MATCH($J176,Scales!$B$6:$B$10,0)-1,$N176&lt;&gt;"Yes",$T176=MATCH($J176,Scales!$B$6:$B$10,0)-1)," + Exception not approved","")&amp;IF(AND($F176&lt;&gt;Scales!$B$24,OR($F176=Scales!$B$27,$G176=Scales!$B$33),$T176=3)," + Human-signature guardrail","")&amp;IF($T176=$L176," + Model confidence","")&amp;IF($T176=IF($F176=Scales!$B$24,IF($S176="Passed",4,IF(NOT(ISNUMBER($R176)),0,IF(OR($R176&lt;0,$R176&gt;4,$R176&lt;&gt;INT($R176)),0,$R176))),IF(NOT(ISNUMBER($R176)),0,IF(OR($R176&lt;0,$R176&gt;4,$R176&lt;&gt;INT($R176)),0,$R176))+IF($S176="Passed",1,0))," + "&amp;IF($S176&lt;&gt;"Passed","Readiness gate","Readiness gate (one level per gate)"),""),4,200)))</f>
        <v/>
      </c>
      <c r="V176" s="23"/>
    </row>
    <row r="177" spans="1:22" x14ac:dyDescent="0.25">
      <c r="A177" s="8" t="s">
        <v>270</v>
      </c>
      <c r="B177" s="11" t="str">
        <f>IF($A177="","",IF(COUNTIF('Use cases'!$A$5:$A$34,$A177)&gt;1,"Duplicate ID",IFERROR(IF(VLOOKUP($A177,'Use cases'!$A$5:$B$34,2,FALSE())=0,"",VLOOKUP($A177,'Use cases'!$A$5:$B$34,2,FALSE())),"")))</f>
        <v/>
      </c>
      <c r="C177" s="12" t="str">
        <f>IF(OR($B177="",$B177="Duplicate ID"),"",IFERROR(VLOOKUP($A177,'Use cases'!$A$5:$C$34,3,FALSE()),""))</f>
        <v/>
      </c>
      <c r="D177" s="13" t="s">
        <v>123</v>
      </c>
      <c r="E177" s="23"/>
      <c r="F177" s="23"/>
      <c r="G177" s="24"/>
      <c r="H177" s="24"/>
      <c r="I177" s="13" t="str">
        <f>IF(OR($B177="",$B177="Duplicate ID"),"",IFERROR(VLOOKUP($A177,'Use cases'!$A$5:$E$34,5,FALSE()),""))</f>
        <v/>
      </c>
      <c r="J177" s="11" t="str">
        <f>IF(OR($B177="",$B177="Duplicate ID"),"",IF(OR($F177="",$G177=""),"",IF(Policy!$B$24&lt;&gt;"OK","Config error",IFERROR(INDEX(Scales!$B$6:$B$10,1+INDEX(Policy!$C$5:$E$16,MATCH($F177&amp;"|"&amp;$G177,Policy!$G$5:$G$16,0),MATCH($I177,Policy!$C$4:$E$4,0))),"Config error"))))</f>
        <v/>
      </c>
      <c r="K177" s="13" t="str">
        <f>IF($H177="","",IF($F177=Scales!$B$24,"exempt",IFERROR(IF(VLOOKUP($H177,Conf_Check,3,FALSE())="valid",VLOOKUP($H177,Conf_Adjust,2,FALSE()),"n/a"),"n/a")))</f>
        <v/>
      </c>
      <c r="L177" s="13" t="str">
        <f>IF(OR($J177="",$J177="Config error"),"",IF(OR($F177=Scales!$B$24,AND(ISNUMBER($K177),$K177=0)),4,IF(ISNUMBER($K177),MAX(1,MATCH($J177,Scales!$B$6:$B$10,0)-1+$K177),1)))</f>
        <v/>
      </c>
      <c r="M177" s="5"/>
      <c r="N177" s="5"/>
      <c r="O177" s="8" t="str">
        <f>IF(OR($J177="",$J177="Config error",$E177="",$F177="",$G177="",$H177="",$R177=""),"",IF($M177="",MATCH($J177,Scales!$B$6:$B$10,0),IFERROR(MATCH($M177,Scales!$B$6:$B$10,0),MATCH($J177,Scales!$B$6:$B$10,0)))-1)</f>
        <v/>
      </c>
      <c r="P177" s="12" t="str">
        <f>IF($J177="",IF(AND($B177&lt;&gt;"",$B177&lt;&gt;"Duplicate ID"),"Incomplete assessment",""),IF($J177="Config error","Config error",IF($O177="","Incomplete assessment",IF($M177="","As recommended",IF(ISERROR(MATCH($M177,Scales!$B$6:$B$10,0)),"Invalid choice",IF(MATCH($M177,Scales!$B$6:$B$10,0)&gt;MATCH($J177,Scales!$B$6:$B$10,0),"Above policy: needs sign-off",IF(MATCH($M177,Scales!$B$6:$B$10,0)&lt;MATCH($J177,Scales!$B$6:$B$10,0),"More cautious than policy","As recommended")))))))</f>
        <v/>
      </c>
      <c r="Q177" s="13" t="str">
        <f>IF(OR($O177="",Policy!$B$24&lt;&gt;"OK"),"",IFERROR(MIN($O177,INDEX(Policy!$C$5:$E$16,MATCH($F177&amp;"|"&amp;Scales!$B$33,Policy!$G$5:$G$16,0),MATCH($I177,Policy!$C$4:$E$4,0))),""))</f>
        <v/>
      </c>
      <c r="R177" s="5"/>
      <c r="S177" s="13" t="str">
        <f>IF($B177="","",IF(COUNTIF('Readiness gate'!$A$7:$A$36,$A177)&lt;&gt;1,"Incomplete",IFERROR(IF(VLOOKUP($A177,GateTab,IF($F177=Scales!$B$24,11,9),FALSE())="","Incomplete",VLOOKUP($A177,GateTab,IF($F177=Scales!$B$24,11,9),FALSE())),"Incomplete")))</f>
        <v/>
      </c>
      <c r="T177" s="8" t="str">
        <f>IF($O177="","",MIN(IF(AND($O177&gt;MATCH($J177,Scales!$B$6:$B$10,0)-1,$N177&lt;&gt;"Yes"),MATCH($J177,Scales!$B$6:$B$10,0)-1,$O177),$L177,IF($F177=Scales!$B$24,IF($S177="Passed",4,IF(NOT(ISNUMBER($R177)),0,IF(OR($R177&lt;0,$R177&gt;4,$R177&lt;&gt;INT($R177)),0,$R177))),IF(NOT(ISNUMBER($R177)),0,IF(OR($R177&lt;0,$R177&gt;4,$R177&lt;&gt;INT($R177)),0,$R177))+IF($S177="Passed",1,0)),IF(AND($F177&lt;&gt;Scales!$B$24,OR($F177=Scales!$B$27,$G177=Scales!$B$33)),3,4)))</f>
        <v/>
      </c>
      <c r="U177" s="13" t="str">
        <f>IF($O177="",IF(AND($B177&lt;&gt;"",$B177&lt;&gt;"Duplicate ID"),IF($J177="Config error","Config error","Incomplete assessment"),""),IF($T177&gt;=$O177,IF(LEFT($P177,4)="More","Own choice","None"),MID(IF(AND($O177&gt;MATCH($J177,Scales!$B$6:$B$10,0)-1,$N177&lt;&gt;"Yes",$T177=MATCH($J177,Scales!$B$6:$B$10,0)-1)," + Exception not approved","")&amp;IF(AND($F177&lt;&gt;Scales!$B$24,OR($F177=Scales!$B$27,$G177=Scales!$B$33),$T177=3)," + Human-signature guardrail","")&amp;IF($T177=$L177," + Model confidence","")&amp;IF($T177=IF($F177=Scales!$B$24,IF($S177="Passed",4,IF(NOT(ISNUMBER($R177)),0,IF(OR($R177&lt;0,$R177&gt;4,$R177&lt;&gt;INT($R177)),0,$R177))),IF(NOT(ISNUMBER($R177)),0,IF(OR($R177&lt;0,$R177&gt;4,$R177&lt;&gt;INT($R177)),0,$R177))+IF($S177="Passed",1,0))," + "&amp;IF($S177&lt;&gt;"Passed","Readiness gate","Readiness gate (one level per gate)"),""),4,200)))</f>
        <v/>
      </c>
      <c r="V177" s="23"/>
    </row>
    <row r="178" spans="1:22" x14ac:dyDescent="0.25">
      <c r="A178" s="8" t="s">
        <v>270</v>
      </c>
      <c r="B178" s="11" t="str">
        <f>IF($A178="","",IF(COUNTIF('Use cases'!$A$5:$A$34,$A178)&gt;1,"Duplicate ID",IFERROR(IF(VLOOKUP($A178,'Use cases'!$A$5:$B$34,2,FALSE())=0,"",VLOOKUP($A178,'Use cases'!$A$5:$B$34,2,FALSE())),"")))</f>
        <v/>
      </c>
      <c r="C178" s="12" t="str">
        <f>IF(OR($B178="",$B178="Duplicate ID"),"",IFERROR(VLOOKUP($A178,'Use cases'!$A$5:$C$34,3,FALSE()),""))</f>
        <v/>
      </c>
      <c r="D178" s="13" t="s">
        <v>125</v>
      </c>
      <c r="E178" s="23"/>
      <c r="F178" s="23"/>
      <c r="G178" s="24"/>
      <c r="H178" s="24"/>
      <c r="I178" s="13" t="str">
        <f>IF(OR($B178="",$B178="Duplicate ID"),"",IFERROR(VLOOKUP($A178,'Use cases'!$A$5:$E$34,5,FALSE()),""))</f>
        <v/>
      </c>
      <c r="J178" s="11" t="str">
        <f>IF(OR($B178="",$B178="Duplicate ID"),"",IF(OR($F178="",$G178=""),"",IF(Policy!$B$24&lt;&gt;"OK","Config error",IFERROR(INDEX(Scales!$B$6:$B$10,1+INDEX(Policy!$C$5:$E$16,MATCH($F178&amp;"|"&amp;$G178,Policy!$G$5:$G$16,0),MATCH($I178,Policy!$C$4:$E$4,0))),"Config error"))))</f>
        <v/>
      </c>
      <c r="K178" s="13" t="str">
        <f>IF($H178="","",IF($F178=Scales!$B$24,"exempt",IFERROR(IF(VLOOKUP($H178,Conf_Check,3,FALSE())="valid",VLOOKUP($H178,Conf_Adjust,2,FALSE()),"n/a"),"n/a")))</f>
        <v/>
      </c>
      <c r="L178" s="13" t="str">
        <f>IF(OR($J178="",$J178="Config error"),"",IF(OR($F178=Scales!$B$24,AND(ISNUMBER($K178),$K178=0)),4,IF(ISNUMBER($K178),MAX(1,MATCH($J178,Scales!$B$6:$B$10,0)-1+$K178),1)))</f>
        <v/>
      </c>
      <c r="M178" s="5"/>
      <c r="N178" s="5"/>
      <c r="O178" s="8" t="str">
        <f>IF(OR($J178="",$J178="Config error",$E178="",$F178="",$G178="",$H178="",$R178=""),"",IF($M178="",MATCH($J178,Scales!$B$6:$B$10,0),IFERROR(MATCH($M178,Scales!$B$6:$B$10,0),MATCH($J178,Scales!$B$6:$B$10,0)))-1)</f>
        <v/>
      </c>
      <c r="P178" s="12" t="str">
        <f>IF($J178="",IF(AND($B178&lt;&gt;"",$B178&lt;&gt;"Duplicate ID"),"Incomplete assessment",""),IF($J178="Config error","Config error",IF($O178="","Incomplete assessment",IF($M178="","As recommended",IF(ISERROR(MATCH($M178,Scales!$B$6:$B$10,0)),"Invalid choice",IF(MATCH($M178,Scales!$B$6:$B$10,0)&gt;MATCH($J178,Scales!$B$6:$B$10,0),"Above policy: needs sign-off",IF(MATCH($M178,Scales!$B$6:$B$10,0)&lt;MATCH($J178,Scales!$B$6:$B$10,0),"More cautious than policy","As recommended")))))))</f>
        <v/>
      </c>
      <c r="Q178" s="13" t="str">
        <f>IF(OR($O178="",Policy!$B$24&lt;&gt;"OK"),"",IFERROR(MIN($O178,INDEX(Policy!$C$5:$E$16,MATCH($F178&amp;"|"&amp;Scales!$B$33,Policy!$G$5:$G$16,0),MATCH($I178,Policy!$C$4:$E$4,0))),""))</f>
        <v/>
      </c>
      <c r="R178" s="5"/>
      <c r="S178" s="13" t="str">
        <f>IF($B178="","",IF(COUNTIF('Readiness gate'!$A$7:$A$36,$A178)&lt;&gt;1,"Incomplete",IFERROR(IF(VLOOKUP($A178,GateTab,IF($F178=Scales!$B$24,11,9),FALSE())="","Incomplete",VLOOKUP($A178,GateTab,IF($F178=Scales!$B$24,11,9),FALSE())),"Incomplete")))</f>
        <v/>
      </c>
      <c r="T178" s="8" t="str">
        <f>IF($O178="","",MIN(IF(AND($O178&gt;MATCH($J178,Scales!$B$6:$B$10,0)-1,$N178&lt;&gt;"Yes"),MATCH($J178,Scales!$B$6:$B$10,0)-1,$O178),$L178,IF($F178=Scales!$B$24,IF($S178="Passed",4,IF(NOT(ISNUMBER($R178)),0,IF(OR($R178&lt;0,$R178&gt;4,$R178&lt;&gt;INT($R178)),0,$R178))),IF(NOT(ISNUMBER($R178)),0,IF(OR($R178&lt;0,$R178&gt;4,$R178&lt;&gt;INT($R178)),0,$R178))+IF($S178="Passed",1,0)),IF(AND($F178&lt;&gt;Scales!$B$24,OR($F178=Scales!$B$27,$G178=Scales!$B$33)),3,4)))</f>
        <v/>
      </c>
      <c r="U178" s="13" t="str">
        <f>IF($O178="",IF(AND($B178&lt;&gt;"",$B178&lt;&gt;"Duplicate ID"),IF($J178="Config error","Config error","Incomplete assessment"),""),IF($T178&gt;=$O178,IF(LEFT($P178,4)="More","Own choice","None"),MID(IF(AND($O178&gt;MATCH($J178,Scales!$B$6:$B$10,0)-1,$N178&lt;&gt;"Yes",$T178=MATCH($J178,Scales!$B$6:$B$10,0)-1)," + Exception not approved","")&amp;IF(AND($F178&lt;&gt;Scales!$B$24,OR($F178=Scales!$B$27,$G178=Scales!$B$33),$T178=3)," + Human-signature guardrail","")&amp;IF($T178=$L178," + Model confidence","")&amp;IF($T178=IF($F178=Scales!$B$24,IF($S178="Passed",4,IF(NOT(ISNUMBER($R178)),0,IF(OR($R178&lt;0,$R178&gt;4,$R178&lt;&gt;INT($R178)),0,$R178))),IF(NOT(ISNUMBER($R178)),0,IF(OR($R178&lt;0,$R178&gt;4,$R178&lt;&gt;INT($R178)),0,$R178))+IF($S178="Passed",1,0))," + "&amp;IF($S178&lt;&gt;"Passed","Readiness gate","Readiness gate (one level per gate)"),""),4,200)))</f>
        <v/>
      </c>
      <c r="V178" s="23"/>
    </row>
    <row r="179" spans="1:22" x14ac:dyDescent="0.25">
      <c r="A179" s="8" t="s">
        <v>270</v>
      </c>
      <c r="B179" s="11" t="str">
        <f>IF($A179="","",IF(COUNTIF('Use cases'!$A$5:$A$34,$A179)&gt;1,"Duplicate ID",IFERROR(IF(VLOOKUP($A179,'Use cases'!$A$5:$B$34,2,FALSE())=0,"",VLOOKUP($A179,'Use cases'!$A$5:$B$34,2,FALSE())),"")))</f>
        <v/>
      </c>
      <c r="C179" s="12" t="str">
        <f>IF(OR($B179="",$B179="Duplicate ID"),"",IFERROR(VLOOKUP($A179,'Use cases'!$A$5:$C$34,3,FALSE()),""))</f>
        <v/>
      </c>
      <c r="D179" s="13" t="s">
        <v>127</v>
      </c>
      <c r="E179" s="23"/>
      <c r="F179" s="23"/>
      <c r="G179" s="24"/>
      <c r="H179" s="24"/>
      <c r="I179" s="13" t="str">
        <f>IF(OR($B179="",$B179="Duplicate ID"),"",IFERROR(VLOOKUP($A179,'Use cases'!$A$5:$E$34,5,FALSE()),""))</f>
        <v/>
      </c>
      <c r="J179" s="11" t="str">
        <f>IF(OR($B179="",$B179="Duplicate ID"),"",IF(OR($F179="",$G179=""),"",IF(Policy!$B$24&lt;&gt;"OK","Config error",IFERROR(INDEX(Scales!$B$6:$B$10,1+INDEX(Policy!$C$5:$E$16,MATCH($F179&amp;"|"&amp;$G179,Policy!$G$5:$G$16,0),MATCH($I179,Policy!$C$4:$E$4,0))),"Config error"))))</f>
        <v/>
      </c>
      <c r="K179" s="13" t="str">
        <f>IF($H179="","",IF($F179=Scales!$B$24,"exempt",IFERROR(IF(VLOOKUP($H179,Conf_Check,3,FALSE())="valid",VLOOKUP($H179,Conf_Adjust,2,FALSE()),"n/a"),"n/a")))</f>
        <v/>
      </c>
      <c r="L179" s="13" t="str">
        <f>IF(OR($J179="",$J179="Config error"),"",IF(OR($F179=Scales!$B$24,AND(ISNUMBER($K179),$K179=0)),4,IF(ISNUMBER($K179),MAX(1,MATCH($J179,Scales!$B$6:$B$10,0)-1+$K179),1)))</f>
        <v/>
      </c>
      <c r="M179" s="5"/>
      <c r="N179" s="5"/>
      <c r="O179" s="8" t="str">
        <f>IF(OR($J179="",$J179="Config error",$E179="",$F179="",$G179="",$H179="",$R179=""),"",IF($M179="",MATCH($J179,Scales!$B$6:$B$10,0),IFERROR(MATCH($M179,Scales!$B$6:$B$10,0),MATCH($J179,Scales!$B$6:$B$10,0)))-1)</f>
        <v/>
      </c>
      <c r="P179" s="12" t="str">
        <f>IF($J179="",IF(AND($B179&lt;&gt;"",$B179&lt;&gt;"Duplicate ID"),"Incomplete assessment",""),IF($J179="Config error","Config error",IF($O179="","Incomplete assessment",IF($M179="","As recommended",IF(ISERROR(MATCH($M179,Scales!$B$6:$B$10,0)),"Invalid choice",IF(MATCH($M179,Scales!$B$6:$B$10,0)&gt;MATCH($J179,Scales!$B$6:$B$10,0),"Above policy: needs sign-off",IF(MATCH($M179,Scales!$B$6:$B$10,0)&lt;MATCH($J179,Scales!$B$6:$B$10,0),"More cautious than policy","As recommended")))))))</f>
        <v/>
      </c>
      <c r="Q179" s="13" t="str">
        <f>IF(OR($O179="",Policy!$B$24&lt;&gt;"OK"),"",IFERROR(MIN($O179,INDEX(Policy!$C$5:$E$16,MATCH($F179&amp;"|"&amp;Scales!$B$33,Policy!$G$5:$G$16,0),MATCH($I179,Policy!$C$4:$E$4,0))),""))</f>
        <v/>
      </c>
      <c r="R179" s="5"/>
      <c r="S179" s="13" t="str">
        <f>IF($B179="","",IF(COUNTIF('Readiness gate'!$A$7:$A$36,$A179)&lt;&gt;1,"Incomplete",IFERROR(IF(VLOOKUP($A179,GateTab,IF($F179=Scales!$B$24,11,9),FALSE())="","Incomplete",VLOOKUP($A179,GateTab,IF($F179=Scales!$B$24,11,9),FALSE())),"Incomplete")))</f>
        <v/>
      </c>
      <c r="T179" s="8" t="str">
        <f>IF($O179="","",MIN(IF(AND($O179&gt;MATCH($J179,Scales!$B$6:$B$10,0)-1,$N179&lt;&gt;"Yes"),MATCH($J179,Scales!$B$6:$B$10,0)-1,$O179),$L179,IF($F179=Scales!$B$24,IF($S179="Passed",4,IF(NOT(ISNUMBER($R179)),0,IF(OR($R179&lt;0,$R179&gt;4,$R179&lt;&gt;INT($R179)),0,$R179))),IF(NOT(ISNUMBER($R179)),0,IF(OR($R179&lt;0,$R179&gt;4,$R179&lt;&gt;INT($R179)),0,$R179))+IF($S179="Passed",1,0)),IF(AND($F179&lt;&gt;Scales!$B$24,OR($F179=Scales!$B$27,$G179=Scales!$B$33)),3,4)))</f>
        <v/>
      </c>
      <c r="U179" s="13" t="str">
        <f>IF($O179="",IF(AND($B179&lt;&gt;"",$B179&lt;&gt;"Duplicate ID"),IF($J179="Config error","Config error","Incomplete assessment"),""),IF($T179&gt;=$O179,IF(LEFT($P179,4)="More","Own choice","None"),MID(IF(AND($O179&gt;MATCH($J179,Scales!$B$6:$B$10,0)-1,$N179&lt;&gt;"Yes",$T179=MATCH($J179,Scales!$B$6:$B$10,0)-1)," + Exception not approved","")&amp;IF(AND($F179&lt;&gt;Scales!$B$24,OR($F179=Scales!$B$27,$G179=Scales!$B$33),$T179=3)," + Human-signature guardrail","")&amp;IF($T179=$L179," + Model confidence","")&amp;IF($T179=IF($F179=Scales!$B$24,IF($S179="Passed",4,IF(NOT(ISNUMBER($R179)),0,IF(OR($R179&lt;0,$R179&gt;4,$R179&lt;&gt;INT($R179)),0,$R179))),IF(NOT(ISNUMBER($R179)),0,IF(OR($R179&lt;0,$R179&gt;4,$R179&lt;&gt;INT($R179)),0,$R179))+IF($S179="Passed",1,0))," + "&amp;IF($S179&lt;&gt;"Passed","Readiness gate","Readiness gate (one level per gate)"),""),4,200)))</f>
        <v/>
      </c>
      <c r="V179" s="23"/>
    </row>
    <row r="180" spans="1:22" x14ac:dyDescent="0.25">
      <c r="A180" s="8" t="s">
        <v>271</v>
      </c>
      <c r="B180" s="11" t="str">
        <f>IF($A180="","",IF(COUNTIF('Use cases'!$A$5:$A$34,$A180)&gt;1,"Duplicate ID",IFERROR(IF(VLOOKUP($A180,'Use cases'!$A$5:$B$34,2,FALSE())=0,"",VLOOKUP($A180,'Use cases'!$A$5:$B$34,2,FALSE())),"")))</f>
        <v/>
      </c>
      <c r="C180" s="12" t="str">
        <f>IF(OR($B180="",$B180="Duplicate ID"),"",IFERROR(VLOOKUP($A180,'Use cases'!$A$5:$C$34,3,FALSE()),""))</f>
        <v/>
      </c>
      <c r="D180" s="13" t="s">
        <v>112</v>
      </c>
      <c r="E180" s="23"/>
      <c r="F180" s="23"/>
      <c r="G180" s="24"/>
      <c r="H180" s="24"/>
      <c r="I180" s="13" t="str">
        <f>IF(OR($B180="",$B180="Duplicate ID"),"",IFERROR(VLOOKUP($A180,'Use cases'!$A$5:$E$34,5,FALSE()),""))</f>
        <v/>
      </c>
      <c r="J180" s="11" t="str">
        <f>IF(OR($B180="",$B180="Duplicate ID"),"",IF(OR($F180="",$G180=""),"",IF(Policy!$B$24&lt;&gt;"OK","Config error",IFERROR(INDEX(Scales!$B$6:$B$10,1+INDEX(Policy!$C$5:$E$16,MATCH($F180&amp;"|"&amp;$G180,Policy!$G$5:$G$16,0),MATCH($I180,Policy!$C$4:$E$4,0))),"Config error"))))</f>
        <v/>
      </c>
      <c r="K180" s="13" t="str">
        <f>IF($H180="","",IF($F180=Scales!$B$24,"exempt",IFERROR(IF(VLOOKUP($H180,Conf_Check,3,FALSE())="valid",VLOOKUP($H180,Conf_Adjust,2,FALSE()),"n/a"),"n/a")))</f>
        <v/>
      </c>
      <c r="L180" s="13" t="str">
        <f>IF(OR($J180="",$J180="Config error"),"",IF(OR($F180=Scales!$B$24,AND(ISNUMBER($K180),$K180=0)),4,IF(ISNUMBER($K180),MAX(1,MATCH($J180,Scales!$B$6:$B$10,0)-1+$K180),1)))</f>
        <v/>
      </c>
      <c r="M180" s="5"/>
      <c r="N180" s="5"/>
      <c r="O180" s="8" t="str">
        <f>IF(OR($J180="",$J180="Config error",$E180="",$F180="",$G180="",$H180="",$R180=""),"",IF($M180="",MATCH($J180,Scales!$B$6:$B$10,0),IFERROR(MATCH($M180,Scales!$B$6:$B$10,0),MATCH($J180,Scales!$B$6:$B$10,0)))-1)</f>
        <v/>
      </c>
      <c r="P180" s="12" t="str">
        <f>IF($J180="",IF(AND($B180&lt;&gt;"",$B180&lt;&gt;"Duplicate ID"),"Incomplete assessment",""),IF($J180="Config error","Config error",IF($O180="","Incomplete assessment",IF($M180="","As recommended",IF(ISERROR(MATCH($M180,Scales!$B$6:$B$10,0)),"Invalid choice",IF(MATCH($M180,Scales!$B$6:$B$10,0)&gt;MATCH($J180,Scales!$B$6:$B$10,0),"Above policy: needs sign-off",IF(MATCH($M180,Scales!$B$6:$B$10,0)&lt;MATCH($J180,Scales!$B$6:$B$10,0),"More cautious than policy","As recommended")))))))</f>
        <v/>
      </c>
      <c r="Q180" s="13" t="str">
        <f>IF(OR($O180="",Policy!$B$24&lt;&gt;"OK"),"",IFERROR(MIN($O180,INDEX(Policy!$C$5:$E$16,MATCH($F180&amp;"|"&amp;Scales!$B$33,Policy!$G$5:$G$16,0),MATCH($I180,Policy!$C$4:$E$4,0))),""))</f>
        <v/>
      </c>
      <c r="R180" s="5"/>
      <c r="S180" s="13" t="str">
        <f>IF($B180="","",IF(COUNTIF('Readiness gate'!$A$7:$A$36,$A180)&lt;&gt;1,"Incomplete",IFERROR(IF(VLOOKUP($A180,GateTab,IF($F180=Scales!$B$24,11,9),FALSE())="","Incomplete",VLOOKUP($A180,GateTab,IF($F180=Scales!$B$24,11,9),FALSE())),"Incomplete")))</f>
        <v/>
      </c>
      <c r="T180" s="8" t="str">
        <f>IF($O180="","",MIN(IF(AND($O180&gt;MATCH($J180,Scales!$B$6:$B$10,0)-1,$N180&lt;&gt;"Yes"),MATCH($J180,Scales!$B$6:$B$10,0)-1,$O180),$L180,IF($F180=Scales!$B$24,IF($S180="Passed",4,IF(NOT(ISNUMBER($R180)),0,IF(OR($R180&lt;0,$R180&gt;4,$R180&lt;&gt;INT($R180)),0,$R180))),IF(NOT(ISNUMBER($R180)),0,IF(OR($R180&lt;0,$R180&gt;4,$R180&lt;&gt;INT($R180)),0,$R180))+IF($S180="Passed",1,0)),IF(AND($F180&lt;&gt;Scales!$B$24,OR($F180=Scales!$B$27,$G180=Scales!$B$33)),3,4)))</f>
        <v/>
      </c>
      <c r="U180" s="13" t="str">
        <f>IF($O180="",IF(AND($B180&lt;&gt;"",$B180&lt;&gt;"Duplicate ID"),IF($J180="Config error","Config error","Incomplete assessment"),""),IF($T180&gt;=$O180,IF(LEFT($P180,4)="More","Own choice","None"),MID(IF(AND($O180&gt;MATCH($J180,Scales!$B$6:$B$10,0)-1,$N180&lt;&gt;"Yes",$T180=MATCH($J180,Scales!$B$6:$B$10,0)-1)," + Exception not approved","")&amp;IF(AND($F180&lt;&gt;Scales!$B$24,OR($F180=Scales!$B$27,$G180=Scales!$B$33),$T180=3)," + Human-signature guardrail","")&amp;IF($T180=$L180," + Model confidence","")&amp;IF($T180=IF($F180=Scales!$B$24,IF($S180="Passed",4,IF(NOT(ISNUMBER($R180)),0,IF(OR($R180&lt;0,$R180&gt;4,$R180&lt;&gt;INT($R180)),0,$R180))),IF(NOT(ISNUMBER($R180)),0,IF(OR($R180&lt;0,$R180&gt;4,$R180&lt;&gt;INT($R180)),0,$R180))+IF($S180="Passed",1,0))," + "&amp;IF($S180&lt;&gt;"Passed","Readiness gate","Readiness gate (one level per gate)"),""),4,200)))</f>
        <v/>
      </c>
      <c r="V180" s="23"/>
    </row>
    <row r="181" spans="1:22" x14ac:dyDescent="0.25">
      <c r="A181" s="8" t="s">
        <v>271</v>
      </c>
      <c r="B181" s="11" t="str">
        <f>IF($A181="","",IF(COUNTIF('Use cases'!$A$5:$A$34,$A181)&gt;1,"Duplicate ID",IFERROR(IF(VLOOKUP($A181,'Use cases'!$A$5:$B$34,2,FALSE())=0,"",VLOOKUP($A181,'Use cases'!$A$5:$B$34,2,FALSE())),"")))</f>
        <v/>
      </c>
      <c r="C181" s="12" t="str">
        <f>IF(OR($B181="",$B181="Duplicate ID"),"",IFERROR(VLOOKUP($A181,'Use cases'!$A$5:$C$34,3,FALSE()),""))</f>
        <v/>
      </c>
      <c r="D181" s="13" t="s">
        <v>117</v>
      </c>
      <c r="E181" s="23"/>
      <c r="F181" s="23"/>
      <c r="G181" s="24"/>
      <c r="H181" s="24"/>
      <c r="I181" s="13" t="str">
        <f>IF(OR($B181="",$B181="Duplicate ID"),"",IFERROR(VLOOKUP($A181,'Use cases'!$A$5:$E$34,5,FALSE()),""))</f>
        <v/>
      </c>
      <c r="J181" s="11" t="str">
        <f>IF(OR($B181="",$B181="Duplicate ID"),"",IF(OR($F181="",$G181=""),"",IF(Policy!$B$24&lt;&gt;"OK","Config error",IFERROR(INDEX(Scales!$B$6:$B$10,1+INDEX(Policy!$C$5:$E$16,MATCH($F181&amp;"|"&amp;$G181,Policy!$G$5:$G$16,0),MATCH($I181,Policy!$C$4:$E$4,0))),"Config error"))))</f>
        <v/>
      </c>
      <c r="K181" s="13" t="str">
        <f>IF($H181="","",IF($F181=Scales!$B$24,"exempt",IFERROR(IF(VLOOKUP($H181,Conf_Check,3,FALSE())="valid",VLOOKUP($H181,Conf_Adjust,2,FALSE()),"n/a"),"n/a")))</f>
        <v/>
      </c>
      <c r="L181" s="13" t="str">
        <f>IF(OR($J181="",$J181="Config error"),"",IF(OR($F181=Scales!$B$24,AND(ISNUMBER($K181),$K181=0)),4,IF(ISNUMBER($K181),MAX(1,MATCH($J181,Scales!$B$6:$B$10,0)-1+$K181),1)))</f>
        <v/>
      </c>
      <c r="M181" s="5"/>
      <c r="N181" s="5"/>
      <c r="O181" s="8" t="str">
        <f>IF(OR($J181="",$J181="Config error",$E181="",$F181="",$G181="",$H181="",$R181=""),"",IF($M181="",MATCH($J181,Scales!$B$6:$B$10,0),IFERROR(MATCH($M181,Scales!$B$6:$B$10,0),MATCH($J181,Scales!$B$6:$B$10,0)))-1)</f>
        <v/>
      </c>
      <c r="P181" s="12" t="str">
        <f>IF($J181="",IF(AND($B181&lt;&gt;"",$B181&lt;&gt;"Duplicate ID"),"Incomplete assessment",""),IF($J181="Config error","Config error",IF($O181="","Incomplete assessment",IF($M181="","As recommended",IF(ISERROR(MATCH($M181,Scales!$B$6:$B$10,0)),"Invalid choice",IF(MATCH($M181,Scales!$B$6:$B$10,0)&gt;MATCH($J181,Scales!$B$6:$B$10,0),"Above policy: needs sign-off",IF(MATCH($M181,Scales!$B$6:$B$10,0)&lt;MATCH($J181,Scales!$B$6:$B$10,0),"More cautious than policy","As recommended")))))))</f>
        <v/>
      </c>
      <c r="Q181" s="13" t="str">
        <f>IF(OR($O181="",Policy!$B$24&lt;&gt;"OK"),"",IFERROR(MIN($O181,INDEX(Policy!$C$5:$E$16,MATCH($F181&amp;"|"&amp;Scales!$B$33,Policy!$G$5:$G$16,0),MATCH($I181,Policy!$C$4:$E$4,0))),""))</f>
        <v/>
      </c>
      <c r="R181" s="5"/>
      <c r="S181" s="13" t="str">
        <f>IF($B181="","",IF(COUNTIF('Readiness gate'!$A$7:$A$36,$A181)&lt;&gt;1,"Incomplete",IFERROR(IF(VLOOKUP($A181,GateTab,IF($F181=Scales!$B$24,11,9),FALSE())="","Incomplete",VLOOKUP($A181,GateTab,IF($F181=Scales!$B$24,11,9),FALSE())),"Incomplete")))</f>
        <v/>
      </c>
      <c r="T181" s="8" t="str">
        <f>IF($O181="","",MIN(IF(AND($O181&gt;MATCH($J181,Scales!$B$6:$B$10,0)-1,$N181&lt;&gt;"Yes"),MATCH($J181,Scales!$B$6:$B$10,0)-1,$O181),$L181,IF($F181=Scales!$B$24,IF($S181="Passed",4,IF(NOT(ISNUMBER($R181)),0,IF(OR($R181&lt;0,$R181&gt;4,$R181&lt;&gt;INT($R181)),0,$R181))),IF(NOT(ISNUMBER($R181)),0,IF(OR($R181&lt;0,$R181&gt;4,$R181&lt;&gt;INT($R181)),0,$R181))+IF($S181="Passed",1,0)),IF(AND($F181&lt;&gt;Scales!$B$24,OR($F181=Scales!$B$27,$G181=Scales!$B$33)),3,4)))</f>
        <v/>
      </c>
      <c r="U181" s="13" t="str">
        <f>IF($O181="",IF(AND($B181&lt;&gt;"",$B181&lt;&gt;"Duplicate ID"),IF($J181="Config error","Config error","Incomplete assessment"),""),IF($T181&gt;=$O181,IF(LEFT($P181,4)="More","Own choice","None"),MID(IF(AND($O181&gt;MATCH($J181,Scales!$B$6:$B$10,0)-1,$N181&lt;&gt;"Yes",$T181=MATCH($J181,Scales!$B$6:$B$10,0)-1)," + Exception not approved","")&amp;IF(AND($F181&lt;&gt;Scales!$B$24,OR($F181=Scales!$B$27,$G181=Scales!$B$33),$T181=3)," + Human-signature guardrail","")&amp;IF($T181=$L181," + Model confidence","")&amp;IF($T181=IF($F181=Scales!$B$24,IF($S181="Passed",4,IF(NOT(ISNUMBER($R181)),0,IF(OR($R181&lt;0,$R181&gt;4,$R181&lt;&gt;INT($R181)),0,$R181))),IF(NOT(ISNUMBER($R181)),0,IF(OR($R181&lt;0,$R181&gt;4,$R181&lt;&gt;INT($R181)),0,$R181))+IF($S181="Passed",1,0))," + "&amp;IF($S181&lt;&gt;"Passed","Readiness gate","Readiness gate (one level per gate)"),""),4,200)))</f>
        <v/>
      </c>
      <c r="V181" s="23"/>
    </row>
    <row r="182" spans="1:22" x14ac:dyDescent="0.25">
      <c r="A182" s="8" t="s">
        <v>271</v>
      </c>
      <c r="B182" s="11" t="str">
        <f>IF($A182="","",IF(COUNTIF('Use cases'!$A$5:$A$34,$A182)&gt;1,"Duplicate ID",IFERROR(IF(VLOOKUP($A182,'Use cases'!$A$5:$B$34,2,FALSE())=0,"",VLOOKUP($A182,'Use cases'!$A$5:$B$34,2,FALSE())),"")))</f>
        <v/>
      </c>
      <c r="C182" s="12" t="str">
        <f>IF(OR($B182="",$B182="Duplicate ID"),"",IFERROR(VLOOKUP($A182,'Use cases'!$A$5:$C$34,3,FALSE()),""))</f>
        <v/>
      </c>
      <c r="D182" s="13" t="s">
        <v>120</v>
      </c>
      <c r="E182" s="23"/>
      <c r="F182" s="23"/>
      <c r="G182" s="24"/>
      <c r="H182" s="24"/>
      <c r="I182" s="13" t="str">
        <f>IF(OR($B182="",$B182="Duplicate ID"),"",IFERROR(VLOOKUP($A182,'Use cases'!$A$5:$E$34,5,FALSE()),""))</f>
        <v/>
      </c>
      <c r="J182" s="11" t="str">
        <f>IF(OR($B182="",$B182="Duplicate ID"),"",IF(OR($F182="",$G182=""),"",IF(Policy!$B$24&lt;&gt;"OK","Config error",IFERROR(INDEX(Scales!$B$6:$B$10,1+INDEX(Policy!$C$5:$E$16,MATCH($F182&amp;"|"&amp;$G182,Policy!$G$5:$G$16,0),MATCH($I182,Policy!$C$4:$E$4,0))),"Config error"))))</f>
        <v/>
      </c>
      <c r="K182" s="13" t="str">
        <f>IF($H182="","",IF($F182=Scales!$B$24,"exempt",IFERROR(IF(VLOOKUP($H182,Conf_Check,3,FALSE())="valid",VLOOKUP($H182,Conf_Adjust,2,FALSE()),"n/a"),"n/a")))</f>
        <v/>
      </c>
      <c r="L182" s="13" t="str">
        <f>IF(OR($J182="",$J182="Config error"),"",IF(OR($F182=Scales!$B$24,AND(ISNUMBER($K182),$K182=0)),4,IF(ISNUMBER($K182),MAX(1,MATCH($J182,Scales!$B$6:$B$10,0)-1+$K182),1)))</f>
        <v/>
      </c>
      <c r="M182" s="5"/>
      <c r="N182" s="5"/>
      <c r="O182" s="8" t="str">
        <f>IF(OR($J182="",$J182="Config error",$E182="",$F182="",$G182="",$H182="",$R182=""),"",IF($M182="",MATCH($J182,Scales!$B$6:$B$10,0),IFERROR(MATCH($M182,Scales!$B$6:$B$10,0),MATCH($J182,Scales!$B$6:$B$10,0)))-1)</f>
        <v/>
      </c>
      <c r="P182" s="12" t="str">
        <f>IF($J182="",IF(AND($B182&lt;&gt;"",$B182&lt;&gt;"Duplicate ID"),"Incomplete assessment",""),IF($J182="Config error","Config error",IF($O182="","Incomplete assessment",IF($M182="","As recommended",IF(ISERROR(MATCH($M182,Scales!$B$6:$B$10,0)),"Invalid choice",IF(MATCH($M182,Scales!$B$6:$B$10,0)&gt;MATCH($J182,Scales!$B$6:$B$10,0),"Above policy: needs sign-off",IF(MATCH($M182,Scales!$B$6:$B$10,0)&lt;MATCH($J182,Scales!$B$6:$B$10,0),"More cautious than policy","As recommended")))))))</f>
        <v/>
      </c>
      <c r="Q182" s="13" t="str">
        <f>IF(OR($O182="",Policy!$B$24&lt;&gt;"OK"),"",IFERROR(MIN($O182,INDEX(Policy!$C$5:$E$16,MATCH($F182&amp;"|"&amp;Scales!$B$33,Policy!$G$5:$G$16,0),MATCH($I182,Policy!$C$4:$E$4,0))),""))</f>
        <v/>
      </c>
      <c r="R182" s="5"/>
      <c r="S182" s="13" t="str">
        <f>IF($B182="","",IF(COUNTIF('Readiness gate'!$A$7:$A$36,$A182)&lt;&gt;1,"Incomplete",IFERROR(IF(VLOOKUP($A182,GateTab,IF($F182=Scales!$B$24,11,9),FALSE())="","Incomplete",VLOOKUP($A182,GateTab,IF($F182=Scales!$B$24,11,9),FALSE())),"Incomplete")))</f>
        <v/>
      </c>
      <c r="T182" s="8" t="str">
        <f>IF($O182="","",MIN(IF(AND($O182&gt;MATCH($J182,Scales!$B$6:$B$10,0)-1,$N182&lt;&gt;"Yes"),MATCH($J182,Scales!$B$6:$B$10,0)-1,$O182),$L182,IF($F182=Scales!$B$24,IF($S182="Passed",4,IF(NOT(ISNUMBER($R182)),0,IF(OR($R182&lt;0,$R182&gt;4,$R182&lt;&gt;INT($R182)),0,$R182))),IF(NOT(ISNUMBER($R182)),0,IF(OR($R182&lt;0,$R182&gt;4,$R182&lt;&gt;INT($R182)),0,$R182))+IF($S182="Passed",1,0)),IF(AND($F182&lt;&gt;Scales!$B$24,OR($F182=Scales!$B$27,$G182=Scales!$B$33)),3,4)))</f>
        <v/>
      </c>
      <c r="U182" s="13" t="str">
        <f>IF($O182="",IF(AND($B182&lt;&gt;"",$B182&lt;&gt;"Duplicate ID"),IF($J182="Config error","Config error","Incomplete assessment"),""),IF($T182&gt;=$O182,IF(LEFT($P182,4)="More","Own choice","None"),MID(IF(AND($O182&gt;MATCH($J182,Scales!$B$6:$B$10,0)-1,$N182&lt;&gt;"Yes",$T182=MATCH($J182,Scales!$B$6:$B$10,0)-1)," + Exception not approved","")&amp;IF(AND($F182&lt;&gt;Scales!$B$24,OR($F182=Scales!$B$27,$G182=Scales!$B$33),$T182=3)," + Human-signature guardrail","")&amp;IF($T182=$L182," + Model confidence","")&amp;IF($T182=IF($F182=Scales!$B$24,IF($S182="Passed",4,IF(NOT(ISNUMBER($R182)),0,IF(OR($R182&lt;0,$R182&gt;4,$R182&lt;&gt;INT($R182)),0,$R182))),IF(NOT(ISNUMBER($R182)),0,IF(OR($R182&lt;0,$R182&gt;4,$R182&lt;&gt;INT($R182)),0,$R182))+IF($S182="Passed",1,0))," + "&amp;IF($S182&lt;&gt;"Passed","Readiness gate","Readiness gate (one level per gate)"),""),4,200)))</f>
        <v/>
      </c>
      <c r="V182" s="23"/>
    </row>
    <row r="183" spans="1:22" x14ac:dyDescent="0.25">
      <c r="A183" s="8" t="s">
        <v>271</v>
      </c>
      <c r="B183" s="11" t="str">
        <f>IF($A183="","",IF(COUNTIF('Use cases'!$A$5:$A$34,$A183)&gt;1,"Duplicate ID",IFERROR(IF(VLOOKUP($A183,'Use cases'!$A$5:$B$34,2,FALSE())=0,"",VLOOKUP($A183,'Use cases'!$A$5:$B$34,2,FALSE())),"")))</f>
        <v/>
      </c>
      <c r="C183" s="12" t="str">
        <f>IF(OR($B183="",$B183="Duplicate ID"),"",IFERROR(VLOOKUP($A183,'Use cases'!$A$5:$C$34,3,FALSE()),""))</f>
        <v/>
      </c>
      <c r="D183" s="13" t="s">
        <v>123</v>
      </c>
      <c r="E183" s="23"/>
      <c r="F183" s="23"/>
      <c r="G183" s="24"/>
      <c r="H183" s="24"/>
      <c r="I183" s="13" t="str">
        <f>IF(OR($B183="",$B183="Duplicate ID"),"",IFERROR(VLOOKUP($A183,'Use cases'!$A$5:$E$34,5,FALSE()),""))</f>
        <v/>
      </c>
      <c r="J183" s="11" t="str">
        <f>IF(OR($B183="",$B183="Duplicate ID"),"",IF(OR($F183="",$G183=""),"",IF(Policy!$B$24&lt;&gt;"OK","Config error",IFERROR(INDEX(Scales!$B$6:$B$10,1+INDEX(Policy!$C$5:$E$16,MATCH($F183&amp;"|"&amp;$G183,Policy!$G$5:$G$16,0),MATCH($I183,Policy!$C$4:$E$4,0))),"Config error"))))</f>
        <v/>
      </c>
      <c r="K183" s="13" t="str">
        <f>IF($H183="","",IF($F183=Scales!$B$24,"exempt",IFERROR(IF(VLOOKUP($H183,Conf_Check,3,FALSE())="valid",VLOOKUP($H183,Conf_Adjust,2,FALSE()),"n/a"),"n/a")))</f>
        <v/>
      </c>
      <c r="L183" s="13" t="str">
        <f>IF(OR($J183="",$J183="Config error"),"",IF(OR($F183=Scales!$B$24,AND(ISNUMBER($K183),$K183=0)),4,IF(ISNUMBER($K183),MAX(1,MATCH($J183,Scales!$B$6:$B$10,0)-1+$K183),1)))</f>
        <v/>
      </c>
      <c r="M183" s="5"/>
      <c r="N183" s="5"/>
      <c r="O183" s="8" t="str">
        <f>IF(OR($J183="",$J183="Config error",$E183="",$F183="",$G183="",$H183="",$R183=""),"",IF($M183="",MATCH($J183,Scales!$B$6:$B$10,0),IFERROR(MATCH($M183,Scales!$B$6:$B$10,0),MATCH($J183,Scales!$B$6:$B$10,0)))-1)</f>
        <v/>
      </c>
      <c r="P183" s="12" t="str">
        <f>IF($J183="",IF(AND($B183&lt;&gt;"",$B183&lt;&gt;"Duplicate ID"),"Incomplete assessment",""),IF($J183="Config error","Config error",IF($O183="","Incomplete assessment",IF($M183="","As recommended",IF(ISERROR(MATCH($M183,Scales!$B$6:$B$10,0)),"Invalid choice",IF(MATCH($M183,Scales!$B$6:$B$10,0)&gt;MATCH($J183,Scales!$B$6:$B$10,0),"Above policy: needs sign-off",IF(MATCH($M183,Scales!$B$6:$B$10,0)&lt;MATCH($J183,Scales!$B$6:$B$10,0),"More cautious than policy","As recommended")))))))</f>
        <v/>
      </c>
      <c r="Q183" s="13" t="str">
        <f>IF(OR($O183="",Policy!$B$24&lt;&gt;"OK"),"",IFERROR(MIN($O183,INDEX(Policy!$C$5:$E$16,MATCH($F183&amp;"|"&amp;Scales!$B$33,Policy!$G$5:$G$16,0),MATCH($I183,Policy!$C$4:$E$4,0))),""))</f>
        <v/>
      </c>
      <c r="R183" s="5"/>
      <c r="S183" s="13" t="str">
        <f>IF($B183="","",IF(COUNTIF('Readiness gate'!$A$7:$A$36,$A183)&lt;&gt;1,"Incomplete",IFERROR(IF(VLOOKUP($A183,GateTab,IF($F183=Scales!$B$24,11,9),FALSE())="","Incomplete",VLOOKUP($A183,GateTab,IF($F183=Scales!$B$24,11,9),FALSE())),"Incomplete")))</f>
        <v/>
      </c>
      <c r="T183" s="8" t="str">
        <f>IF($O183="","",MIN(IF(AND($O183&gt;MATCH($J183,Scales!$B$6:$B$10,0)-1,$N183&lt;&gt;"Yes"),MATCH($J183,Scales!$B$6:$B$10,0)-1,$O183),$L183,IF($F183=Scales!$B$24,IF($S183="Passed",4,IF(NOT(ISNUMBER($R183)),0,IF(OR($R183&lt;0,$R183&gt;4,$R183&lt;&gt;INT($R183)),0,$R183))),IF(NOT(ISNUMBER($R183)),0,IF(OR($R183&lt;0,$R183&gt;4,$R183&lt;&gt;INT($R183)),0,$R183))+IF($S183="Passed",1,0)),IF(AND($F183&lt;&gt;Scales!$B$24,OR($F183=Scales!$B$27,$G183=Scales!$B$33)),3,4)))</f>
        <v/>
      </c>
      <c r="U183" s="13" t="str">
        <f>IF($O183="",IF(AND($B183&lt;&gt;"",$B183&lt;&gt;"Duplicate ID"),IF($J183="Config error","Config error","Incomplete assessment"),""),IF($T183&gt;=$O183,IF(LEFT($P183,4)="More","Own choice","None"),MID(IF(AND($O183&gt;MATCH($J183,Scales!$B$6:$B$10,0)-1,$N183&lt;&gt;"Yes",$T183=MATCH($J183,Scales!$B$6:$B$10,0)-1)," + Exception not approved","")&amp;IF(AND($F183&lt;&gt;Scales!$B$24,OR($F183=Scales!$B$27,$G183=Scales!$B$33),$T183=3)," + Human-signature guardrail","")&amp;IF($T183=$L183," + Model confidence","")&amp;IF($T183=IF($F183=Scales!$B$24,IF($S183="Passed",4,IF(NOT(ISNUMBER($R183)),0,IF(OR($R183&lt;0,$R183&gt;4,$R183&lt;&gt;INT($R183)),0,$R183))),IF(NOT(ISNUMBER($R183)),0,IF(OR($R183&lt;0,$R183&gt;4,$R183&lt;&gt;INT($R183)),0,$R183))+IF($S183="Passed",1,0))," + "&amp;IF($S183&lt;&gt;"Passed","Readiness gate","Readiness gate (one level per gate)"),""),4,200)))</f>
        <v/>
      </c>
      <c r="V183" s="23"/>
    </row>
    <row r="184" spans="1:22" x14ac:dyDescent="0.25">
      <c r="A184" s="8" t="s">
        <v>271</v>
      </c>
      <c r="B184" s="11" t="str">
        <f>IF($A184="","",IF(COUNTIF('Use cases'!$A$5:$A$34,$A184)&gt;1,"Duplicate ID",IFERROR(IF(VLOOKUP($A184,'Use cases'!$A$5:$B$34,2,FALSE())=0,"",VLOOKUP($A184,'Use cases'!$A$5:$B$34,2,FALSE())),"")))</f>
        <v/>
      </c>
      <c r="C184" s="12" t="str">
        <f>IF(OR($B184="",$B184="Duplicate ID"),"",IFERROR(VLOOKUP($A184,'Use cases'!$A$5:$C$34,3,FALSE()),""))</f>
        <v/>
      </c>
      <c r="D184" s="13" t="s">
        <v>125</v>
      </c>
      <c r="E184" s="23"/>
      <c r="F184" s="23"/>
      <c r="G184" s="24"/>
      <c r="H184" s="24"/>
      <c r="I184" s="13" t="str">
        <f>IF(OR($B184="",$B184="Duplicate ID"),"",IFERROR(VLOOKUP($A184,'Use cases'!$A$5:$E$34,5,FALSE()),""))</f>
        <v/>
      </c>
      <c r="J184" s="11" t="str">
        <f>IF(OR($B184="",$B184="Duplicate ID"),"",IF(OR($F184="",$G184=""),"",IF(Policy!$B$24&lt;&gt;"OK","Config error",IFERROR(INDEX(Scales!$B$6:$B$10,1+INDEX(Policy!$C$5:$E$16,MATCH($F184&amp;"|"&amp;$G184,Policy!$G$5:$G$16,0),MATCH($I184,Policy!$C$4:$E$4,0))),"Config error"))))</f>
        <v/>
      </c>
      <c r="K184" s="13" t="str">
        <f>IF($H184="","",IF($F184=Scales!$B$24,"exempt",IFERROR(IF(VLOOKUP($H184,Conf_Check,3,FALSE())="valid",VLOOKUP($H184,Conf_Adjust,2,FALSE()),"n/a"),"n/a")))</f>
        <v/>
      </c>
      <c r="L184" s="13" t="str">
        <f>IF(OR($J184="",$J184="Config error"),"",IF(OR($F184=Scales!$B$24,AND(ISNUMBER($K184),$K184=0)),4,IF(ISNUMBER($K184),MAX(1,MATCH($J184,Scales!$B$6:$B$10,0)-1+$K184),1)))</f>
        <v/>
      </c>
      <c r="M184" s="5"/>
      <c r="N184" s="5"/>
      <c r="O184" s="8" t="str">
        <f>IF(OR($J184="",$J184="Config error",$E184="",$F184="",$G184="",$H184="",$R184=""),"",IF($M184="",MATCH($J184,Scales!$B$6:$B$10,0),IFERROR(MATCH($M184,Scales!$B$6:$B$10,0),MATCH($J184,Scales!$B$6:$B$10,0)))-1)</f>
        <v/>
      </c>
      <c r="P184" s="12" t="str">
        <f>IF($J184="",IF(AND($B184&lt;&gt;"",$B184&lt;&gt;"Duplicate ID"),"Incomplete assessment",""),IF($J184="Config error","Config error",IF($O184="","Incomplete assessment",IF($M184="","As recommended",IF(ISERROR(MATCH($M184,Scales!$B$6:$B$10,0)),"Invalid choice",IF(MATCH($M184,Scales!$B$6:$B$10,0)&gt;MATCH($J184,Scales!$B$6:$B$10,0),"Above policy: needs sign-off",IF(MATCH($M184,Scales!$B$6:$B$10,0)&lt;MATCH($J184,Scales!$B$6:$B$10,0),"More cautious than policy","As recommended")))))))</f>
        <v/>
      </c>
      <c r="Q184" s="13" t="str">
        <f>IF(OR($O184="",Policy!$B$24&lt;&gt;"OK"),"",IFERROR(MIN($O184,INDEX(Policy!$C$5:$E$16,MATCH($F184&amp;"|"&amp;Scales!$B$33,Policy!$G$5:$G$16,0),MATCH($I184,Policy!$C$4:$E$4,0))),""))</f>
        <v/>
      </c>
      <c r="R184" s="5"/>
      <c r="S184" s="13" t="str">
        <f>IF($B184="","",IF(COUNTIF('Readiness gate'!$A$7:$A$36,$A184)&lt;&gt;1,"Incomplete",IFERROR(IF(VLOOKUP($A184,GateTab,IF($F184=Scales!$B$24,11,9),FALSE())="","Incomplete",VLOOKUP($A184,GateTab,IF($F184=Scales!$B$24,11,9),FALSE())),"Incomplete")))</f>
        <v/>
      </c>
      <c r="T184" s="8" t="str">
        <f>IF($O184="","",MIN(IF(AND($O184&gt;MATCH($J184,Scales!$B$6:$B$10,0)-1,$N184&lt;&gt;"Yes"),MATCH($J184,Scales!$B$6:$B$10,0)-1,$O184),$L184,IF($F184=Scales!$B$24,IF($S184="Passed",4,IF(NOT(ISNUMBER($R184)),0,IF(OR($R184&lt;0,$R184&gt;4,$R184&lt;&gt;INT($R184)),0,$R184))),IF(NOT(ISNUMBER($R184)),0,IF(OR($R184&lt;0,$R184&gt;4,$R184&lt;&gt;INT($R184)),0,$R184))+IF($S184="Passed",1,0)),IF(AND($F184&lt;&gt;Scales!$B$24,OR($F184=Scales!$B$27,$G184=Scales!$B$33)),3,4)))</f>
        <v/>
      </c>
      <c r="U184" s="13" t="str">
        <f>IF($O184="",IF(AND($B184&lt;&gt;"",$B184&lt;&gt;"Duplicate ID"),IF($J184="Config error","Config error","Incomplete assessment"),""),IF($T184&gt;=$O184,IF(LEFT($P184,4)="More","Own choice","None"),MID(IF(AND($O184&gt;MATCH($J184,Scales!$B$6:$B$10,0)-1,$N184&lt;&gt;"Yes",$T184=MATCH($J184,Scales!$B$6:$B$10,0)-1)," + Exception not approved","")&amp;IF(AND($F184&lt;&gt;Scales!$B$24,OR($F184=Scales!$B$27,$G184=Scales!$B$33),$T184=3)," + Human-signature guardrail","")&amp;IF($T184=$L184," + Model confidence","")&amp;IF($T184=IF($F184=Scales!$B$24,IF($S184="Passed",4,IF(NOT(ISNUMBER($R184)),0,IF(OR($R184&lt;0,$R184&gt;4,$R184&lt;&gt;INT($R184)),0,$R184))),IF(NOT(ISNUMBER($R184)),0,IF(OR($R184&lt;0,$R184&gt;4,$R184&lt;&gt;INT($R184)),0,$R184))+IF($S184="Passed",1,0))," + "&amp;IF($S184&lt;&gt;"Passed","Readiness gate","Readiness gate (one level per gate)"),""),4,200)))</f>
        <v/>
      </c>
      <c r="V184" s="23"/>
    </row>
    <row r="185" spans="1:22" x14ac:dyDescent="0.25">
      <c r="A185" s="8" t="s">
        <v>271</v>
      </c>
      <c r="B185" s="11" t="str">
        <f>IF($A185="","",IF(COUNTIF('Use cases'!$A$5:$A$34,$A185)&gt;1,"Duplicate ID",IFERROR(IF(VLOOKUP($A185,'Use cases'!$A$5:$B$34,2,FALSE())=0,"",VLOOKUP($A185,'Use cases'!$A$5:$B$34,2,FALSE())),"")))</f>
        <v/>
      </c>
      <c r="C185" s="12" t="str">
        <f>IF(OR($B185="",$B185="Duplicate ID"),"",IFERROR(VLOOKUP($A185,'Use cases'!$A$5:$C$34,3,FALSE()),""))</f>
        <v/>
      </c>
      <c r="D185" s="13" t="s">
        <v>127</v>
      </c>
      <c r="E185" s="23"/>
      <c r="F185" s="23"/>
      <c r="G185" s="24"/>
      <c r="H185" s="24"/>
      <c r="I185" s="13" t="str">
        <f>IF(OR($B185="",$B185="Duplicate ID"),"",IFERROR(VLOOKUP($A185,'Use cases'!$A$5:$E$34,5,FALSE()),""))</f>
        <v/>
      </c>
      <c r="J185" s="11" t="str">
        <f>IF(OR($B185="",$B185="Duplicate ID"),"",IF(OR($F185="",$G185=""),"",IF(Policy!$B$24&lt;&gt;"OK","Config error",IFERROR(INDEX(Scales!$B$6:$B$10,1+INDEX(Policy!$C$5:$E$16,MATCH($F185&amp;"|"&amp;$G185,Policy!$G$5:$G$16,0),MATCH($I185,Policy!$C$4:$E$4,0))),"Config error"))))</f>
        <v/>
      </c>
      <c r="K185" s="13" t="str">
        <f>IF($H185="","",IF($F185=Scales!$B$24,"exempt",IFERROR(IF(VLOOKUP($H185,Conf_Check,3,FALSE())="valid",VLOOKUP($H185,Conf_Adjust,2,FALSE()),"n/a"),"n/a")))</f>
        <v/>
      </c>
      <c r="L185" s="13" t="str">
        <f>IF(OR($J185="",$J185="Config error"),"",IF(OR($F185=Scales!$B$24,AND(ISNUMBER($K185),$K185=0)),4,IF(ISNUMBER($K185),MAX(1,MATCH($J185,Scales!$B$6:$B$10,0)-1+$K185),1)))</f>
        <v/>
      </c>
      <c r="M185" s="5"/>
      <c r="N185" s="5"/>
      <c r="O185" s="8" t="str">
        <f>IF(OR($J185="",$J185="Config error",$E185="",$F185="",$G185="",$H185="",$R185=""),"",IF($M185="",MATCH($J185,Scales!$B$6:$B$10,0),IFERROR(MATCH($M185,Scales!$B$6:$B$10,0),MATCH($J185,Scales!$B$6:$B$10,0)))-1)</f>
        <v/>
      </c>
      <c r="P185" s="12" t="str">
        <f>IF($J185="",IF(AND($B185&lt;&gt;"",$B185&lt;&gt;"Duplicate ID"),"Incomplete assessment",""),IF($J185="Config error","Config error",IF($O185="","Incomplete assessment",IF($M185="","As recommended",IF(ISERROR(MATCH($M185,Scales!$B$6:$B$10,0)),"Invalid choice",IF(MATCH($M185,Scales!$B$6:$B$10,0)&gt;MATCH($J185,Scales!$B$6:$B$10,0),"Above policy: needs sign-off",IF(MATCH($M185,Scales!$B$6:$B$10,0)&lt;MATCH($J185,Scales!$B$6:$B$10,0),"More cautious than policy","As recommended")))))))</f>
        <v/>
      </c>
      <c r="Q185" s="13" t="str">
        <f>IF(OR($O185="",Policy!$B$24&lt;&gt;"OK"),"",IFERROR(MIN($O185,INDEX(Policy!$C$5:$E$16,MATCH($F185&amp;"|"&amp;Scales!$B$33,Policy!$G$5:$G$16,0),MATCH($I185,Policy!$C$4:$E$4,0))),""))</f>
        <v/>
      </c>
      <c r="R185" s="5"/>
      <c r="S185" s="13" t="str">
        <f>IF($B185="","",IF(COUNTIF('Readiness gate'!$A$7:$A$36,$A185)&lt;&gt;1,"Incomplete",IFERROR(IF(VLOOKUP($A185,GateTab,IF($F185=Scales!$B$24,11,9),FALSE())="","Incomplete",VLOOKUP($A185,GateTab,IF($F185=Scales!$B$24,11,9),FALSE())),"Incomplete")))</f>
        <v/>
      </c>
      <c r="T185" s="8" t="str">
        <f>IF($O185="","",MIN(IF(AND($O185&gt;MATCH($J185,Scales!$B$6:$B$10,0)-1,$N185&lt;&gt;"Yes"),MATCH($J185,Scales!$B$6:$B$10,0)-1,$O185),$L185,IF($F185=Scales!$B$24,IF($S185="Passed",4,IF(NOT(ISNUMBER($R185)),0,IF(OR($R185&lt;0,$R185&gt;4,$R185&lt;&gt;INT($R185)),0,$R185))),IF(NOT(ISNUMBER($R185)),0,IF(OR($R185&lt;0,$R185&gt;4,$R185&lt;&gt;INT($R185)),0,$R185))+IF($S185="Passed",1,0)),IF(AND($F185&lt;&gt;Scales!$B$24,OR($F185=Scales!$B$27,$G185=Scales!$B$33)),3,4)))</f>
        <v/>
      </c>
      <c r="U185" s="13" t="str">
        <f>IF($O185="",IF(AND($B185&lt;&gt;"",$B185&lt;&gt;"Duplicate ID"),IF($J185="Config error","Config error","Incomplete assessment"),""),IF($T185&gt;=$O185,IF(LEFT($P185,4)="More","Own choice","None"),MID(IF(AND($O185&gt;MATCH($J185,Scales!$B$6:$B$10,0)-1,$N185&lt;&gt;"Yes",$T185=MATCH($J185,Scales!$B$6:$B$10,0)-1)," + Exception not approved","")&amp;IF(AND($F185&lt;&gt;Scales!$B$24,OR($F185=Scales!$B$27,$G185=Scales!$B$33),$T185=3)," + Human-signature guardrail","")&amp;IF($T185=$L185," + Model confidence","")&amp;IF($T185=IF($F185=Scales!$B$24,IF($S185="Passed",4,IF(NOT(ISNUMBER($R185)),0,IF(OR($R185&lt;0,$R185&gt;4,$R185&lt;&gt;INT($R185)),0,$R185))),IF(NOT(ISNUMBER($R185)),0,IF(OR($R185&lt;0,$R185&gt;4,$R185&lt;&gt;INT($R185)),0,$R185))+IF($S185="Passed",1,0))," + "&amp;IF($S185&lt;&gt;"Passed","Readiness gate","Readiness gate (one level per gate)"),""),4,200)))</f>
        <v/>
      </c>
      <c r="V185" s="23"/>
    </row>
  </sheetData>
  <autoFilter ref="A5:V185" xr:uid="{00000000-0009-0000-0000-000002000000}"/>
  <conditionalFormatting sqref="K6:K185">
    <cfRule type="expression" dxfId="41" priority="23">
      <formula>OR($K6="n/a",AND(ISNUMBER($K6),$K6&lt;0))</formula>
    </cfRule>
  </conditionalFormatting>
  <conditionalFormatting sqref="L6:L185">
    <cfRule type="expression" dxfId="40" priority="24">
      <formula>AND(ISNUMBER($L6),ISNUMBER($O6),$L6&lt;$O6)</formula>
    </cfRule>
  </conditionalFormatting>
  <conditionalFormatting sqref="O6:O185">
    <cfRule type="expression" dxfId="39" priority="2">
      <formula>AND(ISNUMBER(O6),O6=0)</formula>
    </cfRule>
    <cfRule type="expression" dxfId="38" priority="3">
      <formula>AND(ISNUMBER(O6),O6=1)</formula>
    </cfRule>
    <cfRule type="expression" dxfId="37" priority="4">
      <formula>AND(ISNUMBER(O6),O6=2)</formula>
    </cfRule>
    <cfRule type="expression" dxfId="36" priority="5">
      <formula>AND(ISNUMBER(O6),O6=3)</formula>
    </cfRule>
    <cfRule type="expression" dxfId="35" priority="6">
      <formula>AND(ISNUMBER(O6),O6=4)</formula>
    </cfRule>
  </conditionalFormatting>
  <conditionalFormatting sqref="P6:P185">
    <cfRule type="expression" dxfId="34" priority="17">
      <formula>OR(LEFT($P6,5)="Above",LEFT($P6,7)="Invalid",$P6="Config error")</formula>
    </cfRule>
    <cfRule type="expression" dxfId="33" priority="18">
      <formula>LEFT($P6,4)="More"</formula>
    </cfRule>
    <cfRule type="expression" dxfId="32" priority="31">
      <formula>$P6="Incomplete assessment"</formula>
    </cfRule>
  </conditionalFormatting>
  <conditionalFormatting sqref="Q6:Q185">
    <cfRule type="expression" dxfId="31" priority="7">
      <formula>AND(ISNUMBER(Q6),Q6=0)</formula>
    </cfRule>
    <cfRule type="expression" dxfId="30" priority="8">
      <formula>AND(ISNUMBER(Q6),Q6=1)</formula>
    </cfRule>
    <cfRule type="expression" dxfId="29" priority="9">
      <formula>AND(ISNUMBER(Q6),Q6=2)</formula>
    </cfRule>
    <cfRule type="expression" dxfId="28" priority="10">
      <formula>AND(ISNUMBER(Q6),Q6=3)</formula>
    </cfRule>
    <cfRule type="expression" dxfId="27" priority="11">
      <formula>AND(ISNUMBER(Q6),Q6=4)</formula>
    </cfRule>
  </conditionalFormatting>
  <conditionalFormatting sqref="R6:R185">
    <cfRule type="expression" dxfId="26" priority="19">
      <formula>AND($R6&lt;&gt;"",IF(NOT(ISNUMBER($R6)),1,OR($R6&lt;0,$R6&gt;4,$R6&lt;&gt;INT($R6))))</formula>
    </cfRule>
    <cfRule type="expression" dxfId="25" priority="20">
      <formula>AND(ISNUMBER($R6),ISNUMBER($T6),$R6&gt;$T6)</formula>
    </cfRule>
  </conditionalFormatting>
  <conditionalFormatting sqref="S6:S185">
    <cfRule type="expression" dxfId="24" priority="21">
      <formula>$S6="Not passed"</formula>
    </cfRule>
    <cfRule type="expression" dxfId="23" priority="22">
      <formula>$S6="Passed"</formula>
    </cfRule>
  </conditionalFormatting>
  <conditionalFormatting sqref="T6:T185">
    <cfRule type="expression" dxfId="22" priority="12">
      <formula>AND(ISNUMBER(T6),T6=0)</formula>
    </cfRule>
    <cfRule type="expression" dxfId="21" priority="13">
      <formula>AND(ISNUMBER(T6),T6=1)</formula>
    </cfRule>
    <cfRule type="expression" dxfId="20" priority="14">
      <formula>AND(ISNUMBER(T6),T6=2)</formula>
    </cfRule>
    <cfRule type="expression" dxfId="19" priority="15">
      <formula>AND(ISNUMBER(T6),T6=3)</formula>
    </cfRule>
    <cfRule type="expression" dxfId="18" priority="16">
      <formula>AND(ISNUMBER(T6),T6=4)</formula>
    </cfRule>
  </conditionalFormatting>
  <conditionalFormatting sqref="U6:U185">
    <cfRule type="expression" dxfId="17" priority="25">
      <formula>ISNUMBER(SEARCH("Model confidence",$U6))</formula>
    </cfRule>
    <cfRule type="expression" dxfId="16" priority="26">
      <formula>ISNUMBER(SEARCH("Exception not approved",$U6))</formula>
    </cfRule>
    <cfRule type="expression" dxfId="15" priority="27">
      <formula>ISNUMBER(SEARCH("Human-signature guardrail",$U6))</formula>
    </cfRule>
    <cfRule type="expression" dxfId="14" priority="28">
      <formula>LEFT($U6,9)="Readiness"</formula>
    </cfRule>
    <cfRule type="expression" dxfId="13" priority="29">
      <formula>$U6="Incomplete assessment"</formula>
    </cfRule>
    <cfRule type="expression" dxfId="12" priority="30">
      <formula>$U6="Config error"</formula>
    </cfRule>
  </conditionalFormatting>
  <dataValidations count="7">
    <dataValidation type="list" allowBlank="1" showErrorMessage="1" errorTitle="Invalid value" error="Please pick a value from the list." sqref="D6:D185" xr:uid="{00000000-0002-0000-0200-000000000000}">
      <formula1>List_Steps</formula1>
      <formula2>0</formula2>
    </dataValidation>
    <dataValidation type="list" allowBlank="1" showErrorMessage="1" errorTitle="Invalid value" error="Please pick a value from the list." sqref="F6:F185" xr:uid="{00000000-0002-0000-0200-000001000000}">
      <formula1>List_Reversibility</formula1>
      <formula2>0</formula2>
    </dataValidation>
    <dataValidation type="list" allowBlank="1" showErrorMessage="1" errorTitle="Invalid value" error="Please pick a value from the list." sqref="G6:G185" xr:uid="{00000000-0002-0000-0200-000002000000}">
      <formula1>List_Blast</formula1>
      <formula2>0</formula2>
    </dataValidation>
    <dataValidation type="list" allowBlank="1" showErrorMessage="1" errorTitle="Invalid value" error="Please pick a value from the list." sqref="H6:H185" xr:uid="{00000000-0002-0000-0200-000003000000}">
      <formula1>List_Confidence</formula1>
      <formula2>0</formula2>
    </dataValidation>
    <dataValidation type="list" allowBlank="1" showErrorMessage="1" errorTitle="Invalid value" error="Please pick a value from the list." sqref="M6:M185" xr:uid="{00000000-0002-0000-0200-000004000000}">
      <formula1>List_Levels</formula1>
      <formula2>0</formula2>
    </dataValidation>
    <dataValidation type="list" allowBlank="1" showErrorMessage="1" errorTitle="Invalid value" error="Please pick a value from the list." sqref="N6:N185" xr:uid="{00000000-0002-0000-0200-000005000000}">
      <formula1>List_YesNo</formula1>
      <formula2>0</formula2>
    </dataValidation>
    <dataValidation type="whole" showErrorMessage="1" errorTitle="Invalid value" error="Whole levels 0 to 4 (L5 stays in test and detection engineering)." sqref="R6:R185" xr:uid="{00000000-0002-0000-0200-000006000000}">
      <formula1>0</formula1>
      <formula2>4</formula2>
    </dataValidation>
  </dataValidations>
  <pageMargins left="0.75" right="0.75" top="1" bottom="1" header="0.511811023622047" footer="0.511811023622047"/>
  <pageSetup paperSize="9" fitToWidth="2"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34"/>
  <sheetViews>
    <sheetView showGridLines="0" zoomScaleNormal="100" zoomScalePageLayoutView="60" workbookViewId="0">
      <pane ySplit="4" topLeftCell="A5" activePane="bottomLeft" state="frozen"/>
      <selection pane="bottomLeft" activeCell="A5" sqref="A5"/>
    </sheetView>
  </sheetViews>
  <sheetFormatPr baseColWidth="10" defaultColWidth="8.7109375" defaultRowHeight="15" x14ac:dyDescent="0.25"/>
  <cols>
    <col min="1" max="1" width="8" customWidth="1"/>
    <col min="2" max="2" width="44" customWidth="1"/>
    <col min="3" max="3" width="24" customWidth="1"/>
    <col min="4" max="4" width="22" customWidth="1"/>
    <col min="5" max="5" width="16" customWidth="1"/>
    <col min="6" max="6" width="62" customWidth="1"/>
    <col min="7" max="7" width="12" customWidth="1"/>
  </cols>
  <sheetData>
    <row r="1" spans="1:7" ht="24" customHeight="1" x14ac:dyDescent="0.35">
      <c r="A1" s="1" t="s">
        <v>18</v>
      </c>
    </row>
    <row r="2" spans="1:7" x14ac:dyDescent="0.25">
      <c r="A2" s="2" t="s">
        <v>272</v>
      </c>
    </row>
    <row r="4" spans="1:7" ht="25.5" customHeight="1" x14ac:dyDescent="0.25">
      <c r="A4" s="10" t="s">
        <v>83</v>
      </c>
      <c r="B4" s="10" t="s">
        <v>84</v>
      </c>
      <c r="C4" s="10" t="s">
        <v>85</v>
      </c>
      <c r="D4" s="10" t="s">
        <v>273</v>
      </c>
      <c r="E4" s="10" t="s">
        <v>274</v>
      </c>
      <c r="F4" s="10" t="s">
        <v>110</v>
      </c>
      <c r="G4" s="10" t="s">
        <v>275</v>
      </c>
    </row>
    <row r="5" spans="1:7" ht="24" x14ac:dyDescent="0.25">
      <c r="A5" s="8" t="s">
        <v>111</v>
      </c>
      <c r="B5" s="23" t="s">
        <v>276</v>
      </c>
      <c r="C5" s="23" t="s">
        <v>277</v>
      </c>
      <c r="D5" s="5" t="s">
        <v>278</v>
      </c>
      <c r="E5" s="13" t="str">
        <f>IF($A5="","",IF($D5="",'Autonomy map'!$C$4,$D5))</f>
        <v>Progressive</v>
      </c>
      <c r="F5" s="31" t="s">
        <v>279</v>
      </c>
      <c r="G5" s="13" t="str">
        <f t="shared" ref="G5:G34" si="0">IF($A5="","",IF(COUNTIF($A$5:$A$34,$A5)&gt;1,"Duplicate ID",""))</f>
        <v/>
      </c>
    </row>
    <row r="6" spans="1:7" ht="48" x14ac:dyDescent="0.25">
      <c r="A6" s="8" t="s">
        <v>129</v>
      </c>
      <c r="B6" s="23" t="s">
        <v>280</v>
      </c>
      <c r="C6" s="23" t="s">
        <v>277</v>
      </c>
      <c r="D6" s="5" t="s">
        <v>278</v>
      </c>
      <c r="E6" s="13" t="str">
        <f>IF($A6="","",IF($D6="",'Autonomy map'!$C$4,$D6))</f>
        <v>Progressive</v>
      </c>
      <c r="F6" s="31" t="s">
        <v>281</v>
      </c>
      <c r="G6" s="13" t="str">
        <f t="shared" si="0"/>
        <v/>
      </c>
    </row>
    <row r="7" spans="1:7" x14ac:dyDescent="0.25">
      <c r="A7" s="8" t="s">
        <v>137</v>
      </c>
      <c r="B7" s="23" t="s">
        <v>282</v>
      </c>
      <c r="C7" s="23" t="s">
        <v>283</v>
      </c>
      <c r="D7" s="5"/>
      <c r="E7" s="13" t="str">
        <f>IF($A7="","",IF($D7="",'Autonomy map'!$C$4,$D7))</f>
        <v>Progressive</v>
      </c>
      <c r="F7" s="31"/>
      <c r="G7" s="13" t="str">
        <f t="shared" si="0"/>
        <v/>
      </c>
    </row>
    <row r="8" spans="1:7" x14ac:dyDescent="0.25">
      <c r="A8" s="8" t="s">
        <v>144</v>
      </c>
      <c r="B8" s="23" t="s">
        <v>284</v>
      </c>
      <c r="C8" s="23" t="s">
        <v>283</v>
      </c>
      <c r="D8" s="5"/>
      <c r="E8" s="13" t="str">
        <f>IF($A8="","",IF($D8="",'Autonomy map'!$C$4,$D8))</f>
        <v>Progressive</v>
      </c>
      <c r="F8" s="31"/>
      <c r="G8" s="13" t="str">
        <f t="shared" si="0"/>
        <v/>
      </c>
    </row>
    <row r="9" spans="1:7" x14ac:dyDescent="0.25">
      <c r="A9" s="8" t="s">
        <v>151</v>
      </c>
      <c r="B9" s="23" t="s">
        <v>285</v>
      </c>
      <c r="C9" s="23" t="s">
        <v>283</v>
      </c>
      <c r="D9" s="5"/>
      <c r="E9" s="13" t="str">
        <f>IF($A9="","",IF($D9="",'Autonomy map'!$C$4,$D9))</f>
        <v>Progressive</v>
      </c>
      <c r="F9" s="31"/>
      <c r="G9" s="13" t="str">
        <f t="shared" si="0"/>
        <v/>
      </c>
    </row>
    <row r="10" spans="1:7" x14ac:dyDescent="0.25">
      <c r="A10" s="8" t="s">
        <v>158</v>
      </c>
      <c r="B10" s="23" t="s">
        <v>286</v>
      </c>
      <c r="C10" s="23" t="s">
        <v>283</v>
      </c>
      <c r="D10" s="5"/>
      <c r="E10" s="13" t="str">
        <f>IF($A10="","",IF($D10="",'Autonomy map'!$C$4,$D10))</f>
        <v>Progressive</v>
      </c>
      <c r="F10" s="31"/>
      <c r="G10" s="13" t="str">
        <f t="shared" si="0"/>
        <v/>
      </c>
    </row>
    <row r="11" spans="1:7" x14ac:dyDescent="0.25">
      <c r="A11" s="8" t="s">
        <v>165</v>
      </c>
      <c r="B11" s="23" t="s">
        <v>287</v>
      </c>
      <c r="C11" s="23" t="s">
        <v>288</v>
      </c>
      <c r="D11" s="5"/>
      <c r="E11" s="13" t="str">
        <f>IF($A11="","",IF($D11="",'Autonomy map'!$C$4,$D11))</f>
        <v>Progressive</v>
      </c>
      <c r="F11" s="31"/>
      <c r="G11" s="13" t="str">
        <f t="shared" si="0"/>
        <v/>
      </c>
    </row>
    <row r="12" spans="1:7" x14ac:dyDescent="0.25">
      <c r="A12" s="8" t="s">
        <v>172</v>
      </c>
      <c r="B12" s="23" t="s">
        <v>289</v>
      </c>
      <c r="C12" s="23" t="s">
        <v>288</v>
      </c>
      <c r="D12" s="5"/>
      <c r="E12" s="13" t="str">
        <f>IF($A12="","",IF($D12="",'Autonomy map'!$C$4,$D12))</f>
        <v>Progressive</v>
      </c>
      <c r="F12" s="31"/>
      <c r="G12" s="13" t="str">
        <f t="shared" si="0"/>
        <v/>
      </c>
    </row>
    <row r="13" spans="1:7" x14ac:dyDescent="0.25">
      <c r="A13" s="8" t="s">
        <v>179</v>
      </c>
      <c r="B13" s="23" t="s">
        <v>290</v>
      </c>
      <c r="C13" s="23" t="s">
        <v>291</v>
      </c>
      <c r="D13" s="5"/>
      <c r="E13" s="13" t="str">
        <f>IF($A13="","",IF($D13="",'Autonomy map'!$C$4,$D13))</f>
        <v>Progressive</v>
      </c>
      <c r="F13" s="31"/>
      <c r="G13" s="13" t="str">
        <f t="shared" si="0"/>
        <v/>
      </c>
    </row>
    <row r="14" spans="1:7" x14ac:dyDescent="0.25">
      <c r="A14" s="8" t="s">
        <v>185</v>
      </c>
      <c r="B14" s="23" t="s">
        <v>292</v>
      </c>
      <c r="C14" s="23" t="s">
        <v>288</v>
      </c>
      <c r="D14" s="5"/>
      <c r="E14" s="13" t="str">
        <f>IF($A14="","",IF($D14="",'Autonomy map'!$C$4,$D14))</f>
        <v>Progressive</v>
      </c>
      <c r="F14" s="31"/>
      <c r="G14" s="13" t="str">
        <f t="shared" si="0"/>
        <v/>
      </c>
    </row>
    <row r="15" spans="1:7" x14ac:dyDescent="0.25">
      <c r="A15" s="8" t="s">
        <v>192</v>
      </c>
      <c r="B15" s="23" t="s">
        <v>293</v>
      </c>
      <c r="C15" s="23" t="s">
        <v>294</v>
      </c>
      <c r="D15" s="5"/>
      <c r="E15" s="13" t="str">
        <f>IF($A15="","",IF($D15="",'Autonomy map'!$C$4,$D15))</f>
        <v>Progressive</v>
      </c>
      <c r="F15" s="31"/>
      <c r="G15" s="13" t="str">
        <f t="shared" si="0"/>
        <v/>
      </c>
    </row>
    <row r="16" spans="1:7" x14ac:dyDescent="0.25">
      <c r="A16" s="8" t="s">
        <v>199</v>
      </c>
      <c r="B16" s="23" t="s">
        <v>295</v>
      </c>
      <c r="C16" s="23" t="s">
        <v>294</v>
      </c>
      <c r="D16" s="5"/>
      <c r="E16" s="13" t="str">
        <f>IF($A16="","",IF($D16="",'Autonomy map'!$C$4,$D16))</f>
        <v>Progressive</v>
      </c>
      <c r="F16" s="31"/>
      <c r="G16" s="13" t="str">
        <f t="shared" si="0"/>
        <v/>
      </c>
    </row>
    <row r="17" spans="1:7" x14ac:dyDescent="0.25">
      <c r="A17" s="8" t="s">
        <v>206</v>
      </c>
      <c r="B17" s="23" t="s">
        <v>296</v>
      </c>
      <c r="C17" s="23" t="s">
        <v>297</v>
      </c>
      <c r="D17" s="5"/>
      <c r="E17" s="13" t="str">
        <f>IF($A17="","",IF($D17="",'Autonomy map'!$C$4,$D17))</f>
        <v>Progressive</v>
      </c>
      <c r="F17" s="31"/>
      <c r="G17" s="13" t="str">
        <f t="shared" si="0"/>
        <v/>
      </c>
    </row>
    <row r="18" spans="1:7" x14ac:dyDescent="0.25">
      <c r="A18" s="8" t="s">
        <v>213</v>
      </c>
      <c r="B18" s="23" t="s">
        <v>298</v>
      </c>
      <c r="C18" s="23" t="s">
        <v>297</v>
      </c>
      <c r="D18" s="5"/>
      <c r="E18" s="13" t="str">
        <f>IF($A18="","",IF($D18="",'Autonomy map'!$C$4,$D18))</f>
        <v>Progressive</v>
      </c>
      <c r="F18" s="31"/>
      <c r="G18" s="13" t="str">
        <f t="shared" si="0"/>
        <v/>
      </c>
    </row>
    <row r="19" spans="1:7" x14ac:dyDescent="0.25">
      <c r="A19" s="8" t="s">
        <v>220</v>
      </c>
      <c r="B19" s="23" t="s">
        <v>299</v>
      </c>
      <c r="C19" s="23" t="s">
        <v>300</v>
      </c>
      <c r="D19" s="5"/>
      <c r="E19" s="13" t="str">
        <f>IF($A19="","",IF($D19="",'Autonomy map'!$C$4,$D19))</f>
        <v>Progressive</v>
      </c>
      <c r="F19" s="31"/>
      <c r="G19" s="13" t="str">
        <f t="shared" si="0"/>
        <v/>
      </c>
    </row>
    <row r="20" spans="1:7" x14ac:dyDescent="0.25">
      <c r="A20" s="8" t="s">
        <v>227</v>
      </c>
      <c r="B20" s="23" t="s">
        <v>301</v>
      </c>
      <c r="C20" s="23" t="s">
        <v>283</v>
      </c>
      <c r="D20" s="5"/>
      <c r="E20" s="13" t="str">
        <f>IF($A20="","",IF($D20="",'Autonomy map'!$C$4,$D20))</f>
        <v>Progressive</v>
      </c>
      <c r="F20" s="31"/>
      <c r="G20" s="13" t="str">
        <f t="shared" si="0"/>
        <v/>
      </c>
    </row>
    <row r="21" spans="1:7" x14ac:dyDescent="0.25">
      <c r="A21" s="8" t="s">
        <v>234</v>
      </c>
      <c r="B21" s="23" t="s">
        <v>302</v>
      </c>
      <c r="C21" s="23" t="s">
        <v>291</v>
      </c>
      <c r="D21" s="5"/>
      <c r="E21" s="13" t="str">
        <f>IF($A21="","",IF($D21="",'Autonomy map'!$C$4,$D21))</f>
        <v>Progressive</v>
      </c>
      <c r="F21" s="31"/>
      <c r="G21" s="13" t="str">
        <f t="shared" si="0"/>
        <v/>
      </c>
    </row>
    <row r="22" spans="1:7" x14ac:dyDescent="0.25">
      <c r="A22" s="8" t="s">
        <v>241</v>
      </c>
      <c r="B22" s="23" t="s">
        <v>303</v>
      </c>
      <c r="C22" s="23" t="s">
        <v>291</v>
      </c>
      <c r="D22" s="5"/>
      <c r="E22" s="13" t="str">
        <f>IF($A22="","",IF($D22="",'Autonomy map'!$C$4,$D22))</f>
        <v>Progressive</v>
      </c>
      <c r="F22" s="31"/>
      <c r="G22" s="13" t="str">
        <f t="shared" si="0"/>
        <v/>
      </c>
    </row>
    <row r="23" spans="1:7" x14ac:dyDescent="0.25">
      <c r="A23" s="8" t="s">
        <v>248</v>
      </c>
      <c r="B23" s="23" t="s">
        <v>304</v>
      </c>
      <c r="C23" s="23" t="s">
        <v>294</v>
      </c>
      <c r="D23" s="5"/>
      <c r="E23" s="13" t="str">
        <f>IF($A23="","",IF($D23="",'Autonomy map'!$C$4,$D23))</f>
        <v>Progressive</v>
      </c>
      <c r="F23" s="31"/>
      <c r="G23" s="13" t="str">
        <f t="shared" si="0"/>
        <v/>
      </c>
    </row>
    <row r="24" spans="1:7" x14ac:dyDescent="0.25">
      <c r="A24" s="8" t="s">
        <v>255</v>
      </c>
      <c r="B24" s="23" t="s">
        <v>305</v>
      </c>
      <c r="C24" s="23" t="s">
        <v>306</v>
      </c>
      <c r="D24" s="5" t="s">
        <v>307</v>
      </c>
      <c r="E24" s="13" t="str">
        <f>IF($A24="","",IF($D24="",'Autonomy map'!$C$4,$D24))</f>
        <v>Conservative</v>
      </c>
      <c r="F24" s="31" t="s">
        <v>308</v>
      </c>
      <c r="G24" s="13" t="str">
        <f t="shared" si="0"/>
        <v/>
      </c>
    </row>
    <row r="25" spans="1:7" x14ac:dyDescent="0.25">
      <c r="A25" s="8" t="s">
        <v>262</v>
      </c>
      <c r="B25" s="23"/>
      <c r="C25" s="23"/>
      <c r="D25" s="5"/>
      <c r="E25" s="13" t="str">
        <f>IF($A25="","",IF($D25="",'Autonomy map'!$C$4,$D25))</f>
        <v>Progressive</v>
      </c>
      <c r="F25" s="31"/>
      <c r="G25" s="13" t="str">
        <f t="shared" si="0"/>
        <v/>
      </c>
    </row>
    <row r="26" spans="1:7" x14ac:dyDescent="0.25">
      <c r="A26" s="8" t="s">
        <v>263</v>
      </c>
      <c r="B26" s="23"/>
      <c r="C26" s="23"/>
      <c r="D26" s="5"/>
      <c r="E26" s="13" t="str">
        <f>IF($A26="","",IF($D26="",'Autonomy map'!$C$4,$D26))</f>
        <v>Progressive</v>
      </c>
      <c r="F26" s="31"/>
      <c r="G26" s="13" t="str">
        <f t="shared" si="0"/>
        <v/>
      </c>
    </row>
    <row r="27" spans="1:7" x14ac:dyDescent="0.25">
      <c r="A27" s="8" t="s">
        <v>264</v>
      </c>
      <c r="B27" s="23"/>
      <c r="C27" s="23"/>
      <c r="D27" s="5"/>
      <c r="E27" s="13" t="str">
        <f>IF($A27="","",IF($D27="",'Autonomy map'!$C$4,$D27))</f>
        <v>Progressive</v>
      </c>
      <c r="F27" s="31"/>
      <c r="G27" s="13" t="str">
        <f t="shared" si="0"/>
        <v/>
      </c>
    </row>
    <row r="28" spans="1:7" x14ac:dyDescent="0.25">
      <c r="A28" s="8" t="s">
        <v>265</v>
      </c>
      <c r="B28" s="23"/>
      <c r="C28" s="23"/>
      <c r="D28" s="5"/>
      <c r="E28" s="13" t="str">
        <f>IF($A28="","",IF($D28="",'Autonomy map'!$C$4,$D28))</f>
        <v>Progressive</v>
      </c>
      <c r="F28" s="31"/>
      <c r="G28" s="13" t="str">
        <f t="shared" si="0"/>
        <v/>
      </c>
    </row>
    <row r="29" spans="1:7" x14ac:dyDescent="0.25">
      <c r="A29" s="8" t="s">
        <v>266</v>
      </c>
      <c r="B29" s="23"/>
      <c r="C29" s="23"/>
      <c r="D29" s="5"/>
      <c r="E29" s="13" t="str">
        <f>IF($A29="","",IF($D29="",'Autonomy map'!$C$4,$D29))</f>
        <v>Progressive</v>
      </c>
      <c r="F29" s="31"/>
      <c r="G29" s="13" t="str">
        <f t="shared" si="0"/>
        <v/>
      </c>
    </row>
    <row r="30" spans="1:7" x14ac:dyDescent="0.25">
      <c r="A30" s="8" t="s">
        <v>267</v>
      </c>
      <c r="B30" s="23"/>
      <c r="C30" s="23"/>
      <c r="D30" s="5"/>
      <c r="E30" s="13" t="str">
        <f>IF($A30="","",IF($D30="",'Autonomy map'!$C$4,$D30))</f>
        <v>Progressive</v>
      </c>
      <c r="F30" s="31"/>
      <c r="G30" s="13" t="str">
        <f t="shared" si="0"/>
        <v/>
      </c>
    </row>
    <row r="31" spans="1:7" x14ac:dyDescent="0.25">
      <c r="A31" s="8" t="s">
        <v>268</v>
      </c>
      <c r="B31" s="23"/>
      <c r="C31" s="23"/>
      <c r="D31" s="5"/>
      <c r="E31" s="13" t="str">
        <f>IF($A31="","",IF($D31="",'Autonomy map'!$C$4,$D31))</f>
        <v>Progressive</v>
      </c>
      <c r="F31" s="31"/>
      <c r="G31" s="13" t="str">
        <f t="shared" si="0"/>
        <v/>
      </c>
    </row>
    <row r="32" spans="1:7" x14ac:dyDescent="0.25">
      <c r="A32" s="8" t="s">
        <v>269</v>
      </c>
      <c r="B32" s="23"/>
      <c r="C32" s="23"/>
      <c r="D32" s="5"/>
      <c r="E32" s="13" t="str">
        <f>IF($A32="","",IF($D32="",'Autonomy map'!$C$4,$D32))</f>
        <v>Progressive</v>
      </c>
      <c r="F32" s="31"/>
      <c r="G32" s="13" t="str">
        <f t="shared" si="0"/>
        <v/>
      </c>
    </row>
    <row r="33" spans="1:7" x14ac:dyDescent="0.25">
      <c r="A33" s="8" t="s">
        <v>270</v>
      </c>
      <c r="B33" s="23"/>
      <c r="C33" s="23"/>
      <c r="D33" s="5"/>
      <c r="E33" s="13" t="str">
        <f>IF($A33="","",IF($D33="",'Autonomy map'!$C$4,$D33))</f>
        <v>Progressive</v>
      </c>
      <c r="F33" s="31"/>
      <c r="G33" s="13" t="str">
        <f t="shared" si="0"/>
        <v/>
      </c>
    </row>
    <row r="34" spans="1:7" x14ac:dyDescent="0.25">
      <c r="A34" s="8" t="s">
        <v>271</v>
      </c>
      <c r="B34" s="23"/>
      <c r="C34" s="23"/>
      <c r="D34" s="5"/>
      <c r="E34" s="13" t="str">
        <f>IF($A34="","",IF($D34="",'Autonomy map'!$C$4,$D34))</f>
        <v>Progressive</v>
      </c>
      <c r="F34" s="31"/>
      <c r="G34" s="13" t="str">
        <f t="shared" si="0"/>
        <v/>
      </c>
    </row>
  </sheetData>
  <autoFilter ref="A4:G34" xr:uid="{00000000-0009-0000-0000-000003000000}"/>
  <conditionalFormatting sqref="G5:G34">
    <cfRule type="expression" dxfId="11" priority="2">
      <formula>$G5="Duplicate ID"</formula>
    </cfRule>
  </conditionalFormatting>
  <dataValidations count="1">
    <dataValidation type="list" allowBlank="1" showErrorMessage="1" errorTitle="Invalid value" error="Please pick a value from the list." sqref="D5:D34" xr:uid="{00000000-0002-0000-0300-000000000000}">
      <formula1>List_Appetite</formula1>
      <formula2>0</formula2>
    </dataValidation>
  </dataValidations>
  <pageMargins left="0.75" right="0.75" top="1" bottom="1" header="0.511811023622047" footer="0.511811023622047"/>
  <pageSetup paperSize="9"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K36"/>
  <sheetViews>
    <sheetView showGridLines="0" zoomScaleNormal="100" zoomScalePageLayoutView="60" workbookViewId="0">
      <pane ySplit="6" topLeftCell="A7" activePane="bottomLeft" state="frozen"/>
      <selection pane="bottomLeft" activeCell="A7" sqref="A7"/>
    </sheetView>
  </sheetViews>
  <sheetFormatPr baseColWidth="10" defaultColWidth="8.7109375" defaultRowHeight="15" x14ac:dyDescent="0.25"/>
  <cols>
    <col min="1" max="1" width="8" customWidth="1"/>
    <col min="2" max="2" width="40" customWidth="1"/>
    <col min="3" max="8" width="13" customWidth="1"/>
    <col min="9" max="10" width="12" customWidth="1"/>
    <col min="11" max="11" width="15" customWidth="1"/>
  </cols>
  <sheetData>
    <row r="1" spans="1:11" ht="24" customHeight="1" x14ac:dyDescent="0.35">
      <c r="A1" s="1" t="s">
        <v>21</v>
      </c>
    </row>
    <row r="2" spans="1:11" ht="25.5" customHeight="1" x14ac:dyDescent="0.25">
      <c r="A2" s="33" t="s">
        <v>468</v>
      </c>
      <c r="B2" s="34"/>
      <c r="C2" s="34"/>
      <c r="D2" s="34"/>
      <c r="E2" s="34"/>
      <c r="F2" s="34"/>
      <c r="G2" s="34"/>
      <c r="H2" s="34"/>
      <c r="I2" s="34"/>
      <c r="J2" s="34"/>
      <c r="K2" s="34"/>
    </row>
    <row r="4" spans="1:11" x14ac:dyDescent="0.25">
      <c r="A4" s="4" t="s">
        <v>469</v>
      </c>
      <c r="C4" s="35" t="s">
        <v>470</v>
      </c>
      <c r="D4" s="35"/>
      <c r="F4" s="9" t="s">
        <v>471</v>
      </c>
    </row>
    <row r="6" spans="1:11" ht="43.5" customHeight="1" x14ac:dyDescent="0.25">
      <c r="A6" s="10" t="s">
        <v>83</v>
      </c>
      <c r="B6" s="10" t="s">
        <v>84</v>
      </c>
      <c r="C6" s="10" t="s">
        <v>309</v>
      </c>
      <c r="D6" s="10" t="s">
        <v>310</v>
      </c>
      <c r="E6" s="10" t="s">
        <v>311</v>
      </c>
      <c r="F6" s="10" t="s">
        <v>312</v>
      </c>
      <c r="G6" s="10" t="s">
        <v>313</v>
      </c>
      <c r="H6" s="10" t="s">
        <v>314</v>
      </c>
      <c r="I6" s="10" t="s">
        <v>315</v>
      </c>
      <c r="J6" s="10" t="s">
        <v>275</v>
      </c>
      <c r="K6" s="10" t="s">
        <v>472</v>
      </c>
    </row>
    <row r="7" spans="1:11" x14ac:dyDescent="0.25">
      <c r="A7" s="8" t="s">
        <v>111</v>
      </c>
      <c r="B7" s="12" t="str">
        <f>IFERROR(IF(VLOOKUP($A7,'Use cases'!$A$5:$B$34,2,FALSE())=0,"",VLOOKUP($A7,'Use cases'!$A$5:$B$34,2,FALSE())),"")</f>
        <v>Phishing campaign containment</v>
      </c>
      <c r="C7" s="24" t="s">
        <v>316</v>
      </c>
      <c r="D7" s="24" t="s">
        <v>316</v>
      </c>
      <c r="E7" s="24" t="s">
        <v>316</v>
      </c>
      <c r="F7" s="24" t="s">
        <v>316</v>
      </c>
      <c r="G7" s="24" t="s">
        <v>316</v>
      </c>
      <c r="H7" s="24" t="s">
        <v>316</v>
      </c>
      <c r="I7" s="8" t="str">
        <f t="shared" ref="I7:I36" si="0">IF($B7="","",IF(COUNTIF($A$7:$A$36,$A7)&gt;1,"Incomplete",IF(COUNTIF(C7:H7,"Yes")=6,"Passed",IF(COUNTIF(C7:H7,"Yes")+COUNTIF(C7:H7,"No")=6,"Not passed","Incomplete"))))</f>
        <v>Passed</v>
      </c>
      <c r="J7" s="13" t="str">
        <f t="shared" ref="J7:J36" si="1">IF($A7="","",IF(COUNTIF($A$7:$A$36,$A7)&gt;1,"Duplicate ID",""))</f>
        <v/>
      </c>
      <c r="K7" s="8" t="str">
        <f t="shared" ref="K7:K36" si="2">IF($B7="","",IF(COUNTIF($A$7:$A$36,$A7)&gt;1,"Incomplete",IF($C$4="Signal + cost + resilience",IF(AND(C7="Yes",G7="Yes",H7="Yes"),"Passed",IF(AND(OR(C7="Yes",C7="No"),OR(G7="Yes",G7="No"),OR(H7="Yes",H7="No")),"Not passed","Incomplete")),IF($C$4="Signal + cost",IF(AND(C7="Yes",G7="Yes"),"Passed",IF(AND(OR(C7="Yes",C7="No"),OR(G7="Yes",G7="No")),"Not passed","Incomplete")),$I7))))</f>
        <v>Passed</v>
      </c>
    </row>
    <row r="8" spans="1:11" x14ac:dyDescent="0.25">
      <c r="A8" s="8" t="s">
        <v>129</v>
      </c>
      <c r="B8" s="12" t="str">
        <f>IFERROR(IF(VLOOKUP($A8,'Use cases'!$A$5:$B$34,2,FALSE())=0,"",VLOOKUP($A8,'Use cases'!$A$5:$B$34,2,FALSE())),"")</f>
        <v>Malicious attachment detonation and mailbox clean-up</v>
      </c>
      <c r="C8" s="24" t="s">
        <v>316</v>
      </c>
      <c r="D8" s="24" t="s">
        <v>316</v>
      </c>
      <c r="E8" s="24" t="s">
        <v>316</v>
      </c>
      <c r="F8" s="24" t="s">
        <v>316</v>
      </c>
      <c r="G8" s="24" t="s">
        <v>316</v>
      </c>
      <c r="H8" s="24" t="s">
        <v>316</v>
      </c>
      <c r="I8" s="8" t="str">
        <f t="shared" si="0"/>
        <v>Passed</v>
      </c>
      <c r="J8" s="13" t="str">
        <f t="shared" si="1"/>
        <v/>
      </c>
      <c r="K8" s="8" t="str">
        <f t="shared" si="2"/>
        <v>Passed</v>
      </c>
    </row>
    <row r="9" spans="1:11" x14ac:dyDescent="0.25">
      <c r="A9" s="8" t="s">
        <v>137</v>
      </c>
      <c r="B9" s="12" t="str">
        <f>IFERROR(IF(VLOOKUP($A9,'Use cases'!$A$5:$B$34,2,FALSE())=0,"",VLOOKUP($A9,'Use cases'!$A$5:$B$34,2,FALSE())),"")</f>
        <v>OAuth consent abuse</v>
      </c>
      <c r="C9" s="24" t="s">
        <v>316</v>
      </c>
      <c r="D9" s="24" t="s">
        <v>316</v>
      </c>
      <c r="E9" s="24" t="s">
        <v>316</v>
      </c>
      <c r="F9" s="24" t="s">
        <v>316</v>
      </c>
      <c r="G9" s="24" t="s">
        <v>316</v>
      </c>
      <c r="H9" s="24" t="s">
        <v>316</v>
      </c>
      <c r="I9" s="8" t="str">
        <f t="shared" si="0"/>
        <v>Passed</v>
      </c>
      <c r="J9" s="13" t="str">
        <f t="shared" si="1"/>
        <v/>
      </c>
      <c r="K9" s="8" t="str">
        <f t="shared" si="2"/>
        <v>Passed</v>
      </c>
    </row>
    <row r="10" spans="1:11" x14ac:dyDescent="0.25">
      <c r="A10" s="8" t="s">
        <v>144</v>
      </c>
      <c r="B10" s="12" t="str">
        <f>IFERROR(IF(VLOOKUP($A10,'Use cases'!$A$5:$B$34,2,FALSE())=0,"",VLOOKUP($A10,'Use cases'!$A$5:$B$34,2,FALSE())),"")</f>
        <v>Suspicious MFA registration</v>
      </c>
      <c r="C10" s="24" t="s">
        <v>316</v>
      </c>
      <c r="D10" s="24" t="s">
        <v>316</v>
      </c>
      <c r="E10" s="24" t="s">
        <v>316</v>
      </c>
      <c r="F10" s="24" t="s">
        <v>316</v>
      </c>
      <c r="G10" s="24" t="s">
        <v>316</v>
      </c>
      <c r="H10" s="24" t="s">
        <v>316</v>
      </c>
      <c r="I10" s="8" t="str">
        <f t="shared" si="0"/>
        <v>Passed</v>
      </c>
      <c r="J10" s="13" t="str">
        <f t="shared" si="1"/>
        <v/>
      </c>
      <c r="K10" s="8" t="str">
        <f t="shared" si="2"/>
        <v>Passed</v>
      </c>
    </row>
    <row r="11" spans="1:11" x14ac:dyDescent="0.25">
      <c r="A11" s="8" t="s">
        <v>151</v>
      </c>
      <c r="B11" s="12" t="str">
        <f>IFERROR(IF(VLOOKUP($A11,'Use cases'!$A$5:$B$34,2,FALSE())=0,"",VLOOKUP($A11,'Use cases'!$A$5:$B$34,2,FALSE())),"")</f>
        <v>Privileged account anomaly</v>
      </c>
      <c r="C11" s="24" t="s">
        <v>316</v>
      </c>
      <c r="D11" s="24" t="s">
        <v>316</v>
      </c>
      <c r="E11" s="24" t="s">
        <v>317</v>
      </c>
      <c r="F11" s="24" t="s">
        <v>316</v>
      </c>
      <c r="G11" s="24" t="s">
        <v>316</v>
      </c>
      <c r="H11" s="24" t="s">
        <v>317</v>
      </c>
      <c r="I11" s="8" t="str">
        <f t="shared" si="0"/>
        <v>Not passed</v>
      </c>
      <c r="J11" s="13" t="str">
        <f t="shared" si="1"/>
        <v/>
      </c>
      <c r="K11" s="8" t="str">
        <f t="shared" si="2"/>
        <v>Not passed</v>
      </c>
    </row>
    <row r="12" spans="1:11" x14ac:dyDescent="0.25">
      <c r="A12" s="8" t="s">
        <v>158</v>
      </c>
      <c r="B12" s="12" t="str">
        <f>IFERROR(IF(VLOOKUP($A12,'Use cases'!$A$5:$B$34,2,FALSE())=0,"",VLOOKUP($A12,'Use cases'!$A$5:$B$34,2,FALSE())),"")</f>
        <v>Token theft and replay</v>
      </c>
      <c r="C12" s="24" t="s">
        <v>316</v>
      </c>
      <c r="D12" s="24" t="s">
        <v>316</v>
      </c>
      <c r="E12" s="24" t="s">
        <v>316</v>
      </c>
      <c r="F12" s="24" t="s">
        <v>316</v>
      </c>
      <c r="G12" s="24" t="s">
        <v>316</v>
      </c>
      <c r="H12" s="24" t="s">
        <v>316</v>
      </c>
      <c r="I12" s="8" t="str">
        <f t="shared" si="0"/>
        <v>Passed</v>
      </c>
      <c r="J12" s="13" t="str">
        <f t="shared" si="1"/>
        <v/>
      </c>
      <c r="K12" s="8" t="str">
        <f t="shared" si="2"/>
        <v>Passed</v>
      </c>
    </row>
    <row r="13" spans="1:11" x14ac:dyDescent="0.25">
      <c r="A13" s="8" t="s">
        <v>165</v>
      </c>
      <c r="B13" s="12" t="str">
        <f>IFERROR(IF(VLOOKUP($A13,'Use cases'!$A$5:$B$34,2,FALSE())=0,"",VLOOKUP($A13,'Use cases'!$A$5:$B$34,2,FALSE())),"")</f>
        <v>Endpoint malware containment</v>
      </c>
      <c r="C13" s="24" t="s">
        <v>316</v>
      </c>
      <c r="D13" s="24" t="s">
        <v>316</v>
      </c>
      <c r="E13" s="24" t="s">
        <v>316</v>
      </c>
      <c r="F13" s="24" t="s">
        <v>316</v>
      </c>
      <c r="G13" s="24" t="s">
        <v>316</v>
      </c>
      <c r="H13" s="24" t="s">
        <v>316</v>
      </c>
      <c r="I13" s="8" t="str">
        <f t="shared" si="0"/>
        <v>Passed</v>
      </c>
      <c r="J13" s="13" t="str">
        <f t="shared" si="1"/>
        <v/>
      </c>
      <c r="K13" s="8" t="str">
        <f t="shared" si="2"/>
        <v>Passed</v>
      </c>
    </row>
    <row r="14" spans="1:11" x14ac:dyDescent="0.25">
      <c r="A14" s="8" t="s">
        <v>172</v>
      </c>
      <c r="B14" s="12" t="str">
        <f>IFERROR(IF(VLOOKUP($A14,'Use cases'!$A$5:$B$34,2,FALSE())=0,"",VLOOKUP($A14,'Use cases'!$A$5:$B$34,2,FALSE())),"")</f>
        <v>Early ransomware indicators</v>
      </c>
      <c r="C14" s="24" t="s">
        <v>316</v>
      </c>
      <c r="D14" s="24" t="s">
        <v>316</v>
      </c>
      <c r="E14" s="24" t="s">
        <v>316</v>
      </c>
      <c r="F14" s="24" t="s">
        <v>316</v>
      </c>
      <c r="G14" s="24" t="s">
        <v>317</v>
      </c>
      <c r="H14" s="24" t="s">
        <v>317</v>
      </c>
      <c r="I14" s="8" t="str">
        <f t="shared" si="0"/>
        <v>Not passed</v>
      </c>
      <c r="J14" s="13" t="str">
        <f t="shared" si="1"/>
        <v/>
      </c>
      <c r="K14" s="8" t="str">
        <f t="shared" si="2"/>
        <v>Not passed</v>
      </c>
    </row>
    <row r="15" spans="1:11" x14ac:dyDescent="0.25">
      <c r="A15" s="8" t="s">
        <v>179</v>
      </c>
      <c r="B15" s="12" t="str">
        <f>IFERROR(IF(VLOOKUP($A15,'Use cases'!$A$5:$B$34,2,FALSE())=0,"",VLOOKUP($A15,'Use cases'!$A$5:$B$34,2,FALSE())),"")</f>
        <v>C2 beaconing</v>
      </c>
      <c r="C15" s="24" t="s">
        <v>316</v>
      </c>
      <c r="D15" s="24" t="s">
        <v>316</v>
      </c>
      <c r="E15" s="24" t="s">
        <v>316</v>
      </c>
      <c r="F15" s="24" t="s">
        <v>316</v>
      </c>
      <c r="G15" s="24" t="s">
        <v>316</v>
      </c>
      <c r="H15" s="24" t="s">
        <v>316</v>
      </c>
      <c r="I15" s="8" t="str">
        <f t="shared" si="0"/>
        <v>Passed</v>
      </c>
      <c r="J15" s="13" t="str">
        <f t="shared" si="1"/>
        <v/>
      </c>
      <c r="K15" s="8" t="str">
        <f t="shared" si="2"/>
        <v>Passed</v>
      </c>
    </row>
    <row r="16" spans="1:11" x14ac:dyDescent="0.25">
      <c r="A16" s="8" t="s">
        <v>185</v>
      </c>
      <c r="B16" s="12" t="str">
        <f>IFERROR(IF(VLOOKUP($A16,'Use cases'!$A$5:$B$34,2,FALSE())=0,"",VLOOKUP($A16,'Use cases'!$A$5:$B$34,2,FALSE())),"")</f>
        <v>Suspicious PowerShell or LOLBin activity</v>
      </c>
      <c r="C16" s="24" t="s">
        <v>316</v>
      </c>
      <c r="D16" s="24" t="s">
        <v>317</v>
      </c>
      <c r="E16" s="24" t="s">
        <v>316</v>
      </c>
      <c r="F16" s="24" t="s">
        <v>316</v>
      </c>
      <c r="G16" s="24" t="s">
        <v>316</v>
      </c>
      <c r="H16" s="24" t="s">
        <v>317</v>
      </c>
      <c r="I16" s="8" t="str">
        <f t="shared" si="0"/>
        <v>Not passed</v>
      </c>
      <c r="J16" s="13" t="str">
        <f t="shared" si="1"/>
        <v/>
      </c>
      <c r="K16" s="8" t="str">
        <f t="shared" si="2"/>
        <v>Not passed</v>
      </c>
    </row>
    <row r="17" spans="1:11" x14ac:dyDescent="0.25">
      <c r="A17" s="8" t="s">
        <v>192</v>
      </c>
      <c r="B17" s="12" t="str">
        <f>IFERROR(IF(VLOOKUP($A17,'Use cases'!$A$5:$B$34,2,FALSE())=0,"",VLOOKUP($A17,'Use cases'!$A$5:$B$34,2,FALSE())),"")</f>
        <v>Data exfiltration via cloud storage</v>
      </c>
      <c r="C17" s="24" t="s">
        <v>316</v>
      </c>
      <c r="D17" s="24" t="s">
        <v>316</v>
      </c>
      <c r="E17" s="24" t="s">
        <v>317</v>
      </c>
      <c r="F17" s="24" t="s">
        <v>316</v>
      </c>
      <c r="G17" s="24" t="s">
        <v>316</v>
      </c>
      <c r="H17" s="24" t="s">
        <v>317</v>
      </c>
      <c r="I17" s="8" t="str">
        <f t="shared" si="0"/>
        <v>Not passed</v>
      </c>
      <c r="J17" s="13" t="str">
        <f t="shared" si="1"/>
        <v/>
      </c>
      <c r="K17" s="8" t="str">
        <f t="shared" si="2"/>
        <v>Not passed</v>
      </c>
    </row>
    <row r="18" spans="1:11" x14ac:dyDescent="0.25">
      <c r="A18" s="8" t="s">
        <v>199</v>
      </c>
      <c r="B18" s="12" t="str">
        <f>IFERROR(IF(VLOOKUP($A18,'Use cases'!$A$5:$B$34,2,FALSE())=0,"",VLOOKUP($A18,'Use cases'!$A$5:$B$34,2,FALSE())),"")</f>
        <v>Unusual SaaS sharing</v>
      </c>
      <c r="C18" s="24" t="s">
        <v>316</v>
      </c>
      <c r="D18" s="24" t="s">
        <v>316</v>
      </c>
      <c r="E18" s="24" t="s">
        <v>316</v>
      </c>
      <c r="F18" s="24" t="s">
        <v>317</v>
      </c>
      <c r="G18" s="24" t="s">
        <v>316</v>
      </c>
      <c r="H18" s="24" t="s">
        <v>317</v>
      </c>
      <c r="I18" s="8" t="str">
        <f t="shared" si="0"/>
        <v>Not passed</v>
      </c>
      <c r="J18" s="13" t="str">
        <f t="shared" si="1"/>
        <v/>
      </c>
      <c r="K18" s="8" t="str">
        <f t="shared" si="2"/>
        <v>Not passed</v>
      </c>
    </row>
    <row r="19" spans="1:11" x14ac:dyDescent="0.25">
      <c r="A19" s="8" t="s">
        <v>206</v>
      </c>
      <c r="B19" s="12" t="str">
        <f>IFERROR(IF(VLOOKUP($A19,'Use cases'!$A$5:$B$34,2,FALSE())=0,"",VLOOKUP($A19,'Use cases'!$A$5:$B$34,2,FALSE())),"")</f>
        <v>Cloud key leak</v>
      </c>
      <c r="C19" s="24" t="s">
        <v>316</v>
      </c>
      <c r="D19" s="24" t="s">
        <v>316</v>
      </c>
      <c r="E19" s="24" t="s">
        <v>316</v>
      </c>
      <c r="F19" s="24" t="s">
        <v>316</v>
      </c>
      <c r="G19" s="24" t="s">
        <v>316</v>
      </c>
      <c r="H19" s="24" t="s">
        <v>316</v>
      </c>
      <c r="I19" s="8" t="str">
        <f t="shared" si="0"/>
        <v>Passed</v>
      </c>
      <c r="J19" s="13" t="str">
        <f t="shared" si="1"/>
        <v/>
      </c>
      <c r="K19" s="8" t="str">
        <f t="shared" si="2"/>
        <v>Passed</v>
      </c>
    </row>
    <row r="20" spans="1:11" x14ac:dyDescent="0.25">
      <c r="A20" s="8" t="s">
        <v>213</v>
      </c>
      <c r="B20" s="12" t="str">
        <f>IFERROR(IF(VLOOKUP($A20,'Use cases'!$A$5:$B$34,2,FALSE())=0,"",VLOOKUP($A20,'Use cases'!$A$5:$B$34,2,FALSE())),"")</f>
        <v>Public S3 or blob exposure</v>
      </c>
      <c r="C20" s="24" t="s">
        <v>316</v>
      </c>
      <c r="D20" s="24" t="s">
        <v>316</v>
      </c>
      <c r="E20" s="24" t="s">
        <v>316</v>
      </c>
      <c r="F20" s="24" t="s">
        <v>316</v>
      </c>
      <c r="G20" s="24" t="s">
        <v>316</v>
      </c>
      <c r="H20" s="24" t="s">
        <v>316</v>
      </c>
      <c r="I20" s="8" t="str">
        <f t="shared" si="0"/>
        <v>Passed</v>
      </c>
      <c r="J20" s="13" t="str">
        <f t="shared" si="1"/>
        <v/>
      </c>
      <c r="K20" s="8" t="str">
        <f t="shared" si="2"/>
        <v>Passed</v>
      </c>
    </row>
    <row r="21" spans="1:11" x14ac:dyDescent="0.25">
      <c r="A21" s="8" t="s">
        <v>220</v>
      </c>
      <c r="B21" s="12" t="str">
        <f>IFERROR(IF(VLOOKUP($A21,'Use cases'!$A$5:$B$34,2,FALSE())=0,"",VLOOKUP($A21,'Use cases'!$A$5:$B$34,2,FALSE())),"")</f>
        <v>New internet-exposed critical CVE</v>
      </c>
      <c r="C21" s="24" t="s">
        <v>316</v>
      </c>
      <c r="D21" s="24" t="s">
        <v>316</v>
      </c>
      <c r="E21" s="24" t="s">
        <v>316</v>
      </c>
      <c r="F21" s="24" t="s">
        <v>316</v>
      </c>
      <c r="G21" s="24" t="s">
        <v>316</v>
      </c>
      <c r="H21" s="24" t="s">
        <v>316</v>
      </c>
      <c r="I21" s="8" t="str">
        <f t="shared" si="0"/>
        <v>Passed</v>
      </c>
      <c r="J21" s="13" t="str">
        <f t="shared" si="1"/>
        <v/>
      </c>
      <c r="K21" s="8" t="str">
        <f t="shared" si="2"/>
        <v>Passed</v>
      </c>
    </row>
    <row r="22" spans="1:11" x14ac:dyDescent="0.25">
      <c r="A22" s="8" t="s">
        <v>227</v>
      </c>
      <c r="B22" s="12" t="str">
        <f>IFERROR(IF(VLOOKUP($A22,'Use cases'!$A$5:$B$34,2,FALSE())=0,"",VLOOKUP($A22,'Use cases'!$A$5:$B$34,2,FALSE())),"")</f>
        <v>Suspicious admin creation</v>
      </c>
      <c r="C22" s="24" t="s">
        <v>316</v>
      </c>
      <c r="D22" s="24" t="s">
        <v>316</v>
      </c>
      <c r="E22" s="24" t="s">
        <v>317</v>
      </c>
      <c r="F22" s="24" t="s">
        <v>316</v>
      </c>
      <c r="G22" s="24" t="s">
        <v>316</v>
      </c>
      <c r="H22" s="24" t="s">
        <v>317</v>
      </c>
      <c r="I22" s="8" t="str">
        <f t="shared" si="0"/>
        <v>Not passed</v>
      </c>
      <c r="J22" s="13" t="str">
        <f t="shared" si="1"/>
        <v/>
      </c>
      <c r="K22" s="8" t="str">
        <f t="shared" si="2"/>
        <v>Not passed</v>
      </c>
    </row>
    <row r="23" spans="1:11" x14ac:dyDescent="0.25">
      <c r="A23" s="8" t="s">
        <v>234</v>
      </c>
      <c r="B23" s="12" t="str">
        <f>IFERROR(IF(VLOOKUP($A23,'Use cases'!$A$5:$B$34,2,FALSE())=0,"",VLOOKUP($A23,'Use cases'!$A$5:$B$34,2,FALSE())),"")</f>
        <v>Lateral movement indicators</v>
      </c>
      <c r="C23" s="24" t="s">
        <v>316</v>
      </c>
      <c r="D23" s="24" t="s">
        <v>317</v>
      </c>
      <c r="E23" s="24" t="s">
        <v>317</v>
      </c>
      <c r="F23" s="24" t="s">
        <v>316</v>
      </c>
      <c r="G23" s="24" t="s">
        <v>317</v>
      </c>
      <c r="H23" s="24" t="s">
        <v>317</v>
      </c>
      <c r="I23" s="8" t="str">
        <f t="shared" si="0"/>
        <v>Not passed</v>
      </c>
      <c r="J23" s="13" t="str">
        <f t="shared" si="1"/>
        <v/>
      </c>
      <c r="K23" s="8" t="str">
        <f t="shared" si="2"/>
        <v>Not passed</v>
      </c>
    </row>
    <row r="24" spans="1:11" x14ac:dyDescent="0.25">
      <c r="A24" s="8" t="s">
        <v>241</v>
      </c>
      <c r="B24" s="12" t="str">
        <f>IFERROR(IF(VLOOKUP($A24,'Use cases'!$A$5:$B$34,2,FALSE())=0,"",VLOOKUP($A24,'Use cases'!$A$5:$B$34,2,FALSE())),"")</f>
        <v>DNS tunneling</v>
      </c>
      <c r="C24" s="24" t="s">
        <v>316</v>
      </c>
      <c r="D24" s="24" t="s">
        <v>316</v>
      </c>
      <c r="E24" s="24" t="s">
        <v>316</v>
      </c>
      <c r="F24" s="24" t="s">
        <v>316</v>
      </c>
      <c r="G24" s="24" t="s">
        <v>316</v>
      </c>
      <c r="H24" s="24" t="s">
        <v>316</v>
      </c>
      <c r="I24" s="8" t="str">
        <f t="shared" si="0"/>
        <v>Passed</v>
      </c>
      <c r="J24" s="13" t="str">
        <f t="shared" si="1"/>
        <v/>
      </c>
      <c r="K24" s="8" t="str">
        <f t="shared" si="2"/>
        <v>Passed</v>
      </c>
    </row>
    <row r="25" spans="1:11" x14ac:dyDescent="0.25">
      <c r="A25" s="8" t="s">
        <v>248</v>
      </c>
      <c r="B25" s="12" t="str">
        <f>IFERROR(IF(VLOOKUP($A25,'Use cases'!$A$5:$B$34,2,FALSE())=0,"",VLOOKUP($A25,'Use cases'!$A$5:$B$34,2,FALSE())),"")</f>
        <v>Shadow AI data leakage</v>
      </c>
      <c r="C25" s="24" t="s">
        <v>316</v>
      </c>
      <c r="D25" s="24" t="s">
        <v>316</v>
      </c>
      <c r="E25" s="24" t="s">
        <v>316</v>
      </c>
      <c r="F25" s="24" t="s">
        <v>316</v>
      </c>
      <c r="G25" s="24" t="s">
        <v>317</v>
      </c>
      <c r="H25" s="24" t="s">
        <v>317</v>
      </c>
      <c r="I25" s="8" t="str">
        <f t="shared" si="0"/>
        <v>Not passed</v>
      </c>
      <c r="J25" s="13" t="str">
        <f t="shared" si="1"/>
        <v/>
      </c>
      <c r="K25" s="8" t="str">
        <f t="shared" si="2"/>
        <v>Not passed</v>
      </c>
    </row>
    <row r="26" spans="1:11" x14ac:dyDescent="0.25">
      <c r="A26" s="8" t="s">
        <v>255</v>
      </c>
      <c r="B26" s="12" t="str">
        <f>IFERROR(IF(VLOOKUP($A26,'Use cases'!$A$5:$B$34,2,FALSE())=0,"",VLOOKUP($A26,'Use cases'!$A$5:$B$34,2,FALSE())),"")</f>
        <v>Supplier compromise signal</v>
      </c>
      <c r="C26" s="24" t="s">
        <v>317</v>
      </c>
      <c r="D26" s="24" t="s">
        <v>317</v>
      </c>
      <c r="E26" s="24" t="s">
        <v>317</v>
      </c>
      <c r="F26" s="24" t="s">
        <v>316</v>
      </c>
      <c r="G26" s="24" t="s">
        <v>317</v>
      </c>
      <c r="H26" s="24" t="s">
        <v>317</v>
      </c>
      <c r="I26" s="8" t="str">
        <f t="shared" si="0"/>
        <v>Not passed</v>
      </c>
      <c r="J26" s="13" t="str">
        <f t="shared" si="1"/>
        <v/>
      </c>
      <c r="K26" s="8" t="str">
        <f t="shared" si="2"/>
        <v>Not passed</v>
      </c>
    </row>
    <row r="27" spans="1:11" x14ac:dyDescent="0.25">
      <c r="A27" s="8" t="s">
        <v>262</v>
      </c>
      <c r="B27" s="12" t="str">
        <f>IFERROR(IF(VLOOKUP($A27,'Use cases'!$A$5:$B$34,2,FALSE())=0,"",VLOOKUP($A27,'Use cases'!$A$5:$B$34,2,FALSE())),"")</f>
        <v/>
      </c>
      <c r="C27" s="24"/>
      <c r="D27" s="24"/>
      <c r="E27" s="24"/>
      <c r="F27" s="24"/>
      <c r="G27" s="24"/>
      <c r="H27" s="24"/>
      <c r="I27" s="8" t="str">
        <f t="shared" si="0"/>
        <v/>
      </c>
      <c r="J27" s="13" t="str">
        <f t="shared" si="1"/>
        <v/>
      </c>
      <c r="K27" s="8" t="str">
        <f t="shared" si="2"/>
        <v/>
      </c>
    </row>
    <row r="28" spans="1:11" x14ac:dyDescent="0.25">
      <c r="A28" s="8" t="s">
        <v>263</v>
      </c>
      <c r="B28" s="12" t="str">
        <f>IFERROR(IF(VLOOKUP($A28,'Use cases'!$A$5:$B$34,2,FALSE())=0,"",VLOOKUP($A28,'Use cases'!$A$5:$B$34,2,FALSE())),"")</f>
        <v/>
      </c>
      <c r="C28" s="24"/>
      <c r="D28" s="24"/>
      <c r="E28" s="24"/>
      <c r="F28" s="24"/>
      <c r="G28" s="24"/>
      <c r="H28" s="24"/>
      <c r="I28" s="8" t="str">
        <f t="shared" si="0"/>
        <v/>
      </c>
      <c r="J28" s="13" t="str">
        <f t="shared" si="1"/>
        <v/>
      </c>
      <c r="K28" s="8" t="str">
        <f t="shared" si="2"/>
        <v/>
      </c>
    </row>
    <row r="29" spans="1:11" x14ac:dyDescent="0.25">
      <c r="A29" s="8" t="s">
        <v>264</v>
      </c>
      <c r="B29" s="12" t="str">
        <f>IFERROR(IF(VLOOKUP($A29,'Use cases'!$A$5:$B$34,2,FALSE())=0,"",VLOOKUP($A29,'Use cases'!$A$5:$B$34,2,FALSE())),"")</f>
        <v/>
      </c>
      <c r="C29" s="24"/>
      <c r="D29" s="24"/>
      <c r="E29" s="24"/>
      <c r="F29" s="24"/>
      <c r="G29" s="24"/>
      <c r="H29" s="24"/>
      <c r="I29" s="8" t="str">
        <f t="shared" si="0"/>
        <v/>
      </c>
      <c r="J29" s="13" t="str">
        <f t="shared" si="1"/>
        <v/>
      </c>
      <c r="K29" s="8" t="str">
        <f t="shared" si="2"/>
        <v/>
      </c>
    </row>
    <row r="30" spans="1:11" x14ac:dyDescent="0.25">
      <c r="A30" s="8" t="s">
        <v>265</v>
      </c>
      <c r="B30" s="12" t="str">
        <f>IFERROR(IF(VLOOKUP($A30,'Use cases'!$A$5:$B$34,2,FALSE())=0,"",VLOOKUP($A30,'Use cases'!$A$5:$B$34,2,FALSE())),"")</f>
        <v/>
      </c>
      <c r="C30" s="24"/>
      <c r="D30" s="24"/>
      <c r="E30" s="24"/>
      <c r="F30" s="24"/>
      <c r="G30" s="24"/>
      <c r="H30" s="24"/>
      <c r="I30" s="8" t="str">
        <f t="shared" si="0"/>
        <v/>
      </c>
      <c r="J30" s="13" t="str">
        <f t="shared" si="1"/>
        <v/>
      </c>
      <c r="K30" s="8" t="str">
        <f t="shared" si="2"/>
        <v/>
      </c>
    </row>
    <row r="31" spans="1:11" x14ac:dyDescent="0.25">
      <c r="A31" s="8" t="s">
        <v>266</v>
      </c>
      <c r="B31" s="12" t="str">
        <f>IFERROR(IF(VLOOKUP($A31,'Use cases'!$A$5:$B$34,2,FALSE())=0,"",VLOOKUP($A31,'Use cases'!$A$5:$B$34,2,FALSE())),"")</f>
        <v/>
      </c>
      <c r="C31" s="24"/>
      <c r="D31" s="24"/>
      <c r="E31" s="24"/>
      <c r="F31" s="24"/>
      <c r="G31" s="24"/>
      <c r="H31" s="24"/>
      <c r="I31" s="8" t="str">
        <f t="shared" si="0"/>
        <v/>
      </c>
      <c r="J31" s="13" t="str">
        <f t="shared" si="1"/>
        <v/>
      </c>
      <c r="K31" s="8" t="str">
        <f t="shared" si="2"/>
        <v/>
      </c>
    </row>
    <row r="32" spans="1:11" x14ac:dyDescent="0.25">
      <c r="A32" s="8" t="s">
        <v>267</v>
      </c>
      <c r="B32" s="12" t="str">
        <f>IFERROR(IF(VLOOKUP($A32,'Use cases'!$A$5:$B$34,2,FALSE())=0,"",VLOOKUP($A32,'Use cases'!$A$5:$B$34,2,FALSE())),"")</f>
        <v/>
      </c>
      <c r="C32" s="24"/>
      <c r="D32" s="24"/>
      <c r="E32" s="24"/>
      <c r="F32" s="24"/>
      <c r="G32" s="24"/>
      <c r="H32" s="24"/>
      <c r="I32" s="8" t="str">
        <f t="shared" si="0"/>
        <v/>
      </c>
      <c r="J32" s="13" t="str">
        <f t="shared" si="1"/>
        <v/>
      </c>
      <c r="K32" s="8" t="str">
        <f t="shared" si="2"/>
        <v/>
      </c>
    </row>
    <row r="33" spans="1:11" x14ac:dyDescent="0.25">
      <c r="A33" s="8" t="s">
        <v>268</v>
      </c>
      <c r="B33" s="12" t="str">
        <f>IFERROR(IF(VLOOKUP($A33,'Use cases'!$A$5:$B$34,2,FALSE())=0,"",VLOOKUP($A33,'Use cases'!$A$5:$B$34,2,FALSE())),"")</f>
        <v/>
      </c>
      <c r="C33" s="24"/>
      <c r="D33" s="24"/>
      <c r="E33" s="24"/>
      <c r="F33" s="24"/>
      <c r="G33" s="24"/>
      <c r="H33" s="24"/>
      <c r="I33" s="8" t="str">
        <f t="shared" si="0"/>
        <v/>
      </c>
      <c r="J33" s="13" t="str">
        <f t="shared" si="1"/>
        <v/>
      </c>
      <c r="K33" s="8" t="str">
        <f t="shared" si="2"/>
        <v/>
      </c>
    </row>
    <row r="34" spans="1:11" x14ac:dyDescent="0.25">
      <c r="A34" s="8" t="s">
        <v>269</v>
      </c>
      <c r="B34" s="12" t="str">
        <f>IFERROR(IF(VLOOKUP($A34,'Use cases'!$A$5:$B$34,2,FALSE())=0,"",VLOOKUP($A34,'Use cases'!$A$5:$B$34,2,FALSE())),"")</f>
        <v/>
      </c>
      <c r="C34" s="24"/>
      <c r="D34" s="24"/>
      <c r="E34" s="24"/>
      <c r="F34" s="24"/>
      <c r="G34" s="24"/>
      <c r="H34" s="24"/>
      <c r="I34" s="8" t="str">
        <f t="shared" si="0"/>
        <v/>
      </c>
      <c r="J34" s="13" t="str">
        <f t="shared" si="1"/>
        <v/>
      </c>
      <c r="K34" s="8" t="str">
        <f t="shared" si="2"/>
        <v/>
      </c>
    </row>
    <row r="35" spans="1:11" x14ac:dyDescent="0.25">
      <c r="A35" s="8" t="s">
        <v>270</v>
      </c>
      <c r="B35" s="12" t="str">
        <f>IFERROR(IF(VLOOKUP($A35,'Use cases'!$A$5:$B$34,2,FALSE())=0,"",VLOOKUP($A35,'Use cases'!$A$5:$B$34,2,FALSE())),"")</f>
        <v/>
      </c>
      <c r="C35" s="24"/>
      <c r="D35" s="24"/>
      <c r="E35" s="24"/>
      <c r="F35" s="24"/>
      <c r="G35" s="24"/>
      <c r="H35" s="24"/>
      <c r="I35" s="8" t="str">
        <f t="shared" si="0"/>
        <v/>
      </c>
      <c r="J35" s="13" t="str">
        <f t="shared" si="1"/>
        <v/>
      </c>
      <c r="K35" s="8" t="str">
        <f t="shared" si="2"/>
        <v/>
      </c>
    </row>
    <row r="36" spans="1:11" x14ac:dyDescent="0.25">
      <c r="A36" s="8" t="s">
        <v>271</v>
      </c>
      <c r="B36" s="12" t="str">
        <f>IFERROR(IF(VLOOKUP($A36,'Use cases'!$A$5:$B$34,2,FALSE())=0,"",VLOOKUP($A36,'Use cases'!$A$5:$B$34,2,FALSE())),"")</f>
        <v/>
      </c>
      <c r="C36" s="24"/>
      <c r="D36" s="24"/>
      <c r="E36" s="24"/>
      <c r="F36" s="24"/>
      <c r="G36" s="24"/>
      <c r="H36" s="24"/>
      <c r="I36" s="8" t="str">
        <f t="shared" si="0"/>
        <v/>
      </c>
      <c r="J36" s="13" t="str">
        <f t="shared" si="1"/>
        <v/>
      </c>
      <c r="K36" s="8" t="str">
        <f t="shared" si="2"/>
        <v/>
      </c>
    </row>
  </sheetData>
  <autoFilter ref="A6:K36" xr:uid="{00000000-0009-0000-0000-000004000000}"/>
  <mergeCells count="2">
    <mergeCell ref="A2:K2"/>
    <mergeCell ref="C4:D4"/>
  </mergeCells>
  <conditionalFormatting sqref="I7:I36">
    <cfRule type="expression" dxfId="10" priority="2">
      <formula>$I7="Passed"</formula>
    </cfRule>
    <cfRule type="expression" dxfId="9" priority="3">
      <formula>$I7="Not passed"</formula>
    </cfRule>
    <cfRule type="expression" dxfId="8" priority="4">
      <formula>$I7="Incomplete"</formula>
    </cfRule>
  </conditionalFormatting>
  <conditionalFormatting sqref="J7:J36">
    <cfRule type="expression" dxfId="7" priority="5">
      <formula>$J7="Duplicate ID"</formula>
    </cfRule>
  </conditionalFormatting>
  <conditionalFormatting sqref="K7:K36">
    <cfRule type="expression" dxfId="6" priority="6">
      <formula>$K7="Passed"</formula>
    </cfRule>
    <cfRule type="expression" dxfId="5" priority="7">
      <formula>$K7="Not passed"</formula>
    </cfRule>
    <cfRule type="expression" dxfId="4" priority="8">
      <formula>$K7="Incomplete"</formula>
    </cfRule>
  </conditionalFormatting>
  <dataValidations count="2">
    <dataValidation type="list" showErrorMessage="1" errorTitle="Invalid value" error="Please pick a value from the list." sqref="C4" xr:uid="{00000000-0002-0000-0400-000000000000}">
      <formula1>"All six criteria,Signal + cost + resilience,Signal + cost"</formula1>
    </dataValidation>
    <dataValidation type="list" allowBlank="1" showErrorMessage="1" errorTitle="Invalid value" error="Please pick a value from the list." sqref="C7:H36" xr:uid="{00000000-0002-0000-0400-000000000000}">
      <formula1>List_YesNo</formula1>
      <formula2>0</formula2>
    </dataValidation>
  </dataValidations>
  <pageMargins left="0.75" right="0.75" top="1" bottom="1" header="0.511811023622047" footer="0.511811023622047"/>
  <pageSetup paperSize="9"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G24"/>
  <sheetViews>
    <sheetView showGridLines="0" zoomScaleNormal="100" zoomScalePageLayoutView="60" workbookViewId="0">
      <pane ySplit="4" topLeftCell="A5" activePane="bottomLeft" state="frozen"/>
      <selection pane="bottomLeft" activeCell="A5" sqref="A5"/>
    </sheetView>
  </sheetViews>
  <sheetFormatPr baseColWidth="10" defaultColWidth="8.7109375" defaultRowHeight="15" x14ac:dyDescent="0.25"/>
  <cols>
    <col min="1" max="1" width="24" customWidth="1"/>
    <col min="2" max="2" width="14" customWidth="1"/>
    <col min="3" max="5" width="13" customWidth="1"/>
    <col min="6" max="6" width="36" customWidth="1"/>
    <col min="7" max="7" width="26" customWidth="1"/>
  </cols>
  <sheetData>
    <row r="1" spans="1:7" ht="24" customHeight="1" x14ac:dyDescent="0.35">
      <c r="A1" s="1" t="s">
        <v>318</v>
      </c>
    </row>
    <row r="2" spans="1:7" x14ac:dyDescent="0.25">
      <c r="A2" s="2" t="s">
        <v>319</v>
      </c>
    </row>
    <row r="4" spans="1:7" ht="25.5" customHeight="1" x14ac:dyDescent="0.25">
      <c r="A4" s="10" t="s">
        <v>98</v>
      </c>
      <c r="B4" s="10" t="s">
        <v>99</v>
      </c>
      <c r="C4" s="10" t="s">
        <v>307</v>
      </c>
      <c r="D4" s="10" t="s">
        <v>73</v>
      </c>
      <c r="E4" s="10" t="s">
        <v>278</v>
      </c>
      <c r="F4" s="10" t="s">
        <v>320</v>
      </c>
      <c r="G4" s="10" t="s">
        <v>321</v>
      </c>
    </row>
    <row r="5" spans="1:7" x14ac:dyDescent="0.25">
      <c r="A5" s="11" t="str">
        <f>Scales!$B$24</f>
        <v>No state change</v>
      </c>
      <c r="B5" s="13" t="str">
        <f>Scales!$B$31</f>
        <v>Low</v>
      </c>
      <c r="C5" s="25">
        <v>4</v>
      </c>
      <c r="D5" s="25">
        <v>4</v>
      </c>
      <c r="E5" s="25">
        <v>4</v>
      </c>
      <c r="F5" s="26" t="str">
        <f>IF(AND(A5&lt;&gt;Scales!$B$24,OR(A5=Scales!$B$27,B5=Scales!$B$33),MAX(C5:E5)&gt;3),"Warning: exceeds the human-signature rule (L3). The non-waivable release guardrail still applies.","")</f>
        <v/>
      </c>
      <c r="G5" s="26" t="str">
        <f t="shared" ref="G5:G16" si="0">A5&amp;"|"&amp;B5</f>
        <v>No state change|Low</v>
      </c>
    </row>
    <row r="6" spans="1:7" x14ac:dyDescent="0.25">
      <c r="A6" s="11" t="str">
        <f>Scales!$B$24</f>
        <v>No state change</v>
      </c>
      <c r="B6" s="13" t="str">
        <f>Scales!$B$32</f>
        <v>Medium</v>
      </c>
      <c r="C6" s="25">
        <v>4</v>
      </c>
      <c r="D6" s="25">
        <v>4</v>
      </c>
      <c r="E6" s="25">
        <v>4</v>
      </c>
      <c r="F6" s="26" t="str">
        <f>IF(AND(A6&lt;&gt;Scales!$B$24,OR(A6=Scales!$B$27,B6=Scales!$B$33),MAX(C6:E6)&gt;3),"Warning: exceeds the human-signature rule (L3). The non-waivable release guardrail still applies.","")</f>
        <v/>
      </c>
      <c r="G6" s="26" t="str">
        <f t="shared" si="0"/>
        <v>No state change|Medium</v>
      </c>
    </row>
    <row r="7" spans="1:7" x14ac:dyDescent="0.25">
      <c r="A7" s="11" t="str">
        <f>Scales!$B$24</f>
        <v>No state change</v>
      </c>
      <c r="B7" s="13" t="str">
        <f>Scales!$B$33</f>
        <v>High</v>
      </c>
      <c r="C7" s="25">
        <v>4</v>
      </c>
      <c r="D7" s="25">
        <v>4</v>
      </c>
      <c r="E7" s="25">
        <v>4</v>
      </c>
      <c r="F7" s="26" t="str">
        <f>IF(AND(A7&lt;&gt;Scales!$B$24,OR(A7=Scales!$B$27,B7=Scales!$B$33),MAX(C7:E7)&gt;3),"Warning: exceeds the human-signature rule (L3). The non-waivable release guardrail still applies.","")</f>
        <v/>
      </c>
      <c r="G7" s="26" t="str">
        <f t="shared" si="0"/>
        <v>No state change|High</v>
      </c>
    </row>
    <row r="8" spans="1:7" x14ac:dyDescent="0.25">
      <c r="A8" s="11" t="str">
        <f>Scales!$B$25</f>
        <v>Fully reversible</v>
      </c>
      <c r="B8" s="13" t="str">
        <f>Scales!$B$31</f>
        <v>Low</v>
      </c>
      <c r="C8" s="25">
        <v>3</v>
      </c>
      <c r="D8" s="25">
        <v>4</v>
      </c>
      <c r="E8" s="25">
        <v>4</v>
      </c>
      <c r="F8" s="26" t="str">
        <f>IF(AND(A8&lt;&gt;Scales!$B$24,OR(A8=Scales!$B$27,B8=Scales!$B$33),MAX(C8:E8)&gt;3),"Warning: exceeds the human-signature rule (L3). The non-waivable release guardrail still applies.","")</f>
        <v/>
      </c>
      <c r="G8" s="26" t="str">
        <f t="shared" si="0"/>
        <v>Fully reversible|Low</v>
      </c>
    </row>
    <row r="9" spans="1:7" x14ac:dyDescent="0.25">
      <c r="A9" s="11" t="str">
        <f>Scales!$B$25</f>
        <v>Fully reversible</v>
      </c>
      <c r="B9" s="13" t="str">
        <f>Scales!$B$32</f>
        <v>Medium</v>
      </c>
      <c r="C9" s="25">
        <v>3</v>
      </c>
      <c r="D9" s="25">
        <v>3</v>
      </c>
      <c r="E9" s="25">
        <v>4</v>
      </c>
      <c r="F9" s="26" t="str">
        <f>IF(AND(A9&lt;&gt;Scales!$B$24,OR(A9=Scales!$B$27,B9=Scales!$B$33),MAX(C9:E9)&gt;3),"Warning: exceeds the human-signature rule (L3). The non-waivable release guardrail still applies.","")</f>
        <v/>
      </c>
      <c r="G9" s="26" t="str">
        <f t="shared" si="0"/>
        <v>Fully reversible|Medium</v>
      </c>
    </row>
    <row r="10" spans="1:7" x14ac:dyDescent="0.25">
      <c r="A10" s="11" t="str">
        <f>Scales!$B$25</f>
        <v>Fully reversible</v>
      </c>
      <c r="B10" s="13" t="str">
        <f>Scales!$B$33</f>
        <v>High</v>
      </c>
      <c r="C10" s="25">
        <v>2</v>
      </c>
      <c r="D10" s="25">
        <v>3</v>
      </c>
      <c r="E10" s="25">
        <v>3</v>
      </c>
      <c r="F10" s="26" t="str">
        <f>IF(AND(A10&lt;&gt;Scales!$B$24,OR(A10=Scales!$B$27,B10=Scales!$B$33),MAX(C10:E10)&gt;3),"Warning: exceeds the human-signature rule (L3). The non-waivable release guardrail still applies.","")</f>
        <v/>
      </c>
      <c r="G10" s="26" t="str">
        <f t="shared" si="0"/>
        <v>Fully reversible|High</v>
      </c>
    </row>
    <row r="11" spans="1:7" x14ac:dyDescent="0.25">
      <c r="A11" s="11" t="str">
        <f>Scales!$B$26</f>
        <v>Reversible with effort</v>
      </c>
      <c r="B11" s="13" t="str">
        <f>Scales!$B$31</f>
        <v>Low</v>
      </c>
      <c r="C11" s="25">
        <v>3</v>
      </c>
      <c r="D11" s="25">
        <v>3</v>
      </c>
      <c r="E11" s="25">
        <v>4</v>
      </c>
      <c r="F11" s="26" t="str">
        <f>IF(AND(A11&lt;&gt;Scales!$B$24,OR(A11=Scales!$B$27,B11=Scales!$B$33),MAX(C11:E11)&gt;3),"Warning: exceeds the human-signature rule (L3). The non-waivable release guardrail still applies.","")</f>
        <v/>
      </c>
      <c r="G11" s="26" t="str">
        <f t="shared" si="0"/>
        <v>Reversible with effort|Low</v>
      </c>
    </row>
    <row r="12" spans="1:7" x14ac:dyDescent="0.25">
      <c r="A12" s="11" t="str">
        <f>Scales!$B$26</f>
        <v>Reversible with effort</v>
      </c>
      <c r="B12" s="13" t="str">
        <f>Scales!$B$32</f>
        <v>Medium</v>
      </c>
      <c r="C12" s="25">
        <v>2</v>
      </c>
      <c r="D12" s="25">
        <v>3</v>
      </c>
      <c r="E12" s="25">
        <v>3</v>
      </c>
      <c r="F12" s="26" t="str">
        <f>IF(AND(A12&lt;&gt;Scales!$B$24,OR(A12=Scales!$B$27,B12=Scales!$B$33),MAX(C12:E12)&gt;3),"Warning: exceeds the human-signature rule (L3). The non-waivable release guardrail still applies.","")</f>
        <v/>
      </c>
      <c r="G12" s="26" t="str">
        <f t="shared" si="0"/>
        <v>Reversible with effort|Medium</v>
      </c>
    </row>
    <row r="13" spans="1:7" x14ac:dyDescent="0.25">
      <c r="A13" s="11" t="str">
        <f>Scales!$B$26</f>
        <v>Reversible with effort</v>
      </c>
      <c r="B13" s="13" t="str">
        <f>Scales!$B$33</f>
        <v>High</v>
      </c>
      <c r="C13" s="25">
        <v>2</v>
      </c>
      <c r="D13" s="25">
        <v>2</v>
      </c>
      <c r="E13" s="25">
        <v>3</v>
      </c>
      <c r="F13" s="26" t="str">
        <f>IF(AND(A13&lt;&gt;Scales!$B$24,OR(A13=Scales!$B$27,B13=Scales!$B$33),MAX(C13:E13)&gt;3),"Warning: exceeds the human-signature rule (L3). The non-waivable release guardrail still applies.","")</f>
        <v/>
      </c>
      <c r="G13" s="26" t="str">
        <f t="shared" si="0"/>
        <v>Reversible with effort|High</v>
      </c>
    </row>
    <row r="14" spans="1:7" x14ac:dyDescent="0.25">
      <c r="A14" s="11" t="str">
        <f>Scales!$B$27</f>
        <v>Irreversible</v>
      </c>
      <c r="B14" s="13" t="str">
        <f>Scales!$B$31</f>
        <v>Low</v>
      </c>
      <c r="C14" s="25">
        <v>2</v>
      </c>
      <c r="D14" s="25">
        <v>3</v>
      </c>
      <c r="E14" s="25">
        <v>3</v>
      </c>
      <c r="F14" s="26" t="str">
        <f>IF(AND(A14&lt;&gt;Scales!$B$24,OR(A14=Scales!$B$27,B14=Scales!$B$33),MAX(C14:E14)&gt;3),"Warning: exceeds the human-signature rule (L3). The non-waivable release guardrail still applies.","")</f>
        <v/>
      </c>
      <c r="G14" s="26" t="str">
        <f t="shared" si="0"/>
        <v>Irreversible|Low</v>
      </c>
    </row>
    <row r="15" spans="1:7" x14ac:dyDescent="0.25">
      <c r="A15" s="11" t="str">
        <f>Scales!$B$27</f>
        <v>Irreversible</v>
      </c>
      <c r="B15" s="13" t="str">
        <f>Scales!$B$32</f>
        <v>Medium</v>
      </c>
      <c r="C15" s="25">
        <v>2</v>
      </c>
      <c r="D15" s="25">
        <v>2</v>
      </c>
      <c r="E15" s="25">
        <v>3</v>
      </c>
      <c r="F15" s="26" t="str">
        <f>IF(AND(A15&lt;&gt;Scales!$B$24,OR(A15=Scales!$B$27,B15=Scales!$B$33),MAX(C15:E15)&gt;3),"Warning: exceeds the human-signature rule (L3). The non-waivable release guardrail still applies.","")</f>
        <v/>
      </c>
      <c r="G15" s="26" t="str">
        <f t="shared" si="0"/>
        <v>Irreversible|Medium</v>
      </c>
    </row>
    <row r="16" spans="1:7" x14ac:dyDescent="0.25">
      <c r="A16" s="11" t="str">
        <f>Scales!$B$27</f>
        <v>Irreversible</v>
      </c>
      <c r="B16" s="13" t="str">
        <f>Scales!$B$33</f>
        <v>High</v>
      </c>
      <c r="C16" s="25">
        <v>1</v>
      </c>
      <c r="D16" s="25">
        <v>2</v>
      </c>
      <c r="E16" s="25">
        <v>2</v>
      </c>
      <c r="F16" s="26" t="str">
        <f>IF(AND(A16&lt;&gt;Scales!$B$24,OR(A16=Scales!$B$27,B16=Scales!$B$33),MAX(C16:E16)&gt;3),"Warning: exceeds the human-signature rule (L3). The non-waivable release guardrail still applies.","")</f>
        <v/>
      </c>
      <c r="G16" s="26" t="str">
        <f t="shared" si="0"/>
        <v>Irreversible|High</v>
      </c>
    </row>
    <row r="18" spans="1:7" x14ac:dyDescent="0.25">
      <c r="A18" s="9" t="s">
        <v>322</v>
      </c>
    </row>
    <row r="19" spans="1:7" ht="24" customHeight="1" x14ac:dyDescent="0.25">
      <c r="A19" s="36" t="s">
        <v>323</v>
      </c>
      <c r="B19" s="34"/>
      <c r="C19" s="34"/>
      <c r="D19" s="34"/>
      <c r="E19" s="34"/>
      <c r="F19" s="34"/>
      <c r="G19" s="34"/>
    </row>
    <row r="20" spans="1:7" x14ac:dyDescent="0.25">
      <c r="A20" s="9" t="s">
        <v>324</v>
      </c>
    </row>
    <row r="21" spans="1:7" x14ac:dyDescent="0.25">
      <c r="A21" s="9" t="s">
        <v>325</v>
      </c>
    </row>
    <row r="23" spans="1:7" ht="24" customHeight="1" x14ac:dyDescent="0.25">
      <c r="A23" s="36" t="s">
        <v>326</v>
      </c>
      <c r="B23" s="34"/>
      <c r="C23" s="34"/>
      <c r="D23" s="34"/>
      <c r="E23" s="34"/>
      <c r="F23" s="34"/>
      <c r="G23" s="34"/>
    </row>
    <row r="24" spans="1:7" x14ac:dyDescent="0.25">
      <c r="A24" s="4" t="s">
        <v>327</v>
      </c>
      <c r="B24" s="4" t="str">
        <f>IF(SUMPRODUCT(--ISNUMBER(C5:E16))&lt;36,"Policy matrix: missing or non-numeric level",IF(OR(MAX(C5:E16)&gt;4,MIN(C5:E16)&lt;0,SUMPRODUCT(--(C5:E16&lt;&gt;INT(C5:E16)))&gt;0),"Policy matrix: levels must be whole numbers 0 to 4","OK"))</f>
        <v>OK</v>
      </c>
    </row>
  </sheetData>
  <mergeCells count="2">
    <mergeCell ref="A19:G19"/>
    <mergeCell ref="A23:G23"/>
  </mergeCells>
  <conditionalFormatting sqref="B24">
    <cfRule type="expression" dxfId="3" priority="3">
      <formula>$B$24&lt;&gt;"OK"</formula>
    </cfRule>
  </conditionalFormatting>
  <conditionalFormatting sqref="F5:F16">
    <cfRule type="expression" dxfId="2" priority="2">
      <formula>LEFT($F5,7)="Warning"</formula>
    </cfRule>
  </conditionalFormatting>
  <dataValidations count="1">
    <dataValidation type="whole" showErrorMessage="1" errorTitle="Invalid value" error="Whole levels 0 to 4. (L5 stays in test and detection engineering.)" sqref="C5:E16" xr:uid="{00000000-0002-0000-0500-000000000000}">
      <formula1>0</formula1>
      <formula2>4</formula2>
    </dataValidation>
  </dataValidations>
  <pageMargins left="0.75" right="0.75" top="1" bottom="1" header="0.511811023622047" footer="0.511811023622047"/>
  <pageSetup paperSize="9" fitToHeight="0"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F67"/>
  <sheetViews>
    <sheetView showGridLines="0" zoomScale="117" zoomScaleNormal="100" zoomScalePageLayoutView="60" workbookViewId="0">
      <selection activeCell="C11" sqref="C11"/>
    </sheetView>
  </sheetViews>
  <sheetFormatPr baseColWidth="10" defaultColWidth="8.7109375" defaultRowHeight="15" x14ac:dyDescent="0.25"/>
  <cols>
    <col min="1" max="1" width="8" customWidth="1"/>
    <col min="2" max="2" width="26" customWidth="1"/>
    <col min="3" max="3" width="46" customWidth="1"/>
    <col min="4" max="4" width="20" customWidth="1"/>
    <col min="5" max="5" width="22" customWidth="1"/>
    <col min="6" max="6" width="82" customWidth="1"/>
  </cols>
  <sheetData>
    <row r="1" spans="1:6" ht="24" customHeight="1" x14ac:dyDescent="0.35">
      <c r="A1" s="1" t="s">
        <v>328</v>
      </c>
    </row>
    <row r="2" spans="1:6" x14ac:dyDescent="0.25">
      <c r="A2" s="2" t="s">
        <v>329</v>
      </c>
    </row>
    <row r="4" spans="1:6" x14ac:dyDescent="0.25">
      <c r="A4" s="3" t="s">
        <v>330</v>
      </c>
    </row>
    <row r="5" spans="1:6" ht="15.75" customHeight="1" x14ac:dyDescent="0.25">
      <c r="A5" s="10" t="s">
        <v>91</v>
      </c>
      <c r="B5" s="10" t="s">
        <v>331</v>
      </c>
      <c r="C5" s="10" t="s">
        <v>332</v>
      </c>
      <c r="D5" s="10" t="s">
        <v>333</v>
      </c>
      <c r="E5" s="10" t="s">
        <v>334</v>
      </c>
      <c r="F5" s="10" t="s">
        <v>335</v>
      </c>
    </row>
    <row r="6" spans="1:6" x14ac:dyDescent="0.25">
      <c r="A6" s="23">
        <v>0</v>
      </c>
      <c r="B6" s="23" t="s">
        <v>336</v>
      </c>
      <c r="C6" s="23" t="s">
        <v>337</v>
      </c>
      <c r="D6" s="23" t="s">
        <v>338</v>
      </c>
      <c r="E6" s="23" t="s">
        <v>338</v>
      </c>
      <c r="F6" s="23" t="s">
        <v>339</v>
      </c>
    </row>
    <row r="7" spans="1:6" x14ac:dyDescent="0.25">
      <c r="A7" s="23">
        <v>1</v>
      </c>
      <c r="B7" s="23" t="s">
        <v>340</v>
      </c>
      <c r="C7" s="23" t="s">
        <v>341</v>
      </c>
      <c r="D7" s="23" t="s">
        <v>338</v>
      </c>
      <c r="E7" s="23" t="s">
        <v>338</v>
      </c>
      <c r="F7" s="23" t="s">
        <v>342</v>
      </c>
    </row>
    <row r="8" spans="1:6" x14ac:dyDescent="0.25">
      <c r="A8" s="23">
        <v>2</v>
      </c>
      <c r="B8" s="23" t="s">
        <v>343</v>
      </c>
      <c r="C8" s="23" t="s">
        <v>344</v>
      </c>
      <c r="D8" s="23" t="s">
        <v>345</v>
      </c>
      <c r="E8" s="23" t="s">
        <v>338</v>
      </c>
      <c r="F8" s="23" t="s">
        <v>346</v>
      </c>
    </row>
    <row r="9" spans="1:6" x14ac:dyDescent="0.25">
      <c r="A9" s="23">
        <v>3</v>
      </c>
      <c r="B9" s="23" t="s">
        <v>347</v>
      </c>
      <c r="C9" s="23" t="s">
        <v>348</v>
      </c>
      <c r="D9" s="23" t="s">
        <v>349</v>
      </c>
      <c r="E9" s="23" t="s">
        <v>350</v>
      </c>
      <c r="F9" s="23" t="s">
        <v>351</v>
      </c>
    </row>
    <row r="10" spans="1:6" x14ac:dyDescent="0.25">
      <c r="A10" s="23">
        <v>4</v>
      </c>
      <c r="B10" s="23" t="s">
        <v>352</v>
      </c>
      <c r="C10" s="23" t="s">
        <v>353</v>
      </c>
      <c r="D10" s="23" t="s">
        <v>354</v>
      </c>
      <c r="E10" s="23" t="s">
        <v>350</v>
      </c>
      <c r="F10" s="23" t="s">
        <v>355</v>
      </c>
    </row>
    <row r="11" spans="1:6" x14ac:dyDescent="0.25">
      <c r="A11" s="23">
        <v>5</v>
      </c>
      <c r="B11" s="23" t="s">
        <v>356</v>
      </c>
      <c r="C11" s="23" t="s">
        <v>357</v>
      </c>
      <c r="D11" s="23" t="s">
        <v>358</v>
      </c>
      <c r="E11" s="23" t="s">
        <v>358</v>
      </c>
      <c r="F11" s="26" t="s">
        <v>359</v>
      </c>
    </row>
    <row r="13" spans="1:6" x14ac:dyDescent="0.25">
      <c r="A13" s="3" t="s">
        <v>360</v>
      </c>
    </row>
    <row r="14" spans="1:6" ht="15.75" customHeight="1" x14ac:dyDescent="0.25">
      <c r="A14" s="10" t="s">
        <v>361</v>
      </c>
      <c r="B14" s="10" t="s">
        <v>96</v>
      </c>
      <c r="C14" s="10" t="s">
        <v>362</v>
      </c>
    </row>
    <row r="15" spans="1:6" x14ac:dyDescent="0.25">
      <c r="A15" s="12">
        <v>1</v>
      </c>
      <c r="B15" s="23" t="s">
        <v>112</v>
      </c>
      <c r="C15" s="23" t="s">
        <v>363</v>
      </c>
    </row>
    <row r="16" spans="1:6" x14ac:dyDescent="0.25">
      <c r="A16" s="12">
        <v>2</v>
      </c>
      <c r="B16" s="23" t="s">
        <v>117</v>
      </c>
      <c r="C16" s="23" t="s">
        <v>364</v>
      </c>
    </row>
    <row r="17" spans="1:5" x14ac:dyDescent="0.25">
      <c r="A17" s="12">
        <v>3</v>
      </c>
      <c r="B17" s="23" t="s">
        <v>120</v>
      </c>
      <c r="C17" s="23" t="s">
        <v>365</v>
      </c>
    </row>
    <row r="18" spans="1:5" x14ac:dyDescent="0.25">
      <c r="A18" s="12">
        <v>4</v>
      </c>
      <c r="B18" s="23" t="s">
        <v>123</v>
      </c>
      <c r="C18" s="23" t="s">
        <v>366</v>
      </c>
    </row>
    <row r="19" spans="1:5" x14ac:dyDescent="0.25">
      <c r="A19" s="12">
        <v>5</v>
      </c>
      <c r="B19" s="23" t="s">
        <v>125</v>
      </c>
      <c r="C19" s="23" t="s">
        <v>367</v>
      </c>
    </row>
    <row r="20" spans="1:5" x14ac:dyDescent="0.25">
      <c r="A20" s="12">
        <v>6</v>
      </c>
      <c r="B20" s="23" t="s">
        <v>127</v>
      </c>
      <c r="C20" s="23" t="s">
        <v>368</v>
      </c>
    </row>
    <row r="22" spans="1:5" x14ac:dyDescent="0.25">
      <c r="A22" s="3" t="s">
        <v>369</v>
      </c>
    </row>
    <row r="23" spans="1:5" ht="15.75" customHeight="1" x14ac:dyDescent="0.25">
      <c r="B23" s="10" t="s">
        <v>370</v>
      </c>
      <c r="C23" s="10" t="s">
        <v>371</v>
      </c>
      <c r="E23" s="10" t="s">
        <v>372</v>
      </c>
    </row>
    <row r="24" spans="1:5" x14ac:dyDescent="0.25">
      <c r="B24" s="23" t="s">
        <v>114</v>
      </c>
      <c r="C24" s="23" t="s">
        <v>373</v>
      </c>
      <c r="E24" s="23" t="s">
        <v>374</v>
      </c>
    </row>
    <row r="25" spans="1:5" x14ac:dyDescent="0.25">
      <c r="B25" s="23" t="s">
        <v>119</v>
      </c>
      <c r="C25" s="23" t="s">
        <v>375</v>
      </c>
      <c r="E25" s="23" t="s">
        <v>376</v>
      </c>
    </row>
    <row r="26" spans="1:5" x14ac:dyDescent="0.25">
      <c r="B26" s="23" t="s">
        <v>134</v>
      </c>
      <c r="C26" s="23" t="s">
        <v>377</v>
      </c>
      <c r="E26" s="23" t="s">
        <v>378</v>
      </c>
    </row>
    <row r="27" spans="1:5" x14ac:dyDescent="0.25">
      <c r="B27" s="23" t="s">
        <v>169</v>
      </c>
      <c r="C27" s="23" t="s">
        <v>379</v>
      </c>
      <c r="E27" s="23" t="s">
        <v>380</v>
      </c>
    </row>
    <row r="29" spans="1:5" x14ac:dyDescent="0.25">
      <c r="A29" s="3" t="s">
        <v>381</v>
      </c>
    </row>
    <row r="30" spans="1:5" ht="15.75" customHeight="1" x14ac:dyDescent="0.25">
      <c r="B30" s="10" t="s">
        <v>370</v>
      </c>
      <c r="C30" s="10" t="s">
        <v>382</v>
      </c>
      <c r="E30" s="10" t="s">
        <v>372</v>
      </c>
    </row>
    <row r="31" spans="1:5" x14ac:dyDescent="0.25">
      <c r="B31" s="23" t="s">
        <v>115</v>
      </c>
      <c r="C31" s="23" t="s">
        <v>383</v>
      </c>
      <c r="E31" s="23" t="s">
        <v>384</v>
      </c>
    </row>
    <row r="32" spans="1:5" x14ac:dyDescent="0.25">
      <c r="B32" s="23" t="s">
        <v>122</v>
      </c>
      <c r="C32" s="23" t="s">
        <v>385</v>
      </c>
      <c r="E32" s="23" t="s">
        <v>386</v>
      </c>
    </row>
    <row r="33" spans="1:6" x14ac:dyDescent="0.25">
      <c r="B33" s="23" t="s">
        <v>116</v>
      </c>
      <c r="C33" s="23" t="s">
        <v>387</v>
      </c>
      <c r="E33" s="23" t="s">
        <v>388</v>
      </c>
    </row>
    <row r="35" spans="1:6" x14ac:dyDescent="0.25">
      <c r="A35" s="9" t="s">
        <v>389</v>
      </c>
    </row>
    <row r="37" spans="1:6" x14ac:dyDescent="0.25">
      <c r="A37" s="3" t="s">
        <v>390</v>
      </c>
    </row>
    <row r="38" spans="1:6" ht="15.75" customHeight="1" x14ac:dyDescent="0.25">
      <c r="B38" s="10" t="s">
        <v>370</v>
      </c>
      <c r="C38" s="10" t="s">
        <v>391</v>
      </c>
      <c r="D38" s="10" t="s">
        <v>392</v>
      </c>
      <c r="E38" s="10" t="s">
        <v>393</v>
      </c>
    </row>
    <row r="39" spans="1:6" x14ac:dyDescent="0.25">
      <c r="B39" s="23" t="s">
        <v>116</v>
      </c>
      <c r="C39" s="25">
        <v>0</v>
      </c>
      <c r="D39" s="27" t="str">
        <f>IF(AND(ISNUMBER(C39),C39&lt;=0,C39=INT(C39)),"valid","invalid")</f>
        <v>valid</v>
      </c>
      <c r="E39" s="23" t="s">
        <v>394</v>
      </c>
    </row>
    <row r="40" spans="1:6" x14ac:dyDescent="0.25">
      <c r="B40" s="23" t="s">
        <v>122</v>
      </c>
      <c r="C40" s="25">
        <v>-1</v>
      </c>
      <c r="D40" s="27" t="str">
        <f>IF(AND(ISNUMBER(C40),C40&lt;=0,C40=INT(C40)),"valid","invalid")</f>
        <v>valid</v>
      </c>
      <c r="E40" s="23" t="s">
        <v>395</v>
      </c>
    </row>
    <row r="41" spans="1:6" x14ac:dyDescent="0.25">
      <c r="B41" s="23" t="s">
        <v>115</v>
      </c>
      <c r="C41" s="25">
        <v>-2</v>
      </c>
      <c r="D41" s="27" t="str">
        <f>IF(AND(ISNUMBER(C41),C41&lt;=0,C41=INT(C41)),"valid","invalid")</f>
        <v>valid</v>
      </c>
      <c r="E41" s="23" t="s">
        <v>396</v>
      </c>
    </row>
    <row r="42" spans="1:6" ht="24" customHeight="1" x14ac:dyDescent="0.25">
      <c r="B42" s="36" t="s">
        <v>397</v>
      </c>
      <c r="C42" s="34"/>
      <c r="D42" s="34"/>
      <c r="E42" s="34"/>
      <c r="F42" s="34"/>
    </row>
    <row r="43" spans="1:6" x14ac:dyDescent="0.25">
      <c r="B43" s="4" t="s">
        <v>327</v>
      </c>
      <c r="C43" s="4" t="str">
        <f>IF(SUMPRODUCT(--ISNUMBER(C39:C41))&lt;3,"Confidence adjustments: missing or non-numeric",IF(OR(MAX(C39:C41)&gt;0,MIN(C39:C41)&lt;-4,SUMPRODUCT(--(C39:C41&lt;&gt;INT(C39:C41)))&gt;0),"Confidence adjustments: must be whole numbers between -4 and 0","OK"))</f>
        <v>OK</v>
      </c>
    </row>
    <row r="44" spans="1:6" x14ac:dyDescent="0.25">
      <c r="A44" s="3" t="s">
        <v>398</v>
      </c>
    </row>
    <row r="45" spans="1:6" ht="15.75" customHeight="1" x14ac:dyDescent="0.25">
      <c r="B45" s="10" t="s">
        <v>399</v>
      </c>
      <c r="C45" s="10" t="s">
        <v>400</v>
      </c>
    </row>
    <row r="46" spans="1:6" x14ac:dyDescent="0.25">
      <c r="B46" s="11" t="s">
        <v>309</v>
      </c>
      <c r="C46" s="12" t="s">
        <v>401</v>
      </c>
    </row>
    <row r="47" spans="1:6" x14ac:dyDescent="0.25">
      <c r="B47" s="11" t="s">
        <v>310</v>
      </c>
      <c r="C47" s="12" t="s">
        <v>402</v>
      </c>
    </row>
    <row r="48" spans="1:6" x14ac:dyDescent="0.25">
      <c r="B48" s="11" t="s">
        <v>311</v>
      </c>
      <c r="C48" s="12" t="s">
        <v>403</v>
      </c>
    </row>
    <row r="49" spans="1:3" x14ac:dyDescent="0.25">
      <c r="B49" s="11" t="s">
        <v>312</v>
      </c>
      <c r="C49" s="12" t="s">
        <v>404</v>
      </c>
    </row>
    <row r="50" spans="1:3" x14ac:dyDescent="0.25">
      <c r="B50" s="11" t="s">
        <v>313</v>
      </c>
      <c r="C50" s="12" t="s">
        <v>405</v>
      </c>
    </row>
    <row r="51" spans="1:3" x14ac:dyDescent="0.25">
      <c r="B51" s="11" t="s">
        <v>314</v>
      </c>
      <c r="C51" s="12" t="s">
        <v>406</v>
      </c>
    </row>
    <row r="53" spans="1:3" x14ac:dyDescent="0.25">
      <c r="A53" s="3" t="s">
        <v>407</v>
      </c>
    </row>
    <row r="54" spans="1:3" x14ac:dyDescent="0.25">
      <c r="B54" s="13" t="s">
        <v>316</v>
      </c>
      <c r="C54" s="9" t="s">
        <v>408</v>
      </c>
    </row>
    <row r="55" spans="1:3" x14ac:dyDescent="0.25">
      <c r="B55" s="13" t="s">
        <v>317</v>
      </c>
    </row>
    <row r="57" spans="1:3" x14ac:dyDescent="0.25">
      <c r="B57" s="4" t="s">
        <v>409</v>
      </c>
      <c r="C57" s="28" t="s">
        <v>410</v>
      </c>
    </row>
    <row r="58" spans="1:3" x14ac:dyDescent="0.25">
      <c r="B58" s="4" t="s">
        <v>411</v>
      </c>
      <c r="C58" s="28" t="s">
        <v>412</v>
      </c>
    </row>
    <row r="59" spans="1:3" x14ac:dyDescent="0.25">
      <c r="B59" s="4" t="s">
        <v>413</v>
      </c>
      <c r="C59" s="28" t="s">
        <v>414</v>
      </c>
    </row>
    <row r="60" spans="1:3" x14ac:dyDescent="0.25">
      <c r="B60" s="4" t="s">
        <v>415</v>
      </c>
      <c r="C60" s="28" t="s">
        <v>416</v>
      </c>
    </row>
    <row r="61" spans="1:3" x14ac:dyDescent="0.25">
      <c r="B61" s="4" t="s">
        <v>417</v>
      </c>
      <c r="C61" s="28" t="s">
        <v>473</v>
      </c>
    </row>
    <row r="62" spans="1:3" x14ac:dyDescent="0.25">
      <c r="B62" s="4" t="s">
        <v>418</v>
      </c>
      <c r="C62" s="28" t="s">
        <v>419</v>
      </c>
    </row>
    <row r="63" spans="1:3" ht="24" x14ac:dyDescent="0.25">
      <c r="B63" s="32" t="s">
        <v>420</v>
      </c>
      <c r="C63" s="28" t="s">
        <v>421</v>
      </c>
    </row>
    <row r="64" spans="1:3" x14ac:dyDescent="0.25">
      <c r="B64" s="4" t="s">
        <v>422</v>
      </c>
      <c r="C64" s="28" t="s">
        <v>423</v>
      </c>
    </row>
    <row r="65" spans="2:3" x14ac:dyDescent="0.25">
      <c r="B65" s="4" t="s">
        <v>424</v>
      </c>
      <c r="C65" s="28" t="s">
        <v>425</v>
      </c>
    </row>
    <row r="66" spans="2:3" ht="24" x14ac:dyDescent="0.25">
      <c r="B66" s="32" t="s">
        <v>426</v>
      </c>
      <c r="C66" s="28" t="s">
        <v>427</v>
      </c>
    </row>
    <row r="67" spans="2:3" x14ac:dyDescent="0.25">
      <c r="B67" s="4" t="s">
        <v>428</v>
      </c>
      <c r="C67" s="28" t="s">
        <v>429</v>
      </c>
    </row>
  </sheetData>
  <mergeCells count="1">
    <mergeCell ref="B42:F42"/>
  </mergeCells>
  <conditionalFormatting sqref="C43">
    <cfRule type="expression" dxfId="1" priority="1">
      <formula>$C$43&lt;&gt;"OK"</formula>
    </cfRule>
  </conditionalFormatting>
  <conditionalFormatting sqref="D39:D41">
    <cfRule type="expression" dxfId="0" priority="2">
      <formula>$D39="invalid"</formula>
    </cfRule>
  </conditionalFormatting>
  <dataValidations count="1">
    <dataValidation type="whole" showErrorMessage="1" errorTitle="Invalid value" error="Whole numbers, 0 or negative: a confidence adjustment only lowers the ceiling." sqref="C39:C41" xr:uid="{00000000-0002-0000-0600-000000000000}">
      <formula1>-4</formula1>
      <formula2>0</formula2>
    </dataValidation>
  </dataValidations>
  <pageMargins left="0.75" right="0.75" top="1" bottom="1" header="0.511811023622047" footer="0.511811023622047"/>
  <pageSetup paperSize="9" fitToHeight="0" orientation="landscape" horizontalDpi="300" verticalDpi="300"/>
</worksheet>
</file>

<file path=docMetadata/LabelInfo.xml><?xml version="1.0" encoding="utf-8"?>
<clbl:labelList xmlns:clbl="http://schemas.microsoft.com/office/2020/mipLabelMetadata">
  <clbl:label id="{944bf6ff-de76-46d9-9c42-32dece70be80}" enabled="1" method="Privileged" siteId="{34bf29ee-12a0-45b9-9c3b-c492c9751081}" contentBits="0" removed="0"/>
</clbl:labelLis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Arbeitsblätter</vt:lpstr>
      </vt:variant>
      <vt:variant>
        <vt:i4>7</vt:i4>
      </vt:variant>
      <vt:variant>
        <vt:lpstr>Benannte Bereiche</vt:lpstr>
      </vt:variant>
      <vt:variant>
        <vt:i4>13</vt:i4>
      </vt:variant>
    </vt:vector>
  </HeadingPairs>
  <TitlesOfParts>
    <vt:vector size="20" baseType="lpstr">
      <vt:lpstr>Guide</vt:lpstr>
      <vt:lpstr>Autonomy map</vt:lpstr>
      <vt:lpstr>Register</vt:lpstr>
      <vt:lpstr>Use cases</vt:lpstr>
      <vt:lpstr>Readiness gate</vt:lpstr>
      <vt:lpstr>Policy</vt:lpstr>
      <vt:lpstr>Scales</vt:lpstr>
      <vt:lpstr>Conf_Adjust</vt:lpstr>
      <vt:lpstr>Conf_Check</vt:lpstr>
      <vt:lpstr>'Readiness gate'!Drucktitel</vt:lpstr>
      <vt:lpstr>Register!Drucktitel</vt:lpstr>
      <vt:lpstr>'Use cases'!Drucktitel</vt:lpstr>
      <vt:lpstr>GateTab</vt:lpstr>
      <vt:lpstr>List_Appetite</vt:lpstr>
      <vt:lpstr>List_Blast</vt:lpstr>
      <vt:lpstr>List_Confidence</vt:lpstr>
      <vt:lpstr>List_Levels</vt:lpstr>
      <vt:lpstr>List_Reversibility</vt:lpstr>
      <vt:lpstr>List_Steps</vt:lpstr>
      <vt:lpstr>List_YesNo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
  <dcterms:modified xsi:type="dcterms:W3CDTF">2026-10-27T16:23:23Z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2026-10-06T09:19:27Z</dcterms:created>
  <dc:creator>openpyxl</dc:creator>
  <dc:description/>
  <dc:language>en-US</dc:language>
  <cp:lastModifiedBy/>
  <dcterms:modified xsi:type="dcterms:W3CDTF">2026-10-06T09:19:27Z</dcterms:modified>
  <cp:revision>0</cp:revision>
  <dc:subject/>
  <dc:title/>
</cp:coreProperties>
</file>